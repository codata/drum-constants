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s" sheetId="1" r:id="rId5"/>
    <sheet state="visible" name="Quantities" sheetId="2" r:id="rId6"/>
    <sheet state="visible" name="Constants" sheetId="3" r:id="rId7"/>
    <sheet state="visible" name="Units" sheetId="4" r:id="rId8"/>
    <sheet state="visible" name="Versions" sheetId="5" r:id="rId9"/>
    <sheet state="visible" name="nist_names_ids" sheetId="6" r:id="rId10"/>
    <sheet state="visible" name="v2022" sheetId="7" r:id="rId11"/>
    <sheet state="visible" name="v2018" sheetId="8" r:id="rId12"/>
    <sheet state="visible" name="v2014" sheetId="9" r:id="rId13"/>
    <sheet state="visible" name="v2010" sheetId="10" r:id="rId14"/>
    <sheet state="visible" name="v2006" sheetId="11" r:id="rId15"/>
    <sheet state="visible" name="v2002" sheetId="12" r:id="rId16"/>
    <sheet state="visible" name="v1998" sheetId="13" r:id="rId17"/>
  </sheets>
  <definedNames>
    <definedName hidden="1" localSheetId="3" name="_xlnm._FilterDatabase">Units!$A$1:$AA$84</definedName>
    <definedName hidden="1" localSheetId="7" name="_xlnm._FilterDatabase">'v2018'!$C$1:$C$355</definedName>
    <definedName hidden="1" localSheetId="7" name="Z_7D30629C_4A25_4192_A70F_F4F526625FBD_.wvu.FilterData">'v2018'!$A$1:$D$355</definedName>
  </definedNames>
  <calcPr/>
  <customWorkbookViews>
    <customWorkbookView activeSheetId="0" maximized="1" windowHeight="0" windowWidth="0" guid="{7D30629C-4A25-4192-A70F-F4F526625FBD}" name="Filter 1"/>
  </customWorkbookViews>
</workbook>
</file>

<file path=xl/sharedStrings.xml><?xml version="1.0" encoding="utf-8"?>
<sst xmlns="http://schemas.openxmlformats.org/spreadsheetml/2006/main" count="13124" uniqueCount="5545">
  <si>
    <t>id</t>
  </si>
  <si>
    <t>name</t>
  </si>
  <si>
    <t>is_quantity</t>
  </si>
  <si>
    <t>is_ratio</t>
  </si>
  <si>
    <t>is_relationship</t>
  </si>
  <si>
    <t>groups</t>
  </si>
  <si>
    <t>broader</t>
  </si>
  <si>
    <t>parts</t>
  </si>
  <si>
    <t>related</t>
  </si>
  <si>
    <t>same_as</t>
  </si>
  <si>
    <t>other_properties</t>
  </si>
  <si>
    <t>notation_tex</t>
  </si>
  <si>
    <t>wikidata_id</t>
  </si>
  <si>
    <t>wikidata_url</t>
  </si>
  <si>
    <t>definition</t>
  </si>
  <si>
    <t>name_fr</t>
  </si>
  <si>
    <t>definition_fr</t>
  </si>
  <si>
    <t>Acceleration</t>
  </si>
  <si>
    <t>nist_id</t>
  </si>
  <si>
    <t>name_bipm_en</t>
  </si>
  <si>
    <t>name_bipm_fr</t>
  </si>
  <si>
    <t>unit_nist</t>
  </si>
  <si>
    <t>unit_id</t>
  </si>
  <si>
    <t>unit_id_lookup</t>
  </si>
  <si>
    <t>quantity_id</t>
  </si>
  <si>
    <t>quantity_id_lookup</t>
  </si>
  <si>
    <t>is_base</t>
  </si>
  <si>
    <t>qudt_id</t>
  </si>
  <si>
    <t>qudt_url</t>
  </si>
  <si>
    <t>is_qudt</t>
  </si>
  <si>
    <t>ucum_id</t>
  </si>
  <si>
    <t>si_id</t>
  </si>
  <si>
    <t>si_url</t>
  </si>
  <si>
    <t>versions</t>
  </si>
  <si>
    <t>is_2022</t>
  </si>
  <si>
    <t>si_expression</t>
  </si>
  <si>
    <t>is_2018</t>
  </si>
  <si>
    <t>is_2014</t>
  </si>
  <si>
    <t>si_uri</t>
  </si>
  <si>
    <t>is_2010</t>
  </si>
  <si>
    <t>is_2006</t>
  </si>
  <si>
    <t>is_2002</t>
  </si>
  <si>
    <t>is_1998</t>
  </si>
  <si>
    <t>Action</t>
  </si>
  <si>
    <t>malsme</t>
  </si>
  <si>
    <t>AlphaParticleElectronMassRatio</t>
  </si>
  <si>
    <t>A physical quantity that describes the motion of a system.</t>
  </si>
  <si>
    <t xml:space="preserve">notation </t>
  </si>
  <si>
    <t>ucum_uri</t>
  </si>
  <si>
    <t>has_concept</t>
  </si>
  <si>
    <t>AlphaParticle</t>
  </si>
  <si>
    <t>Alpha Particle</t>
  </si>
  <si>
    <t>n_constants</t>
  </si>
  <si>
    <t>uri</t>
  </si>
  <si>
    <t>wikipedia</t>
  </si>
  <si>
    <t>A</t>
  </si>
  <si>
    <t>ampere</t>
  </si>
  <si>
    <t>Particle</t>
  </si>
  <si>
    <t>Alpha Particle - Electron Mass Ratio</t>
  </si>
  <si>
    <t>alpha particle - electron mass ratio</t>
  </si>
  <si>
    <t>rapport de la masse de la particule alpha à celle de l'électron</t>
  </si>
  <si>
    <t>Q103517</t>
  </si>
  <si>
    <t>AlphaParticle,Electron,MassRatio</t>
  </si>
  <si>
    <t>AlphaParticleMass</t>
  </si>
  <si>
    <t>AXC</t>
  </si>
  <si>
    <t>ampere-90</t>
  </si>
  <si>
    <t>AlphaParticle,Mass</t>
  </si>
  <si>
    <t>Alpha Particle Mass</t>
  </si>
  <si>
    <t>AlphaParticleMassEnergyEquivalent</t>
  </si>
  <si>
    <t>A_J-1</t>
  </si>
  <si>
    <t>ampere per joule</t>
  </si>
  <si>
    <t>Alpha Particle Mass Energy Equivalent</t>
  </si>
  <si>
    <t>A,J</t>
  </si>
  <si>
    <t>AlphaParticleMass,EnergyEquivalent</t>
  </si>
  <si>
    <t>AlphaParticleMolarMass</t>
  </si>
  <si>
    <t>ampere.joule-1</t>
  </si>
  <si>
    <t>Alpha Particle Molar Mass</t>
  </si>
  <si>
    <t>A.J-1</t>
  </si>
  <si>
    <t>AlphaParticle,MolarMass</t>
  </si>
  <si>
    <t>AlphaParticleProtonMassRatio</t>
  </si>
  <si>
    <t>Alpha Particle - Proton Mass Ratio</t>
  </si>
  <si>
    <t>C</t>
  </si>
  <si>
    <t>coulomb</t>
  </si>
  <si>
    <t>AlphaParticleRelativeAtomicMass</t>
  </si>
  <si>
    <t>Alpha Particle Relative Atomic Mass</t>
  </si>
  <si>
    <t>CXC</t>
  </si>
  <si>
    <t>coulomb-90</t>
  </si>
  <si>
    <t>AlphaParticleRmsChargeRadius</t>
  </si>
  <si>
    <t>AlphaParticle,Proton,MassRatio</t>
  </si>
  <si>
    <t>Alpha Particle Rms Charge Radius</t>
  </si>
  <si>
    <t>CXC_mol-1</t>
  </si>
  <si>
    <t>CXC,mol</t>
  </si>
  <si>
    <t>mal</t>
  </si>
  <si>
    <t>AngstromStar</t>
  </si>
  <si>
    <t>Angstrom Star</t>
  </si>
  <si>
    <t>Å*</t>
  </si>
  <si>
    <t>alpha particle mass</t>
  </si>
  <si>
    <t>masse de la particule alpha</t>
  </si>
  <si>
    <t>kg</t>
  </si>
  <si>
    <t>AlphaParticle,RelativeAtomicMass</t>
  </si>
  <si>
    <t>C_kg-1</t>
  </si>
  <si>
    <t>C,kg</t>
  </si>
  <si>
    <t>AtomicMassConstant</t>
  </si>
  <si>
    <t>Atomic Mass Constant</t>
  </si>
  <si>
    <t>AtomicMassConstantEnergyEquivalent</t>
  </si>
  <si>
    <t>Atomic Mass Constant Energy Equivalent</t>
  </si>
  <si>
    <t>AlphaParticle,RmsChargeRadius</t>
  </si>
  <si>
    <t>AtomicMassUnitElectronVoltRelationship</t>
  </si>
  <si>
    <t>Atomic Mass Unit - Electronvolt Relationship</t>
  </si>
  <si>
    <t>Ampere</t>
  </si>
  <si>
    <t>AtomicMassUnitHartreeRelationship</t>
  </si>
  <si>
    <t>Atomic Mass Unit - Hartree Relationship</t>
  </si>
  <si>
    <t>coulomb.kilogram-1</t>
  </si>
  <si>
    <t>C.kg-1</t>
  </si>
  <si>
    <t>AtomicMassUnitHertzRelationship</t>
  </si>
  <si>
    <t>Atomic Mass Unit - Hertz Relationship</t>
  </si>
  <si>
    <t>AtomicMassUnitInverseMeterRelationship</t>
  </si>
  <si>
    <t>Atomic Mass Unit - Inverse Meter Relationship</t>
  </si>
  <si>
    <t>AtomicMassUnitJouleRelationship</t>
  </si>
  <si>
    <t>Atomic Mass Unit - Joule Relationship</t>
  </si>
  <si>
    <t>AtomicMass</t>
  </si>
  <si>
    <t>Atomic Mass</t>
  </si>
  <si>
    <t>AtomicMassUnitKelvinRelationship</t>
  </si>
  <si>
    <t>Atomic Mass Unit - Kelvin Relationship</t>
  </si>
  <si>
    <t>AtomicMassUnitKilogramRelationship</t>
  </si>
  <si>
    <t>Atomic Mass Unit - Kilogram Relationship</t>
  </si>
  <si>
    <t>C_m</t>
  </si>
  <si>
    <t>C,m</t>
  </si>
  <si>
    <t>coulomb.metre</t>
  </si>
  <si>
    <t>AtomicUnitOf1stHyperpolarizability</t>
  </si>
  <si>
    <t>Atomic Unit Of First Hyperpolarizability</t>
  </si>
  <si>
    <t>C.m</t>
  </si>
  <si>
    <t>AtomicUnitOf2ndHyperpolarizability</t>
  </si>
  <si>
    <t>Atomic Unit Of Second Hyperpolarizability</t>
  </si>
  <si>
    <t>C_m-3</t>
  </si>
  <si>
    <t>coulomb.metre-3</t>
  </si>
  <si>
    <t>C.m-3</t>
  </si>
  <si>
    <t>AtomicMassConstant,EnergyEquivalent</t>
  </si>
  <si>
    <t>AtomicUnitOfAction</t>
  </si>
  <si>
    <t>Atomic Unit Of Action</t>
  </si>
  <si>
    <t>AtomicMassUnit</t>
  </si>
  <si>
    <t>C_m2</t>
  </si>
  <si>
    <t>coulomb.metre2</t>
  </si>
  <si>
    <t>AtomicUnitOfCharge</t>
  </si>
  <si>
    <t>Atomic Unit Of Charge</t>
  </si>
  <si>
    <t>C.m2</t>
  </si>
  <si>
    <t>AtomicUnitOfChargeDensity</t>
  </si>
  <si>
    <t>Atomic Unit Of Charge Density</t>
  </si>
  <si>
    <t>C_mol-1</t>
  </si>
  <si>
    <t>C,mol</t>
  </si>
  <si>
    <t>coulomb.mole-1</t>
  </si>
  <si>
    <t>AtomicMassUnit,ElectronVolt,Relationship</t>
  </si>
  <si>
    <t>C.mol-1</t>
  </si>
  <si>
    <t>AtomicUnitOfCurrent</t>
  </si>
  <si>
    <t>Atomic Unit Of Current</t>
  </si>
  <si>
    <t>C2_m2_J-1</t>
  </si>
  <si>
    <t>C,m,J</t>
  </si>
  <si>
    <t>coulomb2.metre2.joule-1</t>
  </si>
  <si>
    <t>C2.m2.J-1</t>
  </si>
  <si>
    <t>AtomicUnitOfElectricDipoleMoment</t>
  </si>
  <si>
    <t>Atomic Unit Of Electric Dipole Moment</t>
  </si>
  <si>
    <t>C3_m3_J-2</t>
  </si>
  <si>
    <t>coulomb3.metre3.joule-2</t>
  </si>
  <si>
    <t>C3.m3.J-2</t>
  </si>
  <si>
    <t>AtomicMassUnit,Hartree,Relationship</t>
  </si>
  <si>
    <t>AtomicUnitOfElectricField</t>
  </si>
  <si>
    <t>Atomic Unit Of Electric Field</t>
  </si>
  <si>
    <t>C4_m4_J-3</t>
  </si>
  <si>
    <t>coulomb4.metre4.joule-3</t>
  </si>
  <si>
    <t>C4.m4.J-3</t>
  </si>
  <si>
    <t>E_h</t>
  </si>
  <si>
    <t>hartree energy</t>
  </si>
  <si>
    <t>malc2</t>
  </si>
  <si>
    <t>J</t>
  </si>
  <si>
    <t>joule</t>
  </si>
  <si>
    <t>AtomicMassUnit,Hertz,Relationship</t>
  </si>
  <si>
    <t>alpha particle mass energy equivalent</t>
  </si>
  <si>
    <t>énergie de masse de la particule alpha</t>
  </si>
  <si>
    <t>Q476572</t>
  </si>
  <si>
    <t>https://en.wikipedia.org/wiki/Hartree</t>
  </si>
  <si>
    <t>AtomicMassUnit,InverseMeter,Relationship</t>
  </si>
  <si>
    <t>eV</t>
  </si>
  <si>
    <t>electronvolt</t>
  </si>
  <si>
    <t>eV_Hz-1</t>
  </si>
  <si>
    <t>eV,Hz</t>
  </si>
  <si>
    <t>AtomicMassUnit,Joule,Relationship</t>
  </si>
  <si>
    <t>electronvolt.hertz-1</t>
  </si>
  <si>
    <t>eV.Hz-1</t>
  </si>
  <si>
    <t>eV_K-1</t>
  </si>
  <si>
    <t>eV,K</t>
  </si>
  <si>
    <t>electronvolt.kelvin-1</t>
  </si>
  <si>
    <t>eV.K-1</t>
  </si>
  <si>
    <t>AtomicUnitOfElectricFieldGradient</t>
  </si>
  <si>
    <t>eV_s</t>
  </si>
  <si>
    <t>Atomic Unit Of Electric Field Gradient</t>
  </si>
  <si>
    <t>eV,s</t>
  </si>
  <si>
    <t>electronvolt.second</t>
  </si>
  <si>
    <t>eV.s</t>
  </si>
  <si>
    <t>AtomicMassUnit,Kelvin,Relationship</t>
  </si>
  <si>
    <t>eV_T-1</t>
  </si>
  <si>
    <t>eV,T</t>
  </si>
  <si>
    <t>electronvolt.tesla-1</t>
  </si>
  <si>
    <t>eV.T-1</t>
  </si>
  <si>
    <t>AtomicUnitOfElectricPolarizability</t>
  </si>
  <si>
    <t>Atomic Unit Of Electric Polarizability</t>
  </si>
  <si>
    <t>F</t>
  </si>
  <si>
    <t>farad</t>
  </si>
  <si>
    <t>AtomicMassUnit,Kilogram,Relationship</t>
  </si>
  <si>
    <t>AtomicUnitOfElectricPotential</t>
  </si>
  <si>
    <t>Atomic Unit Of Electric Potential</t>
  </si>
  <si>
    <t>FXC</t>
  </si>
  <si>
    <t>farad-90</t>
  </si>
  <si>
    <t>AtomicUnit</t>
  </si>
  <si>
    <t>Atomic Unit</t>
  </si>
  <si>
    <t>malc2mev</t>
  </si>
  <si>
    <t>AlphaParticleMassEnergyEquivalentInMeV</t>
  </si>
  <si>
    <t>F_m-1</t>
  </si>
  <si>
    <t>AtomicUnitOfElectricQuadrupoleMoment</t>
  </si>
  <si>
    <t>F,M</t>
  </si>
  <si>
    <t>Atomic Unit Of Electric Quadrupole Moment</t>
  </si>
  <si>
    <t>Alpha Particle Mass Energy Equivalent In MeV</t>
  </si>
  <si>
    <t>A set of fundamental units used in atomic and molecular physics and quantum chemistry.</t>
  </si>
  <si>
    <t>alpha particle mass energy equivalent in MeV</t>
  </si>
  <si>
    <t>énergie de masse de la particule alpha in MeV</t>
  </si>
  <si>
    <t>MeV</t>
  </si>
  <si>
    <t>farad.metre-1</t>
  </si>
  <si>
    <t>AtomicUnitOfEnergy</t>
  </si>
  <si>
    <t>Atomic Unit Of Energy</t>
  </si>
  <si>
    <t>F.m-1</t>
  </si>
  <si>
    <t>AtomicUnit,Hyperpolarizablity</t>
  </si>
  <si>
    <t>AtomicUnitOfForce</t>
  </si>
  <si>
    <t>Atomic Unit Of Force</t>
  </si>
  <si>
    <t>AtomicUnitOfLength</t>
  </si>
  <si>
    <t>Atomic Unit Of Length</t>
  </si>
  <si>
    <t>GeV</t>
  </si>
  <si>
    <t>gigaelectronvolt</t>
  </si>
  <si>
    <t>AtomicUnitOfMagneticDipoleMoment</t>
  </si>
  <si>
    <t>Atomic Unit Of Magnetic Dipole Moment</t>
  </si>
  <si>
    <t>AtomicUnit,Action</t>
  </si>
  <si>
    <t>AtomicUnitOfMagneticFluxDensity</t>
  </si>
  <si>
    <t>GeV-2</t>
  </si>
  <si>
    <t>Atomic Unit Of Mag. Flux Density</t>
  </si>
  <si>
    <t>gigaelectronvolt-2</t>
  </si>
  <si>
    <t>malu</t>
  </si>
  <si>
    <t>AlphaParticleMassInAtomicMassUnit</t>
  </si>
  <si>
    <t>alpha particle mass in u</t>
  </si>
  <si>
    <t>masse de la particule alpha en u</t>
  </si>
  <si>
    <t>AtomicUnitOfMagnetizability</t>
  </si>
  <si>
    <t>H</t>
  </si>
  <si>
    <t>u</t>
  </si>
  <si>
    <t>Atomic Unit Of Magnetizability</t>
  </si>
  <si>
    <t>henry</t>
  </si>
  <si>
    <t>AtomicUnit,Charge</t>
  </si>
  <si>
    <t>HXC</t>
  </si>
  <si>
    <t>henry-90</t>
  </si>
  <si>
    <t>AtomicUnitOfMass</t>
  </si>
  <si>
    <t>Atomic Unit Of Mass</t>
  </si>
  <si>
    <t>Hz</t>
  </si>
  <si>
    <t>hertz</t>
  </si>
  <si>
    <t>AtomicUnitOfMomentum</t>
  </si>
  <si>
    <t>Atomic Unit Of Momentum</t>
  </si>
  <si>
    <t>AtomicUnitOfPermittivity</t>
  </si>
  <si>
    <t>Atomic Unit Of Permittivity</t>
  </si>
  <si>
    <t>AtomicUnit,ChargeDensity</t>
  </si>
  <si>
    <t>AtomicUnitOfTime</t>
  </si>
  <si>
    <t>Atomic Unit Of Time</t>
  </si>
  <si>
    <t>Hz_K-1</t>
  </si>
  <si>
    <t>Hz,K</t>
  </si>
  <si>
    <t>hertz.kelvin-1</t>
  </si>
  <si>
    <t>Hz.K-1</t>
  </si>
  <si>
    <t>AtomicUnit,Current</t>
  </si>
  <si>
    <t>Hz_T-1</t>
  </si>
  <si>
    <t>Hz,T</t>
  </si>
  <si>
    <t>AtomicUnitOfVelocity</t>
  </si>
  <si>
    <t>hertz.tesla-1</t>
  </si>
  <si>
    <t>Atomic Unit Of Velocity</t>
  </si>
  <si>
    <t>Hz.T-1</t>
  </si>
  <si>
    <t>Hz_VXC-1</t>
  </si>
  <si>
    <t>hertz per volt-90</t>
  </si>
  <si>
    <t>Hz,VXC</t>
  </si>
  <si>
    <t>AvogadroConstant</t>
  </si>
  <si>
    <t>Avogadro Constant</t>
  </si>
  <si>
    <t>mmal</t>
  </si>
  <si>
    <t>AtomicUnit,ElectricDipoleMoment</t>
  </si>
  <si>
    <t>alpha particle molar mass</t>
  </si>
  <si>
    <t>masse molaire de la particule alpha</t>
  </si>
  <si>
    <t>kg mol^-1</t>
  </si>
  <si>
    <t>BohrMagneton</t>
  </si>
  <si>
    <t>Bohr Magneton</t>
  </si>
  <si>
    <t>AtomicUnit,ElectricField</t>
  </si>
  <si>
    <t>BohrRadius</t>
  </si>
  <si>
    <t>Bohr Radius</t>
  </si>
  <si>
    <t>BoltzmannConstant</t>
  </si>
  <si>
    <t>Boltzmann Constant</t>
  </si>
  <si>
    <t>J_Hz-1</t>
  </si>
  <si>
    <t>J,Hz</t>
  </si>
  <si>
    <t>CharacteristicImpedanceOfVacuum</t>
  </si>
  <si>
    <t>Characteristic Impedance Of Vacuum</t>
  </si>
  <si>
    <t>joule.hertz-1</t>
  </si>
  <si>
    <t>J.Hz-1</t>
  </si>
  <si>
    <t>AtomicUnit,ElectricFieldGradient</t>
  </si>
  <si>
    <t>J_Hz-1_mol-1</t>
  </si>
  <si>
    <t>J,Hz,mol</t>
  </si>
  <si>
    <t>ClassicalElectronRadius</t>
  </si>
  <si>
    <t>Classical Electron Radius</t>
  </si>
  <si>
    <t>joule.hertz-1.mole-1</t>
  </si>
  <si>
    <t>J.Hz-1.mol-1</t>
  </si>
  <si>
    <t>AtomicUnit,ElectricPolarizability</t>
  </si>
  <si>
    <t>J_K-1</t>
  </si>
  <si>
    <t>J,K</t>
  </si>
  <si>
    <t>malsmp</t>
  </si>
  <si>
    <t>joule.kelvin-1</t>
  </si>
  <si>
    <t>J.K-1</t>
  </si>
  <si>
    <t>alpha particle - proton mass ratio</t>
  </si>
  <si>
    <t>rapport de la masse de la particule alpha à celle du proton</t>
  </si>
  <si>
    <t>J_m_mol-1</t>
  </si>
  <si>
    <t>J,m,mol</t>
  </si>
  <si>
    <t>AtomicUnit,ElectricPotential</t>
  </si>
  <si>
    <t>joule.metre.mole-1</t>
  </si>
  <si>
    <t>ComptonWavelength</t>
  </si>
  <si>
    <t>Compton Wavelength</t>
  </si>
  <si>
    <t>J.m.mol-1</t>
  </si>
  <si>
    <t>ConductanceQuantum</t>
  </si>
  <si>
    <t>Conductance Quantum</t>
  </si>
  <si>
    <t>J_mol-1_K-1</t>
  </si>
  <si>
    <t>J,mol,K</t>
  </si>
  <si>
    <t>joule.mole-1.kelvin-1</t>
  </si>
  <si>
    <t>J.mol-1.K-1</t>
  </si>
  <si>
    <t>J_s</t>
  </si>
  <si>
    <t>J,s</t>
  </si>
  <si>
    <t>joule.second</t>
  </si>
  <si>
    <t>J.s</t>
  </si>
  <si>
    <t>ConventionalValueOfAmpere90</t>
  </si>
  <si>
    <t>J_T-1</t>
  </si>
  <si>
    <t>Conventional Value Of Ampere-90</t>
  </si>
  <si>
    <t>J,T</t>
  </si>
  <si>
    <t>joule.tesla-1</t>
  </si>
  <si>
    <t>J.T-1</t>
  </si>
  <si>
    <t>aral</t>
  </si>
  <si>
    <t>J_T-2</t>
  </si>
  <si>
    <t>ConventionalValueOfCoulomb90</t>
  </si>
  <si>
    <t>alpha particle relative atomic mass</t>
  </si>
  <si>
    <t>Conventional Value Of Coulomb-90</t>
  </si>
  <si>
    <t>joule.tesla-2</t>
  </si>
  <si>
    <t>J.T-2</t>
  </si>
  <si>
    <t>K</t>
  </si>
  <si>
    <t>kelvin</t>
  </si>
  <si>
    <t>ConventionalValueOfFarad90</t>
  </si>
  <si>
    <t>Conventional Value Of Farad-90</t>
  </si>
  <si>
    <t>K_T-1</t>
  </si>
  <si>
    <t>K,T</t>
  </si>
  <si>
    <t>kelvin.tesla-1</t>
  </si>
  <si>
    <t>K.T-1</t>
  </si>
  <si>
    <t>ConventionalValueOfHenry90</t>
  </si>
  <si>
    <t>Conventional Value Of Henry-90</t>
  </si>
  <si>
    <t>kilogram</t>
  </si>
  <si>
    <t>ConventionalValueOfJosephsonConstant</t>
  </si>
  <si>
    <t>AtomicUnit,ElectricQuadrupoleMoment</t>
  </si>
  <si>
    <t>Conventional Value Of Josephson Constant</t>
  </si>
  <si>
    <t>kg_m_s-1</t>
  </si>
  <si>
    <t>kg,m,s</t>
  </si>
  <si>
    <t>kilogram.metre.second-1</t>
  </si>
  <si>
    <t>kg.m.s-1</t>
  </si>
  <si>
    <t>ConventionalValueOfOhm90</t>
  </si>
  <si>
    <t>Conventional Value Of Ohm-90</t>
  </si>
  <si>
    <t>AtomicUnit,Energy</t>
  </si>
  <si>
    <t>kg_mol-1</t>
  </si>
  <si>
    <t>kg,mol</t>
  </si>
  <si>
    <t>kilogram.mole-1</t>
  </si>
  <si>
    <t>kg.mol-1</t>
  </si>
  <si>
    <t>ral</t>
  </si>
  <si>
    <t>ConventionalValueOfVolt90</t>
  </si>
  <si>
    <t>Conventional Value Of Volt-90</t>
  </si>
  <si>
    <t>lm_W-1</t>
  </si>
  <si>
    <t>lm,W</t>
  </si>
  <si>
    <t>lumen.watt-1</t>
  </si>
  <si>
    <t>lm.W-1</t>
  </si>
  <si>
    <t>alpha particle rms charge radius</t>
  </si>
  <si>
    <t>rayon de charge effectif de l aparticule alpha</t>
  </si>
  <si>
    <t>ConventionalValueOfVonKlitzingConstant</t>
  </si>
  <si>
    <t>Conventional Value Of Von Klitzing Constant</t>
  </si>
  <si>
    <t>m</t>
  </si>
  <si>
    <t>metre</t>
  </si>
  <si>
    <t>AtomicUnit,Force</t>
  </si>
  <si>
    <t>m-1</t>
  </si>
  <si>
    <t>AtomicUnit,Length</t>
  </si>
  <si>
    <t>metre-1</t>
  </si>
  <si>
    <t>ConventionalValueOfWatt90</t>
  </si>
  <si>
    <t>m-1_K-1</t>
  </si>
  <si>
    <t>m.K</t>
  </si>
  <si>
    <t>metre-1.kelvin-1</t>
  </si>
  <si>
    <t>Conventional Value Of Watt-90</t>
  </si>
  <si>
    <t>m-1.K-1</t>
  </si>
  <si>
    <t>AtomicUnit,MagneticDipoleMoment</t>
  </si>
  <si>
    <t>m-1_T-1</t>
  </si>
  <si>
    <t>m,T</t>
  </si>
  <si>
    <t>metre-1.tesla-1</t>
  </si>
  <si>
    <t>m-1.T-1</t>
  </si>
  <si>
    <t>angstar</t>
  </si>
  <si>
    <t>Angstrom star</t>
  </si>
  <si>
    <t>ångström étoile</t>
  </si>
  <si>
    <t>m-3</t>
  </si>
  <si>
    <t>metre-3</t>
  </si>
  <si>
    <t>AtomicUnit,MagneticFluxDensity</t>
  </si>
  <si>
    <t>CuXUnit</t>
  </si>
  <si>
    <t>Copper X Unit</t>
  </si>
  <si>
    <t>m_K</t>
  </si>
  <si>
    <t>m,K</t>
  </si>
  <si>
    <t>metre.kelvin</t>
  </si>
  <si>
    <t>AtomicUnit,Magnetizability</t>
  </si>
  <si>
    <t>m_s-1</t>
  </si>
  <si>
    <t>m,s</t>
  </si>
  <si>
    <t>metre.second-1</t>
  </si>
  <si>
    <t>m.s-1</t>
  </si>
  <si>
    <t>DeuteronElectronMagneticMomentRatio</t>
  </si>
  <si>
    <t>Deuteron - Electron Magnetic Moment Ratio</t>
  </si>
  <si>
    <t>m_s-2</t>
  </si>
  <si>
    <t>metre.second-2</t>
  </si>
  <si>
    <t>m.s-2</t>
  </si>
  <si>
    <t>AtomicUnit,Mass</t>
  </si>
  <si>
    <t>DeuteronElectronMassRatio</t>
  </si>
  <si>
    <t>Deuteron - Electron Mass Ratio</t>
  </si>
  <si>
    <t>m2</t>
  </si>
  <si>
    <t>metre2</t>
  </si>
  <si>
    <t>m2_s-1</t>
  </si>
  <si>
    <t>metre2.second-1</t>
  </si>
  <si>
    <t>m2.s-1</t>
  </si>
  <si>
    <t>AtomicUnit,Momentum</t>
  </si>
  <si>
    <t>DeuteronGFactor</t>
  </si>
  <si>
    <t>Deuteron G Factor</t>
  </si>
  <si>
    <t>m3_kg-1_s-2</t>
  </si>
  <si>
    <t>atomic mass constant</t>
  </si>
  <si>
    <t>DeuteronMagneticMoment</t>
  </si>
  <si>
    <t>m,kg,s</t>
  </si>
  <si>
    <t>Deuteron Magnetic Moment</t>
  </si>
  <si>
    <t>constante de masse atomique</t>
  </si>
  <si>
    <t>metre3.kilogram-1.second-2</t>
  </si>
  <si>
    <t>m3.kg-1.s-2</t>
  </si>
  <si>
    <t>m3_mol-1</t>
  </si>
  <si>
    <t>m,mol</t>
  </si>
  <si>
    <t>metre3.mole-1</t>
  </si>
  <si>
    <t>DeuteronMagneticMomentToBohrMagnetonRatio</t>
  </si>
  <si>
    <t>Deuteron Magnetic Moment To Bohr Magneton Ratio</t>
  </si>
  <si>
    <t>m3.mol-1</t>
  </si>
  <si>
    <t>DeuteronMagneticMomentToNuclearMagnetonRatio</t>
  </si>
  <si>
    <t>Deuteron Magnetic Moment To Nuclear Magneton Ratio</t>
  </si>
  <si>
    <t>megaelectronvolt</t>
  </si>
  <si>
    <t>DeuteronMass</t>
  </si>
  <si>
    <t>Deuteron Mass</t>
  </si>
  <si>
    <t>MeV_fm</t>
  </si>
  <si>
    <t>muc2mev</t>
  </si>
  <si>
    <t>AtomicMassConstantEnergyEquivalentInMeV</t>
  </si>
  <si>
    <t>Atomic Mass Constant Energy Equivalent In MeV</t>
  </si>
  <si>
    <t>atomic mass constant energy equivalent in MeV</t>
  </si>
  <si>
    <t>énergie équivalente à la constante de masse atomique</t>
  </si>
  <si>
    <t>eV,m</t>
  </si>
  <si>
    <t>DeuteronMassEnergyEquivalent</t>
  </si>
  <si>
    <t>Deuteron Mass Energy Equivalent</t>
  </si>
  <si>
    <t>megaelectronvolt.femtometre</t>
  </si>
  <si>
    <t>MeV.fm</t>
  </si>
  <si>
    <t>DeuteronMolarMass</t>
  </si>
  <si>
    <t>Deuteron Molar Mass</t>
  </si>
  <si>
    <t>AtomicUnit,Permittivity</t>
  </si>
  <si>
    <t>MeV_c-1</t>
  </si>
  <si>
    <t>MeV.m-1.s</t>
  </si>
  <si>
    <t>megaelectronvolt.metre-1.second</t>
  </si>
  <si>
    <t>MeV.[c]-1</t>
  </si>
  <si>
    <t>DeuteronNeutronMagneticMomentRatio</t>
  </si>
  <si>
    <t>Deuteron - Neutron Magnetic Moment Ratio</t>
  </si>
  <si>
    <t>MHz_T-1</t>
  </si>
  <si>
    <t>DeuteronProtonMagneticMomentRatio</t>
  </si>
  <si>
    <t>Deuteron - Proton Magnetic Moment Ratio</t>
  </si>
  <si>
    <t>AtomicUnit,Time</t>
  </si>
  <si>
    <t>uev</t>
  </si>
  <si>
    <t>megahertz.tesla-1</t>
  </si>
  <si>
    <t>MHz.T-1</t>
  </si>
  <si>
    <t>atomic mass unit - electronvolt relationship</t>
  </si>
  <si>
    <t>DeuteronProtonMassRatio</t>
  </si>
  <si>
    <t>Deuteron - Proton Mass Ratio</t>
  </si>
  <si>
    <t>relation entre l'unité de masse atomique et l'électronvolt</t>
  </si>
  <si>
    <t>mol-1</t>
  </si>
  <si>
    <t>AtomicUnit,Velocity</t>
  </si>
  <si>
    <t>mole-1</t>
  </si>
  <si>
    <t>DeuteronRelativeAtomicMass</t>
  </si>
  <si>
    <t>Deuteron Relative Atomic Mass</t>
  </si>
  <si>
    <t>Avogadro</t>
  </si>
  <si>
    <t>N</t>
  </si>
  <si>
    <t>newton</t>
  </si>
  <si>
    <t>DeuteronRmsChargeRadius</t>
  </si>
  <si>
    <t>Deuteron Rms Charge Radius</t>
  </si>
  <si>
    <t>N_A-2</t>
  </si>
  <si>
    <t>N,A</t>
  </si>
  <si>
    <t>newton.ampere-2</t>
  </si>
  <si>
    <t>N.A-2</t>
  </si>
  <si>
    <t>SIDefiningConstant</t>
  </si>
  <si>
    <t>ElectromagneticPermeabilityOfVacuum</t>
  </si>
  <si>
    <t>Vacuum Magnetic Permeability</t>
  </si>
  <si>
    <t>BaseSIUnit</t>
  </si>
  <si>
    <t>Base SI Unit</t>
  </si>
  <si>
    <t>uhr</t>
  </si>
  <si>
    <t>ohm</t>
  </si>
  <si>
    <t>Ω</t>
  </si>
  <si>
    <t>atomic mass unit - hartree relationship</t>
  </si>
  <si>
    <t>relation entre l'unité de masse atomique et le hartree</t>
  </si>
  <si>
    <t>ElectronChargeToMassQuotient</t>
  </si>
  <si>
    <t>Electron Charge To Mass Quotient</t>
  </si>
  <si>
    <t>Ohm</t>
  </si>
  <si>
    <t>Bohr</t>
  </si>
  <si>
    <t>ohmXC</t>
  </si>
  <si>
    <t>ohm-90</t>
  </si>
  <si>
    <t>ElectronDeuteronMagneticMomentRatio</t>
  </si>
  <si>
    <t>Electron - Deuteron Magnetic Moment Ratio</t>
  </si>
  <si>
    <t>Pa</t>
  </si>
  <si>
    <t>pascal</t>
  </si>
  <si>
    <t>ElectronDeuteronMassRatio</t>
  </si>
  <si>
    <t>Electron - Deuteron Mass Ratio</t>
  </si>
  <si>
    <t>ElectronGFactor</t>
  </si>
  <si>
    <t>Electron G Factor</t>
  </si>
  <si>
    <t>Bohr,Radius</t>
  </si>
  <si>
    <t>Boltzmann</t>
  </si>
  <si>
    <t>s</t>
  </si>
  <si>
    <t>second</t>
  </si>
  <si>
    <t>ElectronGyromagneticRatio</t>
  </si>
  <si>
    <t>Electron Gyromagnetic Ratio</t>
  </si>
  <si>
    <t>uhz</t>
  </si>
  <si>
    <t>atomic mass unit - hertz relationship</t>
  </si>
  <si>
    <t>S</t>
  </si>
  <si>
    <t>relation entre l'unité de masse atomique et le hertz</t>
  </si>
  <si>
    <t>siemens</t>
  </si>
  <si>
    <t>s-1_T-1</t>
  </si>
  <si>
    <t>s,T</t>
  </si>
  <si>
    <t>second-1.tesla-1</t>
  </si>
  <si>
    <t>s-1.T-1</t>
  </si>
  <si>
    <t>ElectronHelionMassRatio</t>
  </si>
  <si>
    <t>Electron - Helion Mass Ratio</t>
  </si>
  <si>
    <t>T</t>
  </si>
  <si>
    <t>Caesium</t>
  </si>
  <si>
    <t>tesla</t>
  </si>
  <si>
    <t>Q1108</t>
  </si>
  <si>
    <t>ElectronMagneticMoment</t>
  </si>
  <si>
    <t>Electron Magnetic Moment</t>
  </si>
  <si>
    <t>atomic mass unit</t>
  </si>
  <si>
    <t>Da</t>
  </si>
  <si>
    <t>dalton</t>
  </si>
  <si>
    <t>Caesium133</t>
  </si>
  <si>
    <t>Caesium 133</t>
  </si>
  <si>
    <t>V</t>
  </si>
  <si>
    <t>Q2327948</t>
  </si>
  <si>
    <t>ElectronMagneticMomentAnomaly</t>
  </si>
  <si>
    <t>Electron Magnetic Moment Anomaly</t>
  </si>
  <si>
    <t>Carbon</t>
  </si>
  <si>
    <t>volt</t>
  </si>
  <si>
    <t>ElectronMagneticMomentToBohrMagnetonRatio</t>
  </si>
  <si>
    <t>Electron Magnetic Moment To Bohr Magneton Ratio</t>
  </si>
  <si>
    <t>Q623</t>
  </si>
  <si>
    <t>VXC</t>
  </si>
  <si>
    <t>volt-90</t>
  </si>
  <si>
    <t>uminv</t>
  </si>
  <si>
    <t>Carbon12</t>
  </si>
  <si>
    <t>atomic mass unit - inverse meter relationship</t>
  </si>
  <si>
    <t>relation entre l'unité de masse atomique et l'inverse du mètre</t>
  </si>
  <si>
    <t>m^-1</t>
  </si>
  <si>
    <t>V_m-1</t>
  </si>
  <si>
    <t>V,m</t>
  </si>
  <si>
    <t>ElectronMagneticMomentToNuclearMagnetonRatio</t>
  </si>
  <si>
    <t>Electron Magnetic Moment To Nuclear Magneton Ratio</t>
  </si>
  <si>
    <t>Q1058364</t>
  </si>
  <si>
    <t>volt.metre-1</t>
  </si>
  <si>
    <t>V.m-1</t>
  </si>
  <si>
    <t>ElectronMass</t>
  </si>
  <si>
    <t>Electron Mass</t>
  </si>
  <si>
    <t>Impedance,Vacuum</t>
  </si>
  <si>
    <t>V_m-2</t>
  </si>
  <si>
    <t>ElectronMassEnergyEquivalent</t>
  </si>
  <si>
    <t>Electron Mass Energy Equivalent</t>
  </si>
  <si>
    <t>volt.metre-2</t>
  </si>
  <si>
    <t>V.m-2</t>
  </si>
  <si>
    <t>W</t>
  </si>
  <si>
    <t>ElectronMolarMass</t>
  </si>
  <si>
    <t>Electron Molar Mass</t>
  </si>
  <si>
    <t>watt</t>
  </si>
  <si>
    <t>Charge</t>
  </si>
  <si>
    <t>Ruj</t>
  </si>
  <si>
    <t>atomic mass unit - joule relationship</t>
  </si>
  <si>
    <t>relation entre l'unité de masse atomique et le joule</t>
  </si>
  <si>
    <t>ElectronMuonMagneticMomentRatio</t>
  </si>
  <si>
    <t>A property of matter that gives rise to electric force.</t>
  </si>
  <si>
    <t>Electron - Muon Magnetic Moment Ratio</t>
  </si>
  <si>
    <t>ChargeDensity</t>
  </si>
  <si>
    <t>Charge Density</t>
  </si>
  <si>
    <t>Charge,Density</t>
  </si>
  <si>
    <t>A measure of electric charge per unit volume.</t>
  </si>
  <si>
    <t>WXC</t>
  </si>
  <si>
    <t>ElectronMuonMassRatio</t>
  </si>
  <si>
    <t>watt-90</t>
  </si>
  <si>
    <t>Electron - Muon Mass Ratio</t>
  </si>
  <si>
    <t>W_m-2_K-4</t>
  </si>
  <si>
    <t>W,m,K</t>
  </si>
  <si>
    <t>Electron,Radius</t>
  </si>
  <si>
    <t>ElectronNeutronMagneticMomentRatio</t>
  </si>
  <si>
    <t>Electron - Neutron Magnetic Moment Ratio</t>
  </si>
  <si>
    <t>watt.metre-2.kelvin-4</t>
  </si>
  <si>
    <t>Compton</t>
  </si>
  <si>
    <t>W.m-2.K-4</t>
  </si>
  <si>
    <t>ElectronNeutronMassRatio</t>
  </si>
  <si>
    <t>Electron - Neutron Mass Ratio</t>
  </si>
  <si>
    <t>Compton,Wavelength</t>
  </si>
  <si>
    <t>W_m2</t>
  </si>
  <si>
    <t>W,m</t>
  </si>
  <si>
    <t>watt.metre2</t>
  </si>
  <si>
    <t>W.m2</t>
  </si>
  <si>
    <t>ElectronProtonMagneticMomentRatio</t>
  </si>
  <si>
    <t>Conductance</t>
  </si>
  <si>
    <t>Electron - Proton Magnetic Moment Ratio</t>
  </si>
  <si>
    <t>W_m2_sr-1</t>
  </si>
  <si>
    <t>W,m,sr</t>
  </si>
  <si>
    <t>watt.metre2.steradian-1</t>
  </si>
  <si>
    <t>uj</t>
  </si>
  <si>
    <t>W.m2.sr-1</t>
  </si>
  <si>
    <t>atomic mass constant energy equivalent</t>
  </si>
  <si>
    <t>ElectronProtonMassRatio</t>
  </si>
  <si>
    <t>Electron - Proton Mass Ratio</t>
  </si>
  <si>
    <t>Wb</t>
  </si>
  <si>
    <t>weber</t>
  </si>
  <si>
    <t>Constant</t>
  </si>
  <si>
    <t>ElectronRelativeAtomicMass</t>
  </si>
  <si>
    <t>Electron Relative Atomic Mass</t>
  </si>
  <si>
    <t>ConventionalValue</t>
  </si>
  <si>
    <t>ElectronTauMassRatio</t>
  </si>
  <si>
    <t>Electron-Tau Mass Ratio</t>
  </si>
  <si>
    <t>ElectronToAlphaParticleMassRatio</t>
  </si>
  <si>
    <t>Electron To Alpha Particle Mass Ratio</t>
  </si>
  <si>
    <t>ConventionalValue,Ampere</t>
  </si>
  <si>
    <t>uk</t>
  </si>
  <si>
    <t>atomic mass unit - kelvin relationship</t>
  </si>
  <si>
    <t>relation entre l'unité de masse atomique et le kelvin</t>
  </si>
  <si>
    <t>ElectronToShieldedHelionMagneticMomentRatio</t>
  </si>
  <si>
    <t>Electron To Shielded Helion Magnetic Moment Ratio</t>
  </si>
  <si>
    <t>ConventionalValue,Coulomb</t>
  </si>
  <si>
    <t>ElectronToShieldedProtonMagneticMomentRatio</t>
  </si>
  <si>
    <t>Electron To Shielded Proton Magnetic Moment Ratio</t>
  </si>
  <si>
    <t>ConventionalValue,Farad</t>
  </si>
  <si>
    <t>ElectronTritonMassRatio</t>
  </si>
  <si>
    <t>Electron - Triton Mass Ratio</t>
  </si>
  <si>
    <t>ElectronVolt</t>
  </si>
  <si>
    <t>Electronvolt</t>
  </si>
  <si>
    <t>published</t>
  </si>
  <si>
    <t>description</t>
  </si>
  <si>
    <t>ConventionalValue,Henry</t>
  </si>
  <si>
    <t>Rukg</t>
  </si>
  <si>
    <t>ElectronVoltAtomicMassUnitRelationship</t>
  </si>
  <si>
    <t>Electronvolt - Atomic Mass Unit Relationship</t>
  </si>
  <si>
    <t>atomic mass unit - kilogram relationship</t>
  </si>
  <si>
    <t>relation entre l'unité de masse atomique et le kilogramme</t>
  </si>
  <si>
    <t>2022</t>
  </si>
  <si>
    <t>2018</t>
  </si>
  <si>
    <t>2014</t>
  </si>
  <si>
    <t>2010</t>
  </si>
  <si>
    <t>ConventionalValue,JosephsonConstant</t>
  </si>
  <si>
    <t>ElectronVoltHartreeRelationship</t>
  </si>
  <si>
    <t>2006</t>
  </si>
  <si>
    <t>Electronvolt - Hartree Relationship</t>
  </si>
  <si>
    <t>2002</t>
  </si>
  <si>
    <t>1998</t>
  </si>
  <si>
    <t>ElectronVoltHertzRelationship</t>
  </si>
  <si>
    <t>Electronvolt - Hertz Relationship</t>
  </si>
  <si>
    <t>ConventionalValue,Ohm</t>
  </si>
  <si>
    <t>ElectronVoltInverseMeterRelationship</t>
  </si>
  <si>
    <t>Electronvolt - Inverse Meter Relationship</t>
  </si>
  <si>
    <t>ConventionalValue,Volt</t>
  </si>
  <si>
    <t>ElectronVoltJouleRelationship</t>
  </si>
  <si>
    <t>Electronvolt - Joule Relationship</t>
  </si>
  <si>
    <t>ConventionalValue,VonKlitzingConstant</t>
  </si>
  <si>
    <t>auhypol</t>
  </si>
  <si>
    <t>atomic unit of first hyperpolarizability</t>
  </si>
  <si>
    <t>Unité atomique de première hypolarisabilité</t>
  </si>
  <si>
    <t>C^3 m^3 J^-2</t>
  </si>
  <si>
    <t>ConventionalValue,Watt</t>
  </si>
  <si>
    <t>ElectronVoltKelvinRelationship</t>
  </si>
  <si>
    <t>Electronvolt - Kelvin Relationship</t>
  </si>
  <si>
    <t>Copper</t>
  </si>
  <si>
    <t>AtomicUnitOf1stHyperpolarizablity</t>
  </si>
  <si>
    <t>Coulomb</t>
  </si>
  <si>
    <t>ElectronVoltKilogramRelationship</t>
  </si>
  <si>
    <t>Electronvolt - Kilogram Relationship</t>
  </si>
  <si>
    <t>CrossSection</t>
  </si>
  <si>
    <t>Cross Section</t>
  </si>
  <si>
    <t>ElementaryCharge</t>
  </si>
  <si>
    <t>Elementary Charge</t>
  </si>
  <si>
    <t>Current</t>
  </si>
  <si>
    <t>ElementaryChargeOverH</t>
  </si>
  <si>
    <t>Elementary Charge Over H-Bar</t>
  </si>
  <si>
    <t>The rate of flow of electric charge.</t>
  </si>
  <si>
    <t>FaradayConstant</t>
  </si>
  <si>
    <t>Faraday Constant</t>
  </si>
  <si>
    <t>au2hypol</t>
  </si>
  <si>
    <t>atomic unit of second hyperpolarizability</t>
  </si>
  <si>
    <t>Unité atomique de seconde hypolarisabilité</t>
  </si>
  <si>
    <t>C^4 m^4 J^-3</t>
  </si>
  <si>
    <t>FermiCouplingConstant</t>
  </si>
  <si>
    <t>Fermi Coupling Constant</t>
  </si>
  <si>
    <t>AtomicUnitOf2ndHyperpolarizablity</t>
  </si>
  <si>
    <t>Density</t>
  </si>
  <si>
    <t>FineStructureConstant</t>
  </si>
  <si>
    <t>Fine-Structure Constant</t>
  </si>
  <si>
    <t>Deuteron</t>
  </si>
  <si>
    <t>FirstRadiationConstant</t>
  </si>
  <si>
    <t>First Radiation Constant</t>
  </si>
  <si>
    <t>Q503527</t>
  </si>
  <si>
    <t>FirstRadiationConstantForSpectralRadiance</t>
  </si>
  <si>
    <t>First Radiation Constant For Spectral Radiance</t>
  </si>
  <si>
    <t>tthbar</t>
  </si>
  <si>
    <t>atomic unit of action</t>
  </si>
  <si>
    <t>unité atomique d'action</t>
  </si>
  <si>
    <t>J s</t>
  </si>
  <si>
    <t>Deuteron,Electron,MagneticMoment,Ratio</t>
  </si>
  <si>
    <t>HartreeAtomicMassUnitRelationship</t>
  </si>
  <si>
    <t>Hartree - Atomic Mass Unit Relationship</t>
  </si>
  <si>
    <t>HartreeElectronVoltRelationship</t>
  </si>
  <si>
    <t>Hartree - Electronvolt Relationship</t>
  </si>
  <si>
    <t>Deuteron,Electron,MassRatio</t>
  </si>
  <si>
    <t>HartreeEnergy</t>
  </si>
  <si>
    <t>Hartree Energy</t>
  </si>
  <si>
    <t>Deuteron,GFactor</t>
  </si>
  <si>
    <t>HartreeHertzRelationship</t>
  </si>
  <si>
    <t>Hartree - Hertz Relationship</t>
  </si>
  <si>
    <t>HartreeInverseMeterRelationship</t>
  </si>
  <si>
    <t>Hartree - Inverse Meter Relationship</t>
  </si>
  <si>
    <t>Ae</t>
  </si>
  <si>
    <t>atomic unit of charge</t>
  </si>
  <si>
    <t>unité atomique de charge</t>
  </si>
  <si>
    <t>HartreeJouleRelationship</t>
  </si>
  <si>
    <t>Hartree - Joule Relationship</t>
  </si>
  <si>
    <t>[e]</t>
  </si>
  <si>
    <t>HartreeKelvinRelationship</t>
  </si>
  <si>
    <t>Hartree - Kelvin Relationship</t>
  </si>
  <si>
    <t>HartreeKilogramRelationship</t>
  </si>
  <si>
    <t>Hartree - Kilogram Relationship</t>
  </si>
  <si>
    <t>Deuteron,MagneticMoment</t>
  </si>
  <si>
    <t>aucd</t>
  </si>
  <si>
    <t>HelionElectronMassRatio</t>
  </si>
  <si>
    <t>Helion-Electron Mass Ratio</t>
  </si>
  <si>
    <t>atomic unit of charge density</t>
  </si>
  <si>
    <t>unité atomique de densité de charge</t>
  </si>
  <si>
    <t>C m^-3</t>
  </si>
  <si>
    <t>Deuteron,MagneticMoment,BohrMagneton,Ratio</t>
  </si>
  <si>
    <t>HelionGFactor</t>
  </si>
  <si>
    <t>Helion G Factor</t>
  </si>
  <si>
    <t>Deuteron,MagneticMoment,NuclearMagneton,Ratio</t>
  </si>
  <si>
    <t>HelionMagneticMoment</t>
  </si>
  <si>
    <t>Helion Magnetic Moment</t>
  </si>
  <si>
    <t>HelionMagneticMomentToBohrMagnetonRatio</t>
  </si>
  <si>
    <t>Helion Magnetic Moment To Bohr Magneton Ratio</t>
  </si>
  <si>
    <t>HelionMagneticMomentToNuclearMagnetonRatio</t>
  </si>
  <si>
    <t>Helion Magnetic Moment To Nuclear Magneton Ratio</t>
  </si>
  <si>
    <t>aucur</t>
  </si>
  <si>
    <t>atomic unit of current</t>
  </si>
  <si>
    <t>unité atomique de courant</t>
  </si>
  <si>
    <t>HelionMass</t>
  </si>
  <si>
    <t>Helion Mass</t>
  </si>
  <si>
    <t>HelionMassEnergyEquivalent</t>
  </si>
  <si>
    <t>Helion Mass Energy Equivalent</t>
  </si>
  <si>
    <t>Deuteron,Mass</t>
  </si>
  <si>
    <t>HelionMolarMass</t>
  </si>
  <si>
    <t>Helion Molar Mass</t>
  </si>
  <si>
    <t>DeuteronMass,EnergyEquivalent</t>
  </si>
  <si>
    <t>HelionProtonMassRatio</t>
  </si>
  <si>
    <t>Helion-Proton Mass Ratio</t>
  </si>
  <si>
    <t>auedm</t>
  </si>
  <si>
    <t>Deuteron,MolarMass</t>
  </si>
  <si>
    <t>atomic unit of electric dipole moment</t>
  </si>
  <si>
    <t>unité atomique de moment dipolaire électrique</t>
  </si>
  <si>
    <t>C m</t>
  </si>
  <si>
    <t>HelionRelativeAtomicMass</t>
  </si>
  <si>
    <t>Helion Relative Atomic Mass</t>
  </si>
  <si>
    <t>Deuteron,Neutron,MagneticMoment,Ratio</t>
  </si>
  <si>
    <t>HelionShieldingShift</t>
  </si>
  <si>
    <t>Helion Shielding Shift</t>
  </si>
  <si>
    <t>HertzAtomicMassUnitRelationship</t>
  </si>
  <si>
    <t>Hertz - Atomic Mass Unit Relationship</t>
  </si>
  <si>
    <t>Deuteron,Proton,MagneticMoment,Ratio</t>
  </si>
  <si>
    <t>HertzElectronVoltRelationship</t>
  </si>
  <si>
    <t>Hertz - Electronvolt Relationship</t>
  </si>
  <si>
    <t>HertzHartreeRelationship</t>
  </si>
  <si>
    <t>Hertz - Hartree Relationship</t>
  </si>
  <si>
    <t>auefld</t>
  </si>
  <si>
    <t>Deuteron,Proton,MassRatio</t>
  </si>
  <si>
    <t>atomic unit of electric field</t>
  </si>
  <si>
    <t>unité atomique de champ électrique</t>
  </si>
  <si>
    <t>V m^-1</t>
  </si>
  <si>
    <t>HertzInverseMeterRelationship</t>
  </si>
  <si>
    <t>Hertz - Inverse Meter Relationship</t>
  </si>
  <si>
    <t>Deuteron,RelativeAtomicMass</t>
  </si>
  <si>
    <t>HertzJouleRelationship</t>
  </si>
  <si>
    <t>Hertz - Joule Relationship</t>
  </si>
  <si>
    <t>HertzKelvinRelationship</t>
  </si>
  <si>
    <t>Hertz - Kelvin Relationship</t>
  </si>
  <si>
    <t>Deuteron,RmsChargeRadius</t>
  </si>
  <si>
    <t>Difference</t>
  </si>
  <si>
    <t>HertzKilogramRelationship</t>
  </si>
  <si>
    <t>Hertz - Kilogram Relationship</t>
  </si>
  <si>
    <t>Displacement</t>
  </si>
  <si>
    <t>HyperfineTransitionFrequencyOfCs133</t>
  </si>
  <si>
    <t>Hyperfine Transition Frequency Of Cs-133</t>
  </si>
  <si>
    <t>(\(\Delta \nu _{Cs}\)</t>
  </si>
  <si>
    <t>ElectricConstant</t>
  </si>
  <si>
    <t>Electric Constant</t>
  </si>
  <si>
    <t>InverseFineStructureConstant</t>
  </si>
  <si>
    <t>Inverse Fine-Structure Constant</t>
  </si>
  <si>
    <t>auefg</t>
  </si>
  <si>
    <t>atomic unit of electric field gradient</t>
  </si>
  <si>
    <t>unité atomique de gradient de champ électrique</t>
  </si>
  <si>
    <t>V m^-2</t>
  </si>
  <si>
    <t>PermittivityOfVacuum</t>
  </si>
  <si>
    <t>InverseMeterAtomicMassUnitRelationship</t>
  </si>
  <si>
    <t>Inverse Meter - Atomic Mass Unit Relationship</t>
  </si>
  <si>
    <t>ElectricDipoleMoment</t>
  </si>
  <si>
    <t>Electric Dipole Moment</t>
  </si>
  <si>
    <t>InverseMeterElectronVoltRelationship</t>
  </si>
  <si>
    <t>Inverse Meter - Electronvolt Relationship</t>
  </si>
  <si>
    <t>ElectricField</t>
  </si>
  <si>
    <t>InverseMeterHartreeRelationship</t>
  </si>
  <si>
    <t>Electric Field</t>
  </si>
  <si>
    <t>Inverse Meter-Hartree Relationship</t>
  </si>
  <si>
    <t>ElectricFieldGradient</t>
  </si>
  <si>
    <t>Electric Field Gradient</t>
  </si>
  <si>
    <t>InverseMeterHertzRelationship</t>
  </si>
  <si>
    <t>Inverse Meter - Hertz Relationship</t>
  </si>
  <si>
    <t>ElectricPolarizability</t>
  </si>
  <si>
    <t>Electric Polarizability</t>
  </si>
  <si>
    <t>InverseMeterJouleRelationship</t>
  </si>
  <si>
    <t>Inverse Meter - Joule Relationship</t>
  </si>
  <si>
    <t>auepol</t>
  </si>
  <si>
    <t>atomic unit of electric polarizability</t>
  </si>
  <si>
    <t>unité atomique de polarisabilité</t>
  </si>
  <si>
    <t>C^2 m^2 J^-1</t>
  </si>
  <si>
    <t>ElectricPotential</t>
  </si>
  <si>
    <t>Electric Potential</t>
  </si>
  <si>
    <t>InverseMeterKelvinRelationship</t>
  </si>
  <si>
    <t>Inverse Meter - Kelvin Relationship</t>
  </si>
  <si>
    <t>InverseMeterKilogramRelationship</t>
  </si>
  <si>
    <t>Inverse Meter - Kilogram Relationship</t>
  </si>
  <si>
    <t>ElectricQuadrupoleMoment</t>
  </si>
  <si>
    <t>Electric Quadrupole Moment</t>
  </si>
  <si>
    <t>AtomicUnitOfElectricPolarizablity</t>
  </si>
  <si>
    <t>InverseOfConductanceQuantum</t>
  </si>
  <si>
    <t>Inverse Of Conductance Quantum</t>
  </si>
  <si>
    <t>ElectromagneticPermeability</t>
  </si>
  <si>
    <t>Permeability</t>
  </si>
  <si>
    <t>JosephsonConstant</t>
  </si>
  <si>
    <t>Josephson Constant</t>
  </si>
  <si>
    <t>JouleAtomicMassUnitRelationship</t>
  </si>
  <si>
    <t>Joule - Atomic Mass Unit Relationship</t>
  </si>
  <si>
    <t>ElectromagneticPermeability,Vacuum</t>
  </si>
  <si>
    <t>JouleElectronVoltRelationship</t>
  </si>
  <si>
    <t>MagneticConstant</t>
  </si>
  <si>
    <t>Joule - Electronvolt Relationship</t>
  </si>
  <si>
    <t>auep</t>
  </si>
  <si>
    <t>atomic unit of electric potential</t>
  </si>
  <si>
    <t>unité atomique de potentiel électrique</t>
  </si>
  <si>
    <t>Electron</t>
  </si>
  <si>
    <t>JouleHartreeRelationship</t>
  </si>
  <si>
    <t>Eletron</t>
  </si>
  <si>
    <t>Joule - Hartree Relationship</t>
  </si>
  <si>
    <t>ElementaryParticle</t>
  </si>
  <si>
    <t>e-</t>
  </si>
  <si>
    <t>Q2225</t>
  </si>
  <si>
    <t>JouleHertzRelationship</t>
  </si>
  <si>
    <t>Joule - Hertz Relationship</t>
  </si>
  <si>
    <t>A subatomic particle with a negative electric charge.</t>
  </si>
  <si>
    <t>JouleInverseMeterRelationship</t>
  </si>
  <si>
    <t>Joule - Inverse Meter Relationship</t>
  </si>
  <si>
    <t>Electron,Charge,Mass</t>
  </si>
  <si>
    <t>JouleKelvinRelationship</t>
  </si>
  <si>
    <t>Joule - Kelvin Relationship</t>
  </si>
  <si>
    <t>Electron,Deuteron,MagneticMoment,Ratio</t>
  </si>
  <si>
    <t>JouleKilogramRelationship</t>
  </si>
  <si>
    <t>Joule - Kilogram Relationship</t>
  </si>
  <si>
    <t>KelvinAtomicMassUnitRelationship</t>
  </si>
  <si>
    <t>Kelvin - Atomic Mass Unit Relationship</t>
  </si>
  <si>
    <t>Electron,Deuteron,MassRatio</t>
  </si>
  <si>
    <t>aueqm</t>
  </si>
  <si>
    <t>atomic unit of electric quadrupole moment</t>
  </si>
  <si>
    <t>unité atomique de moment quadrupolaire électrique</t>
  </si>
  <si>
    <t>C m^2</t>
  </si>
  <si>
    <t>KelvinElectronVoltRelationship</t>
  </si>
  <si>
    <t>Kelvin - Electronvolt Relationship</t>
  </si>
  <si>
    <t>Electron,GFactor</t>
  </si>
  <si>
    <t>KelvinHartreeRelationship</t>
  </si>
  <si>
    <t>Kelvin - Hartree Relationship</t>
  </si>
  <si>
    <t>KelvinHertzRelationship</t>
  </si>
  <si>
    <t>Kelvin - Hertz Relationship</t>
  </si>
  <si>
    <t>Electron,Gyromagnetic,Ratio</t>
  </si>
  <si>
    <t>KelvinInverseMeterRelationship</t>
  </si>
  <si>
    <t>Kelvin - Inverse Meter Relationship</t>
  </si>
  <si>
    <t>KelvinJouleRelationship</t>
  </si>
  <si>
    <t>Kelvin - Joule Relationship</t>
  </si>
  <si>
    <t>Electron,Helion,MassRatio</t>
  </si>
  <si>
    <t>KelvinKilogramRelationship</t>
  </si>
  <si>
    <t>Kelvin - Kilogram Relationship</t>
  </si>
  <si>
    <t>thr</t>
  </si>
  <si>
    <t>atomic unit of energy</t>
  </si>
  <si>
    <t>unité atomique d'énergie</t>
  </si>
  <si>
    <t>KilogramAtomicMassUnitRelationship</t>
  </si>
  <si>
    <t>Kilogram - Atomic Mass Unit Relationship</t>
  </si>
  <si>
    <t>Electron,MagneticMoment</t>
  </si>
  <si>
    <t>KilogramElectronVoltRelationship</t>
  </si>
  <si>
    <t>Kilogram - Electronvolt Relationship</t>
  </si>
  <si>
    <t>KilogramHartreeRelationship</t>
  </si>
  <si>
    <t>Kilogram - Hartree Relationship</t>
  </si>
  <si>
    <t>KilogramHertzRelationship</t>
  </si>
  <si>
    <t>Kilogram - Hertz Relationship</t>
  </si>
  <si>
    <t>KilogramInverseMeterRelationship</t>
  </si>
  <si>
    <t>Kilogram - Inverse Meter Relationship</t>
  </si>
  <si>
    <t>Electron,MagneticMoment,BohrMagneton,Ratio</t>
  </si>
  <si>
    <t>KilogramJouleRelationship</t>
  </si>
  <si>
    <t>Kilogram - Joule Relationship</t>
  </si>
  <si>
    <t>KilogramKelvinRelationship</t>
  </si>
  <si>
    <t>Kilogram - Kelvin Relationship</t>
  </si>
  <si>
    <t>Electron,MagneticMoment,NuclearMagneton,Ratio</t>
  </si>
  <si>
    <t>auforce</t>
  </si>
  <si>
    <t>atomic unit of force</t>
  </si>
  <si>
    <t>unité atomique de force</t>
  </si>
  <si>
    <t>LatticeParameterOfSilicon</t>
  </si>
  <si>
    <t>Lattice Parameter Of Silicon</t>
  </si>
  <si>
    <t>Electron,Mass</t>
  </si>
  <si>
    <t>LatticeSpacingOfSilicon</t>
  </si>
  <si>
    <t>Lattice Spacing Of Ideal Si (220)</t>
  </si>
  <si>
    <t>LoschmidtConstant</t>
  </si>
  <si>
    <t>Loschmidt Constant (273.15 K, 100 KPa)</t>
  </si>
  <si>
    <t>ElectronMass,EnergyEquivalent</t>
  </si>
  <si>
    <t>LuminousEfficacy</t>
  </si>
  <si>
    <t>Luminous Efficacy</t>
  </si>
  <si>
    <t>Electron,MolarMass</t>
  </si>
  <si>
    <t>MagneticFluxQuantum</t>
  </si>
  <si>
    <t>Magnetic Flux Quantum</t>
  </si>
  <si>
    <t>Electron,Muon,MagneticMoment,Ratio</t>
  </si>
  <si>
    <t>tbohrrada0</t>
  </si>
  <si>
    <t>MolarGasConstant</t>
  </si>
  <si>
    <t>Molar Gas Constant</t>
  </si>
  <si>
    <t>atomic unit of length</t>
  </si>
  <si>
    <t>unité atomique de longueur</t>
  </si>
  <si>
    <t>MolarMassConstant</t>
  </si>
  <si>
    <t>Molar Mass Constant</t>
  </si>
  <si>
    <t>Electron,Muon,MassRatio</t>
  </si>
  <si>
    <t>MolarMassOfCarbon12</t>
  </si>
  <si>
    <t>Molar Mass Of Carbon-12</t>
  </si>
  <si>
    <t>Electron,Neutron,MagneticMoment,Ratio</t>
  </si>
  <si>
    <t>MolarPlanckConstant</t>
  </si>
  <si>
    <t>Molar Planck Constant</t>
  </si>
  <si>
    <t>MolarPlanckConstantTimesC</t>
  </si>
  <si>
    <t>Molar Planck Constant Times C</t>
  </si>
  <si>
    <t>Electron,Neutron,MassRatio</t>
  </si>
  <si>
    <t>MolarVolumeOfIdealGas</t>
  </si>
  <si>
    <t>Molar Volume Of Ideal Gas (273.15 K, 100 KPa)</t>
  </si>
  <si>
    <t>Electron,Proton,MagneticMoment,Ratio</t>
  </si>
  <si>
    <t>MolarVolumeOfSilicon</t>
  </si>
  <si>
    <t>Molar Volume Of Silicon</t>
  </si>
  <si>
    <t>MoXUnit</t>
  </si>
  <si>
    <t>Molybdenum X Unit</t>
  </si>
  <si>
    <t>aumdm</t>
  </si>
  <si>
    <t>Electron,Proton,MassRatio</t>
  </si>
  <si>
    <t>atomic unit of magnetic dipole moment</t>
  </si>
  <si>
    <t>unité atomique de moment dipolaire magnétique</t>
  </si>
  <si>
    <t>J T^-1</t>
  </si>
  <si>
    <t>MuonComptonWavelength</t>
  </si>
  <si>
    <t>Muon Compton Wavelength</t>
  </si>
  <si>
    <t>Electron,RelativeAtomicMass</t>
  </si>
  <si>
    <t>MuonElectronMassRatio</t>
  </si>
  <si>
    <t>Muon - Electron Mass Ratio</t>
  </si>
  <si>
    <t>MuonGFactor</t>
  </si>
  <si>
    <t>Muon G Factor</t>
  </si>
  <si>
    <t>Electron,Tau,MassRatio</t>
  </si>
  <si>
    <t>MuonMagneticMoment</t>
  </si>
  <si>
    <t>Muon Magnetic Moment</t>
  </si>
  <si>
    <t>Electron,AlphaParticle,MassRatio</t>
  </si>
  <si>
    <t>MuonMagneticMomentAnomaly</t>
  </si>
  <si>
    <t>Muon Magnetic Moment Anomaly</t>
  </si>
  <si>
    <t>aumfd</t>
  </si>
  <si>
    <t>atomic unit of mag. flux density</t>
  </si>
  <si>
    <t>unité atomique de densité de flux magnétique</t>
  </si>
  <si>
    <t>MuonMagneticMomentToBohrMagnetonRatio</t>
  </si>
  <si>
    <t>Muon Magnetic Moment To Bohr Magneton Ratio</t>
  </si>
  <si>
    <t>Electron,ShieldedHelion,MagneticMoment,Ratio</t>
  </si>
  <si>
    <t>MuonMagneticMomentToNuclearMagnetonRatio</t>
  </si>
  <si>
    <t>Muon Magnetic Moment To Nuclear Magneton Ratio</t>
  </si>
  <si>
    <t>MuonMass</t>
  </si>
  <si>
    <t>Muon Mass</t>
  </si>
  <si>
    <t>Electron,ShieldedProton,MagneticMoment,Ratio</t>
  </si>
  <si>
    <t>MuonMassEnergyEquivalent</t>
  </si>
  <si>
    <t>Muon Mass Energy Equivalent</t>
  </si>
  <si>
    <t>Electron,Triton,MassRatio</t>
  </si>
  <si>
    <t>MuonMolarMass</t>
  </si>
  <si>
    <t>Muon Molar Mass</t>
  </si>
  <si>
    <t>aumag</t>
  </si>
  <si>
    <t>MuonNeutronMassRatio</t>
  </si>
  <si>
    <t>Muon - Neutron Mass Ratio</t>
  </si>
  <si>
    <t>atomic unit of magnetizability</t>
  </si>
  <si>
    <t>unité atomique de magnétisabilité</t>
  </si>
  <si>
    <t>J T^-2</t>
  </si>
  <si>
    <t>Electron,Volt</t>
  </si>
  <si>
    <t>MuonProtonMagneticMomentRatio</t>
  </si>
  <si>
    <t>Muon - Proton Magnetic Moment Ratio</t>
  </si>
  <si>
    <t>MuonProtonMassRatio</t>
  </si>
  <si>
    <t>ElectronVolt,AtomicMassUnit,Relationship</t>
  </si>
  <si>
    <t>Muon - Proton Mass Ratio</t>
  </si>
  <si>
    <t>MuonTauMassRatio</t>
  </si>
  <si>
    <t>Muon - Tau Mass Ratio</t>
  </si>
  <si>
    <t>ElectronVolt,Hartree,Relationship</t>
  </si>
  <si>
    <t>NaturalUnitOfAction</t>
  </si>
  <si>
    <t>Natural Unit Of Action</t>
  </si>
  <si>
    <t>NaturalUnitOfEnergy</t>
  </si>
  <si>
    <t>Natural Unit Of Energy</t>
  </si>
  <si>
    <t>ElectronVolt,Hertz,Relationship</t>
  </si>
  <si>
    <t>ttme</t>
  </si>
  <si>
    <t>atomic unit of mass</t>
  </si>
  <si>
    <t>NaturalUnitOfLength</t>
  </si>
  <si>
    <t>unité atomique de masse</t>
  </si>
  <si>
    <t>Natural Unit Of Length</t>
  </si>
  <si>
    <t>nist_name</t>
  </si>
  <si>
    <t>NaturalUnitOfMass</t>
  </si>
  <si>
    <t>Natural Unit Of Mass</t>
  </si>
  <si>
    <t>ElectronVolt,InverseMeter,Relationship</t>
  </si>
  <si>
    <t>alt_nist_id</t>
  </si>
  <si>
    <t>nist_url</t>
  </si>
  <si>
    <t>notes</t>
  </si>
  <si>
    <t>usage_count</t>
  </si>
  <si>
    <t>NaturalUnitOfMomentum</t>
  </si>
  <si>
    <t>Natural Unit Of Momentum</t>
  </si>
  <si>
    <t>ElectronVolt,Joule,Relationship</t>
  </si>
  <si>
    <t>NaturalUnitOfTime</t>
  </si>
  <si>
    <t>Natural Unit Of Time</t>
  </si>
  <si>
    <t>{220} lattice spacing of silicon</t>
  </si>
  <si>
    <t>d220sil</t>
  </si>
  <si>
    <t>NaturalUnitOfVelocity</t>
  </si>
  <si>
    <t>Natural Unit Of Velocity</t>
  </si>
  <si>
    <t>ElectronVolt,Kelvin,Relationship</t>
  </si>
  <si>
    <t>NeutronComptonWavelength</t>
  </si>
  <si>
    <t>Neutron Compton Wavelength</t>
  </si>
  <si>
    <t>ElectronVolt,Kilogram,Relationship</t>
  </si>
  <si>
    <t>NeutronElectronMagneticMomentRatio</t>
  </si>
  <si>
    <t>Neutron - Electron Magnetic Moment Ratio</t>
  </si>
  <si>
    <t>NeutronElectronMassRatio</t>
  </si>
  <si>
    <t>Neutron - Electron Mass Ratio</t>
  </si>
  <si>
    <t>NeutronGFactor</t>
  </si>
  <si>
    <t>Neutron G Factor</t>
  </si>
  <si>
    <t>NeutronGyromagneticRatio</t>
  </si>
  <si>
    <t>Neutron Gyromagnetic Ratio</t>
  </si>
  <si>
    <t>Elementary Particle</t>
  </si>
  <si>
    <t>aumom</t>
  </si>
  <si>
    <t>NeutronMagneticMoment</t>
  </si>
  <si>
    <t>Neutron Magnetic Moment</t>
  </si>
  <si>
    <t>Q43116</t>
  </si>
  <si>
    <t>atomic unit of momentum</t>
  </si>
  <si>
    <t>NeutronMagneticMomentToBohrMagnetonRatio</t>
  </si>
  <si>
    <t>Neutron Magnetic Moment To Bohr Magneton Ratio</t>
  </si>
  <si>
    <t>unité atomique d'impulsion</t>
  </si>
  <si>
    <t>Energy</t>
  </si>
  <si>
    <t>kg m s^-1</t>
  </si>
  <si>
    <t>NeutronMagneticMomentToNuclearMagnetonRatio</t>
  </si>
  <si>
    <t>Neutron Magnetic Moment To Nuclear Magneton Ratio</t>
  </si>
  <si>
    <t>EnergyEquivalent</t>
  </si>
  <si>
    <t>NeutronMass</t>
  </si>
  <si>
    <t>Neutron Mass</t>
  </si>
  <si>
    <t>Farad</t>
  </si>
  <si>
    <t>Faraday</t>
  </si>
  <si>
    <t>NeutronMassEnergyEquivalent</t>
  </si>
  <si>
    <t>Neutron Mass Energy Equivalent</t>
  </si>
  <si>
    <t>NeutronMolarMass</t>
  </si>
  <si>
    <t>Neutron Molar Mass</t>
  </si>
  <si>
    <t>NeutronMuonMassRatio</t>
  </si>
  <si>
    <t>Neutron - Muon Mass Ratio</t>
  </si>
  <si>
    <t>auperm</t>
  </si>
  <si>
    <t>Fermi</t>
  </si>
  <si>
    <t>NeutronProtonMagneticMomentRatio</t>
  </si>
  <si>
    <t>Neutron - Proton Magnetic Moment Ratio</t>
  </si>
  <si>
    <t>atomic unit of permittivity</t>
  </si>
  <si>
    <t>unité atomique de permittivité</t>
  </si>
  <si>
    <t>F m^-1</t>
  </si>
  <si>
    <t>NeutronProtonMassDifference</t>
  </si>
  <si>
    <t>Neutron - Proton Mass Difference</t>
  </si>
  <si>
    <t>NeutronProtonMassDifferenceEnergyEquivalent</t>
  </si>
  <si>
    <t>Neutron - Proton Mass Difference Energy Equivalent</t>
  </si>
  <si>
    <t>NeutronProtonMassRatio</t>
  </si>
  <si>
    <t>Neutron - Proton Mass Ratio</t>
  </si>
  <si>
    <t>NeutronRelativeAtomicMass</t>
  </si>
  <si>
    <t>Neutron Relative Atomic Mass</t>
  </si>
  <si>
    <t>aut</t>
  </si>
  <si>
    <t>NeutronTauMassRatio</t>
  </si>
  <si>
    <t>Neutron - Tau Mass Ratio</t>
  </si>
  <si>
    <t>atomic unit of time</t>
  </si>
  <si>
    <t>unité atomique de temps</t>
  </si>
  <si>
    <t>NeutronToShieldedProtonMagneticMomentRatio</t>
  </si>
  <si>
    <t>Neutron To Shielded Proton Magnetic Moment Ratio</t>
  </si>
  <si>
    <t>NewtonianConstantOfGravitation</t>
  </si>
  <si>
    <t>Newtonian Constant Of Gravitation</t>
  </si>
  <si>
    <t>Radiation,SpectralRadiance</t>
  </si>
  <si>
    <t>Force</t>
  </si>
  <si>
    <t>NuclearMagneton</t>
  </si>
  <si>
    <t>Nuclear Magneton</t>
  </si>
  <si>
    <t>Frequency</t>
  </si>
  <si>
    <t>Vacuum Electric Permittivity</t>
  </si>
  <si>
    <t>auvel</t>
  </si>
  <si>
    <t>FrequencyDisplacement</t>
  </si>
  <si>
    <t>Frequency Displacement</t>
  </si>
  <si>
    <t>PlanckConstant</t>
  </si>
  <si>
    <t>Planck Constant</t>
  </si>
  <si>
    <t>atomic unit of velocity</t>
  </si>
  <si>
    <t>unité atomique de vitesse</t>
  </si>
  <si>
    <t>m s^-1</t>
  </si>
  <si>
    <t>Frequency,Displacement</t>
  </si>
  <si>
    <t>Gas</t>
  </si>
  <si>
    <t>PlanckLength</t>
  </si>
  <si>
    <t>Planck Length</t>
  </si>
  <si>
    <t>GFactor</t>
  </si>
  <si>
    <t>PlanckMass</t>
  </si>
  <si>
    <t>Planck Mass</t>
  </si>
  <si>
    <t>Gravitation</t>
  </si>
  <si>
    <t>PlanckTemperature</t>
  </si>
  <si>
    <t>Planck Temperature</t>
  </si>
  <si>
    <t>Gravity</t>
  </si>
  <si>
    <t>PlanckTime</t>
  </si>
  <si>
    <t>Planck Time</t>
  </si>
  <si>
    <t>na</t>
  </si>
  <si>
    <t>Gyromagnetic</t>
  </si>
  <si>
    <t>Avogadro constant</t>
  </si>
  <si>
    <t>constante d'Avogadro</t>
  </si>
  <si>
    <t>mol^-1</t>
  </si>
  <si>
    <t>ProtonChargeToMassQuotient</t>
  </si>
  <si>
    <t>Proton Charge To Mass Quotient</t>
  </si>
  <si>
    <t>GyromagneticRatio</t>
  </si>
  <si>
    <t>ProtonComptonWavelength</t>
  </si>
  <si>
    <t>Proton Compton Wavelength</t>
  </si>
  <si>
    <t>Hartree</t>
  </si>
  <si>
    <t>ProtonElectronMassRatio</t>
  </si>
  <si>
    <t>Proton-Electron Mass Ratio</t>
  </si>
  <si>
    <t>Eh</t>
  </si>
  <si>
    <t>ProtonGFactor</t>
  </si>
  <si>
    <t>Proton G Factor</t>
  </si>
  <si>
    <t>A unit of energy used in quantum mechanics and atomic physics</t>
  </si>
  <si>
    <t>ProtonGyromagneticRatio</t>
  </si>
  <si>
    <t>Proton Gyromagnetic Ratio</t>
  </si>
  <si>
    <t>mub</t>
  </si>
  <si>
    <t>ProtonMagneticMoment</t>
  </si>
  <si>
    <t>Proton Magnetic Moment</t>
  </si>
  <si>
    <t>Hartree,AtomicMassUnit,Relationship</t>
  </si>
  <si>
    <t>Bohr magneton</t>
  </si>
  <si>
    <t>magnéton de Bohr</t>
  </si>
  <si>
    <t>ProtonMagneticMomentToBohrMagnetonRatio</t>
  </si>
  <si>
    <t>Proton Magnetic Moment To Bohr Magneton Ratio</t>
  </si>
  <si>
    <t>Hartree,ElectronVolt,Relationship</t>
  </si>
  <si>
    <t>ProtonMagneticMomentToNuclearMagnetonRatio</t>
  </si>
  <si>
    <t>Proton Magnetic Moment To Nuclear Magneton Ratio</t>
  </si>
  <si>
    <t>alpha particle-electron mass ratio</t>
  </si>
  <si>
    <t>ProtonMagneticShieldingCorrection</t>
  </si>
  <si>
    <t>Proton Magnetic Shielding Correction</t>
  </si>
  <si>
    <t>Hartree,Energy</t>
  </si>
  <si>
    <t>ProtonMass</t>
  </si>
  <si>
    <t>Proton Mass</t>
  </si>
  <si>
    <t>mubev</t>
  </si>
  <si>
    <t>BohrMagnetonInEVPerT</t>
  </si>
  <si>
    <t>Bohr Magneton In eV/T</t>
  </si>
  <si>
    <t>Bohr magneton in eV/T</t>
  </si>
  <si>
    <t>Hartree,Hertz,Relationship</t>
  </si>
  <si>
    <t>magnéton de Bohr en eV/T</t>
  </si>
  <si>
    <t>eV T^-1</t>
  </si>
  <si>
    <t>ProtonMassEnergyEquivalent</t>
  </si>
  <si>
    <t>Proton Mass Energy Equivalent</t>
  </si>
  <si>
    <t>ProtonMolarMass</t>
  </si>
  <si>
    <t>Proton Molar Mass</t>
  </si>
  <si>
    <t>Hartree,InverseMeter,Relationship</t>
  </si>
  <si>
    <t>alpha particle-proton mass ratio</t>
  </si>
  <si>
    <t>ProtonMuonMassRatio</t>
  </si>
  <si>
    <t>Proton - Muon Mass Ratio</t>
  </si>
  <si>
    <t>ProtonNeutronMagneticMomentRatio</t>
  </si>
  <si>
    <t>Proton - Neutron Magnetic Moment Ratio</t>
  </si>
  <si>
    <t>Hartree,Joule,Relationship</t>
  </si>
  <si>
    <t>ProtonNeutronMassRatio</t>
  </si>
  <si>
    <t>Proton - Neutron Mass Ratio</t>
  </si>
  <si>
    <t>Hartree,Kelvin,Relationship</t>
  </si>
  <si>
    <t>mubshhz</t>
  </si>
  <si>
    <t>BohrMagnetonInHzPerT</t>
  </si>
  <si>
    <t>ProtonRelativeAtomicMass</t>
  </si>
  <si>
    <t>Proton Relative Atomic Mass</t>
  </si>
  <si>
    <t>Bohr magneton in Hz/T</t>
  </si>
  <si>
    <t>magnéton de Bohr en Hz/T</t>
  </si>
  <si>
    <t>Hz T^-1</t>
  </si>
  <si>
    <t>ProtonRmsChargeRadius</t>
  </si>
  <si>
    <t>Proton Rms Charge Radius</t>
  </si>
  <si>
    <t>Hartree,Kilogram,Relationship</t>
  </si>
  <si>
    <t>Helion</t>
  </si>
  <si>
    <t>ProtonTauMassRatio</t>
  </si>
  <si>
    <t>Proton - Tau Mass Ratio</t>
  </si>
  <si>
    <t>Q902715</t>
  </si>
  <si>
    <t>QuantumOfCirculation</t>
  </si>
  <si>
    <t>Quantum Of Circulation</t>
  </si>
  <si>
    <t>Helion,Electron,MassRatio</t>
  </si>
  <si>
    <t>QuantumOfCirculationTimes2</t>
  </si>
  <si>
    <t>Quantum Of Circulation Times 2</t>
  </si>
  <si>
    <t>mubshcminv</t>
  </si>
  <si>
    <t>ReducedComptonWavelength</t>
  </si>
  <si>
    <t>BohrMagnetonInInverseMetersPerTesla</t>
  </si>
  <si>
    <t>Reduced Compton Wavelength</t>
  </si>
  <si>
    <t>Bohr magneton in inverse meter per tesla</t>
  </si>
  <si>
    <t>magnéton de Bohr en mètre inverse par tesla</t>
  </si>
  <si>
    <t>m^-1 T^-1</t>
  </si>
  <si>
    <t>Helion,GFactor</t>
  </si>
  <si>
    <t>ReducedMuonComptonWavelength</t>
  </si>
  <si>
    <t>Reduced Muon Compton Wavelength</t>
  </si>
  <si>
    <t>ReducedNeutronComptonWavelength</t>
  </si>
  <si>
    <t>Reduced Neutron Compton Wavelength</t>
  </si>
  <si>
    <t>Helion,MagneticMoment</t>
  </si>
  <si>
    <t>ReducedPlanckConstant</t>
  </si>
  <si>
    <t>Reduced Planck Constant</t>
  </si>
  <si>
    <t>Helion,MagneticMoment,BohrMagneton,Ratio</t>
  </si>
  <si>
    <t>ReducedProtonComptonWavelength</t>
  </si>
  <si>
    <t>Reduced Proton Compton Wavelength</t>
  </si>
  <si>
    <t>ReducedTauComptonWavelength</t>
  </si>
  <si>
    <t>Reduced Tau Compton Wavelength</t>
  </si>
  <si>
    <t>Helion,MagneticMoment,NuclearMagneton,Ratio</t>
  </si>
  <si>
    <t>RydbergConstant</t>
  </si>
  <si>
    <t>mubskk</t>
  </si>
  <si>
    <t>Rydberg Constant</t>
  </si>
  <si>
    <t>BohrMagnetonInKPerT</t>
  </si>
  <si>
    <t>Bohr magneton in K/T</t>
  </si>
  <si>
    <t>magnéton de Bohr en K/T</t>
  </si>
  <si>
    <t>K T^-1</t>
  </si>
  <si>
    <t>Helion,Mass</t>
  </si>
  <si>
    <t>SackurTetrodeConstant</t>
  </si>
  <si>
    <t>Sackur-Tetrode Constant (1 K, 100 KPa)</t>
  </si>
  <si>
    <t>HelionMass,EnergyEquivalent</t>
  </si>
  <si>
    <t>SecondRadiationConstant</t>
  </si>
  <si>
    <t>Second Radiation Constant</t>
  </si>
  <si>
    <t>Helion,MolarMass</t>
  </si>
  <si>
    <t>ShieldedHelionGyromagneticRatio</t>
  </si>
  <si>
    <t>Shielded Helion Gyromagnetic Ratio</t>
  </si>
  <si>
    <t>ShieldedHelionMagneticMoment</t>
  </si>
  <si>
    <t>Shielded Helion Magnetic Moment</t>
  </si>
  <si>
    <t>bohrrada0</t>
  </si>
  <si>
    <t>Helion,Proton,MassRatio</t>
  </si>
  <si>
    <t>Bohr radius</t>
  </si>
  <si>
    <t>rayon de Bohr</t>
  </si>
  <si>
    <t>atomic mass unit-electron volt relationship</t>
  </si>
  <si>
    <t>ShieldedHelionMagneticMomentToBohrMagnetonRatio</t>
  </si>
  <si>
    <t>Shielded Helion Magnetic Moment To Bohr Magneton Ratio</t>
  </si>
  <si>
    <t>Helion,RelativeAtomicMass</t>
  </si>
  <si>
    <t>ShieldedHelionMagneticMomentToNuclearMagnetonRatio</t>
  </si>
  <si>
    <t>Shielded Helion Magnetic Moment To Nuclear Magneton Ratio</t>
  </si>
  <si>
    <t>ShieldedHelionToProtonMagneticMomentRatio</t>
  </si>
  <si>
    <t>Shielded Helion To Proton Magnetic Moment Ratio</t>
  </si>
  <si>
    <t>Helion,ShieldingShift</t>
  </si>
  <si>
    <t>ShieldedHelionToShieldedProtonMagneticMomentRatio</t>
  </si>
  <si>
    <t>Shielded Helion To Shielded Proton Magnetic Moment Ratio</t>
  </si>
  <si>
    <t>Henry</t>
  </si>
  <si>
    <t>ShieldedProtonGyromagneticRatio</t>
  </si>
  <si>
    <t>Shielded Proton Gyromagnetic Ratio</t>
  </si>
  <si>
    <t>k</t>
  </si>
  <si>
    <t>Hertz</t>
  </si>
  <si>
    <t>Boltzmann constant</t>
  </si>
  <si>
    <t>constante de Boltzmann</t>
  </si>
  <si>
    <t>J K^-1</t>
  </si>
  <si>
    <t>ShieldedProtonMagneticMoment</t>
  </si>
  <si>
    <t>Shielded Proton Magnetic Moment</t>
  </si>
  <si>
    <t>ShieldedProtonMagneticMomentToBohrMagnetonRatio</t>
  </si>
  <si>
    <t>Shielded Proton Magnetic Moment To Bohr Magneton Ratio</t>
  </si>
  <si>
    <t>The derived unit of frequency in the International System of Units (SI), equal to one cycle per second</t>
  </si>
  <si>
    <t>[k]</t>
  </si>
  <si>
    <t>ShieldedProtonMagneticMomentToNuclearMagnetonRatio</t>
  </si>
  <si>
    <t>Shielded Proton Magnetic Moment To Nuclear Magneton Ratio</t>
  </si>
  <si>
    <t>Hertz,AtomicMassUnit,Relationship</t>
  </si>
  <si>
    <t>ShieldingDifferenceOfDAndP</t>
  </si>
  <si>
    <t>Shielding Difference Of D And P In Hd</t>
  </si>
  <si>
    <t>atomic mass unit-hartree relationship</t>
  </si>
  <si>
    <t>ShieldingDifferenceOfTAndP</t>
  </si>
  <si>
    <t>Shielding Difference Of T And P In Ht</t>
  </si>
  <si>
    <t>Hertz,ElectronVolt,Relationship</t>
  </si>
  <si>
    <t>tkev</t>
  </si>
  <si>
    <t>BoltzmannConstantInEVPerK</t>
  </si>
  <si>
    <t>Boltzmann Constant In eV/K</t>
  </si>
  <si>
    <t>Boltzmann constant in eV/K</t>
  </si>
  <si>
    <t>SpeedOfLight</t>
  </si>
  <si>
    <t>constante de Boltzmann en eV/K</t>
  </si>
  <si>
    <t>Speed Of Light In Vacuum</t>
  </si>
  <si>
    <t>eV K^-1</t>
  </si>
  <si>
    <t>(\(c\))</t>
  </si>
  <si>
    <t>Hertz,Hartree,Relationship</t>
  </si>
  <si>
    <t>StandardAccelerationOfGravity</t>
  </si>
  <si>
    <t>Standard Acceleration Of Gravity</t>
  </si>
  <si>
    <t>atomic mass unit-hertz relationship</t>
  </si>
  <si>
    <t>StandardAtmosphere</t>
  </si>
  <si>
    <t>Standard Atmosphere</t>
  </si>
  <si>
    <t>Hertz,InverseMeter,Relationship</t>
  </si>
  <si>
    <t>StandardStatePressure</t>
  </si>
  <si>
    <t>Standard-State Pressure</t>
  </si>
  <si>
    <t>StefanBoltzmannConstant</t>
  </si>
  <si>
    <t>Stefan-Boltzmann Constant</t>
  </si>
  <si>
    <t>Hertz,Joule,Relationship</t>
  </si>
  <si>
    <t>kshhz</t>
  </si>
  <si>
    <t>BoltzmannConstantInHzPerK</t>
  </si>
  <si>
    <t>TauComptonWavelength</t>
  </si>
  <si>
    <t>Tau Compton Wavelength</t>
  </si>
  <si>
    <t>Boltzmann constant in Hz/K</t>
  </si>
  <si>
    <t>constante de Boltzmann en Hz/K</t>
  </si>
  <si>
    <t>Hz K^-1</t>
  </si>
  <si>
    <t>Hertz,Kelvin,Relationship</t>
  </si>
  <si>
    <t>TauElectronMassRatio</t>
  </si>
  <si>
    <t>Tau - Electron Mass Ratio</t>
  </si>
  <si>
    <t>TauMass</t>
  </si>
  <si>
    <t>Tau Mass</t>
  </si>
  <si>
    <t>Hertz,Kilogram,Relationship</t>
  </si>
  <si>
    <t>TauMassEnergyEquivalent</t>
  </si>
  <si>
    <t>Tau Mass Energy Equivalent</t>
  </si>
  <si>
    <t>atomic mass unit-inverse meter relationship</t>
  </si>
  <si>
    <t>TauMolarMass</t>
  </si>
  <si>
    <t>Frequency,Caesium133</t>
  </si>
  <si>
    <t>Tau Molar Mass</t>
  </si>
  <si>
    <t>Hyperpolarizablity</t>
  </si>
  <si>
    <t>kshcminv</t>
  </si>
  <si>
    <t>BoltzmannConstantInInverseMetersPerKelvin</t>
  </si>
  <si>
    <t>Boltzmann constant in inverse meter per kelvin</t>
  </si>
  <si>
    <t>constante de Boltzmann en mètre inverse par kelvin</t>
  </si>
  <si>
    <t>m^-1 K^-1</t>
  </si>
  <si>
    <t>A measure of the nonlinear response of a molecule to an applied electric field.</t>
  </si>
  <si>
    <t>IdealGas</t>
  </si>
  <si>
    <t>atomic mass unit-joule relationship</t>
  </si>
  <si>
    <t>Impedance</t>
  </si>
  <si>
    <t>Inverse</t>
  </si>
  <si>
    <t>Inverse,FineStructureConstant</t>
  </si>
  <si>
    <t>InverseMeter</t>
  </si>
  <si>
    <t>Inverse Meter</t>
  </si>
  <si>
    <t>TauMuonMassRatio</t>
  </si>
  <si>
    <t>Tau - Muon Mass Ratio</t>
  </si>
  <si>
    <t>TauNeutronMassRatio</t>
  </si>
  <si>
    <t>Tau - Neutron Mass Ratio</t>
  </si>
  <si>
    <t>z0</t>
  </si>
  <si>
    <t>characteristic impedance of vacuum</t>
  </si>
  <si>
    <t>impédance caractéristique du vide</t>
  </si>
  <si>
    <t>InverseMeter,AtomicMassUnit,Relationship</t>
  </si>
  <si>
    <t>atomic mass unit-kelvin relationship</t>
  </si>
  <si>
    <t>TauProtonMassRatio</t>
  </si>
  <si>
    <t>Tau - Proton Mass Ratio</t>
  </si>
  <si>
    <t>InverseMeter,ElectronVolt,Relationship</t>
  </si>
  <si>
    <t>ThomsonCrossSection</t>
  </si>
  <si>
    <t>Thomson Cross Section</t>
  </si>
  <si>
    <t>TritonElectronMagneticMomentRatio</t>
  </si>
  <si>
    <t>Triton - Electron Magnetic Moment Ratio</t>
  </si>
  <si>
    <t>InverseMeter,Hartree,Relationship</t>
  </si>
  <si>
    <t>TritonElectronMassRatio</t>
  </si>
  <si>
    <t>Triton - Electron Mass Ratio</t>
  </si>
  <si>
    <t>atomic mass unit-kilogram relationship</t>
  </si>
  <si>
    <t>re</t>
  </si>
  <si>
    <t>classical electron radius</t>
  </si>
  <si>
    <t>rayon classique de l'électron</t>
  </si>
  <si>
    <t>TritonGFactor</t>
  </si>
  <si>
    <t>Triton G Factor</t>
  </si>
  <si>
    <t>InverseMeter,Hertz,Relationship</t>
  </si>
  <si>
    <t>TritonMagneticMoment</t>
  </si>
  <si>
    <t>Triton Magnetic Moment</t>
  </si>
  <si>
    <t>InverseMeter,Joule,Relationship</t>
  </si>
  <si>
    <t>TritonMagneticMomentToBohrMagnetonRatio</t>
  </si>
  <si>
    <t>Triton Magnetic Moment To Bohr Magneton Ratio</t>
  </si>
  <si>
    <t>TritonMagneticMomentToNuclearMagnetonRatio</t>
  </si>
  <si>
    <t>Triton Magnetic Moment To Nuclear Magneton Ratio</t>
  </si>
  <si>
    <t>InverseMeter,Kelvin,Relationship</t>
  </si>
  <si>
    <t>atomic unit of 1st hyperpolarizability</t>
  </si>
  <si>
    <t>TritonMass</t>
  </si>
  <si>
    <t>Triton Mass</t>
  </si>
  <si>
    <t>ecomwl</t>
  </si>
  <si>
    <t>TritonMassEnergyEquivalent</t>
  </si>
  <si>
    <t>InverseMeter,Kilogram,Relationship</t>
  </si>
  <si>
    <t>Triton Mass Energy Equivalent</t>
  </si>
  <si>
    <t>Compton wavelength</t>
  </si>
  <si>
    <t>longueur d'onde de Compton</t>
  </si>
  <si>
    <t>TritonMolarMass</t>
  </si>
  <si>
    <t>Triton Molar Mass</t>
  </si>
  <si>
    <t>Inverse,ConductanceQuantum</t>
  </si>
  <si>
    <t>TritonNeutronMagneticMomentRatio</t>
  </si>
  <si>
    <t>Triton - Neutron Magnetic Moment Ratio</t>
  </si>
  <si>
    <t>atomic unit of 2nd hyperpolarizability</t>
  </si>
  <si>
    <t>TritonProtonMagneticMomentRatio</t>
  </si>
  <si>
    <t>Triton To Proton Magnetic Moment Ratio</t>
  </si>
  <si>
    <t>TritonProtonMassRatio</t>
  </si>
  <si>
    <t>Triton - Proton Mass Ratio</t>
  </si>
  <si>
    <t>TritonRelativeAtomicMass</t>
  </si>
  <si>
    <t>Triton Relative Atomic Mass</t>
  </si>
  <si>
    <t>conqu2e2sh</t>
  </si>
  <si>
    <t>UnifiedAtomicMassUnit</t>
  </si>
  <si>
    <t>Unified Atomic Mass Unit</t>
  </si>
  <si>
    <t>conductance quantum</t>
  </si>
  <si>
    <t>quantum de conductance</t>
  </si>
  <si>
    <t>VonKlitzingConstant</t>
  </si>
  <si>
    <t>Von Klitzing Constant</t>
  </si>
  <si>
    <t>WeakMixingAngle</t>
  </si>
  <si>
    <t>Weak Mixing Angle</t>
  </si>
  <si>
    <t>WienFrequencyDisplacementLawConstant</t>
  </si>
  <si>
    <t>Wien Frequency Displacement Law Constant</t>
  </si>
  <si>
    <t>WienWavelengthDisplacementLawConstant</t>
  </si>
  <si>
    <t>Wien Wavelength Displacement Law Constant</t>
  </si>
  <si>
    <t>WToZMassRatio</t>
  </si>
  <si>
    <t>W To Z Mass Ratio</t>
  </si>
  <si>
    <t>ampere90</t>
  </si>
  <si>
    <t>conventional value of ampere-90</t>
  </si>
  <si>
    <t>valeur conventionnelle de l'ampère-90</t>
  </si>
  <si>
    <t>charge90</t>
  </si>
  <si>
    <t>conventional value of coulomb-90</t>
  </si>
  <si>
    <t>valeur conventionnelle du coulomb-90</t>
  </si>
  <si>
    <t>value_nist</t>
  </si>
  <si>
    <t>uncertainty_nist</t>
  </si>
  <si>
    <t>units</t>
  </si>
  <si>
    <t>id_lookup</t>
  </si>
  <si>
    <t>value_str</t>
  </si>
  <si>
    <t>Josephson</t>
  </si>
  <si>
    <t>value_num</t>
  </si>
  <si>
    <t>uncertainty_str</t>
  </si>
  <si>
    <t>uncertainty_n</t>
  </si>
  <si>
    <t>is_exact</t>
  </si>
  <si>
    <t>is_truncated</t>
  </si>
  <si>
    <t>exponent</t>
  </si>
  <si>
    <t>7294.299 541 71</t>
  </si>
  <si>
    <t>0.000 000 17</t>
  </si>
  <si>
    <t>atomic unit of electric dipole mom.</t>
  </si>
  <si>
    <t>capacitance90</t>
  </si>
  <si>
    <t>conventional value of farad-90</t>
  </si>
  <si>
    <t>valeur conventionnelle du farad-90</t>
  </si>
  <si>
    <t>Joule</t>
  </si>
  <si>
    <t>6.644 657 3450 e-27</t>
  </si>
  <si>
    <t>0.000 000 0021 e-27</t>
  </si>
  <si>
    <t>5.971 920 1997 e-10</t>
  </si>
  <si>
    <t>0.000 000 0019 e-10</t>
  </si>
  <si>
    <t>Joule,AtomicMassUnit,Relationship</t>
  </si>
  <si>
    <t>inductance90</t>
  </si>
  <si>
    <t>conventional value of henry-90</t>
  </si>
  <si>
    <t>valeur conventionnelle de l'henry-90</t>
  </si>
  <si>
    <t>3727.379 4118</t>
  </si>
  <si>
    <t>0.000 0012</t>
  </si>
  <si>
    <t>Joule,ElectronVolt,Relationship</t>
  </si>
  <si>
    <t>4.001 506 179 129</t>
  </si>
  <si>
    <t>0.000 000 000 062</t>
  </si>
  <si>
    <t>Joule,Hartree,Relationship</t>
  </si>
  <si>
    <t>4.001 506 1833 e-3</t>
  </si>
  <si>
    <t>0.000 000 0012 e-3</t>
  </si>
  <si>
    <t>3.972 599 690 252</t>
  </si>
  <si>
    <t>0.000 000 000 070</t>
  </si>
  <si>
    <t>Joule,Hertz,Relationship</t>
  </si>
  <si>
    <t>kj90</t>
  </si>
  <si>
    <t>conventional value of Josephson constant</t>
  </si>
  <si>
    <t>valeur conventionnelle de la constante de Josephson-90</t>
  </si>
  <si>
    <t>Hz V^-1</t>
  </si>
  <si>
    <t>Joule,InverseMeter,Relationship</t>
  </si>
  <si>
    <t>1.6785 e-15</t>
  </si>
  <si>
    <t>0.0021 e-15</t>
  </si>
  <si>
    <t>Joule,Kelvin,Relationship</t>
  </si>
  <si>
    <t>1.000 014 95 e-10</t>
  </si>
  <si>
    <t>0.000 000 90 e-10</t>
  </si>
  <si>
    <t>ohm90</t>
  </si>
  <si>
    <t>conventional value of ohm-90</t>
  </si>
  <si>
    <t>valeur conventionnelle de l'ohm-90</t>
  </si>
  <si>
    <t>Joule,Kilogram,Relationship</t>
  </si>
  <si>
    <t>1.660 539 068 92 e-27</t>
  </si>
  <si>
    <t>0.000 000 000 52 e-27</t>
  </si>
  <si>
    <t>Kelvin</t>
  </si>
  <si>
    <t>1.492 418 087 68 e-10</t>
  </si>
  <si>
    <t>0.000 000 000 46 e-10</t>
  </si>
  <si>
    <t>Kelvin,AtomicMassUnit,Relationship</t>
  </si>
  <si>
    <t>931.494 103 72</t>
  </si>
  <si>
    <t>0.000 000 29</t>
  </si>
  <si>
    <t>Kelvin,ElectronVolt,Relationship</t>
  </si>
  <si>
    <t>9.314 941 0372 e8</t>
  </si>
  <si>
    <t>0.000 000 0029 e8</t>
  </si>
  <si>
    <t>volt90</t>
  </si>
  <si>
    <t>atomic unit of electric quadrupole mom.</t>
  </si>
  <si>
    <t>conventional value of volt-90</t>
  </si>
  <si>
    <t>valeur conventionnelle du volt-90</t>
  </si>
  <si>
    <t>Kelvin,Hartree,Relationship</t>
  </si>
  <si>
    <t>3.423 177 6922 e7</t>
  </si>
  <si>
    <t>0.000 000 0011 e7</t>
  </si>
  <si>
    <t>Kelvin,Hertz,Relationship</t>
  </si>
  <si>
    <t>2.252 342 721 85 e23</t>
  </si>
  <si>
    <t>0.000 000 000 70 e23</t>
  </si>
  <si>
    <t>Kelvin,InverseMeter,Relationship</t>
  </si>
  <si>
    <t>7.513 006 6209 e14</t>
  </si>
  <si>
    <t>0.000 000 0023 e14</t>
  </si>
  <si>
    <t>rk90</t>
  </si>
  <si>
    <t>conventional value of Von Klitzing constant</t>
  </si>
  <si>
    <t>valeur conventionnelle de la constante de Von Klitzing-90</t>
  </si>
  <si>
    <t>Kelvin,Joule,Relationship</t>
  </si>
  <si>
    <t>Kelvin,Kilogram,Relationship</t>
  </si>
  <si>
    <t>Kilogram</t>
  </si>
  <si>
    <t>1.080 954 020 67 e13</t>
  </si>
  <si>
    <t>0.000 000 000 34 e13</t>
  </si>
  <si>
    <t>Kilogram,AtomicMassUnit,Relationship</t>
  </si>
  <si>
    <t>power90</t>
  </si>
  <si>
    <t>conventional value of watt-90</t>
  </si>
  <si>
    <t>valeur conventionnelle du watt-90</t>
  </si>
  <si>
    <t>3.206 361 2996 e-53</t>
  </si>
  <si>
    <t>0.000 000 0015 e-53</t>
  </si>
  <si>
    <t>Kilogram,ElectronVolt,Relationship</t>
  </si>
  <si>
    <t>6.235 379 9735 e-65</t>
  </si>
  <si>
    <t>0.000 000 0039 e-65</t>
  </si>
  <si>
    <t>Kilogram,Hartree,Relationship</t>
  </si>
  <si>
    <t>1.054 571 817 e-34</t>
  </si>
  <si>
    <t>(exact)</t>
  </si>
  <si>
    <t>xucukalph1</t>
  </si>
  <si>
    <t>Kilogram,Hertz,Relationship</t>
  </si>
  <si>
    <t>Copper x unit</t>
  </si>
  <si>
    <t>1.602 176 634 e-19</t>
  </si>
  <si>
    <t>unité x du Cuivre</t>
  </si>
  <si>
    <t>Kilogram,InverseMeter,Relationship</t>
  </si>
  <si>
    <t>1.081 202 386 77 e12</t>
  </si>
  <si>
    <t>0.000 000 000 51 e12</t>
  </si>
  <si>
    <t>Kilogram,Joule,Relationship</t>
  </si>
  <si>
    <t>6.623 618 237 5082 e-3</t>
  </si>
  <si>
    <t>0.000 000 000 0072 e-3</t>
  </si>
  <si>
    <t>8.478 353 6198 e-30</t>
  </si>
  <si>
    <t>0.000 000 0013 e-30</t>
  </si>
  <si>
    <t>Kilogram,Kelvin,Relationship</t>
  </si>
  <si>
    <t>mudsmuem</t>
  </si>
  <si>
    <t>atomic unit of mag. dipole mom.</t>
  </si>
  <si>
    <t>deuteron - electron magnetic moment ratio</t>
  </si>
  <si>
    <t>rapport du moment magnétique du deutéron à celui de l'électron</t>
  </si>
  <si>
    <t>Silicon</t>
  </si>
  <si>
    <t>5.142 206 751 12 e11</t>
  </si>
  <si>
    <t>0.000 000 000 80 e11</t>
  </si>
  <si>
    <t>Length</t>
  </si>
  <si>
    <t>9.717 362 4424 e21</t>
  </si>
  <si>
    <t>A measure of distance or the extent of something from end to end</t>
  </si>
  <si>
    <t>0.000 000 0030 e21</t>
  </si>
  <si>
    <t>Light</t>
  </si>
  <si>
    <t>Loschmidt</t>
  </si>
  <si>
    <t>mdsme</t>
  </si>
  <si>
    <t>deuteron - electron mass ratio</t>
  </si>
  <si>
    <t>rapport de la masse du deutéron à celle de l'électron</t>
  </si>
  <si>
    <t>1.648 777 272 12 e-41</t>
  </si>
  <si>
    <t>0.000 000 000 51 e-41</t>
  </si>
  <si>
    <t>27.211 386 245 981</t>
  </si>
  <si>
    <t>0.000 000 000 030</t>
  </si>
  <si>
    <t>4.486 551 5185 e-40</t>
  </si>
  <si>
    <t>0.000 000 0014 e-40</t>
  </si>
  <si>
    <t>4.359 744 722 2060 e-18</t>
  </si>
  <si>
    <t>0.000 000 000 0048 e-18</t>
  </si>
  <si>
    <t>8.238 723 5038 e-8</t>
  </si>
  <si>
    <t>0.000 000 0013 e-8</t>
  </si>
  <si>
    <t>5.291 772 105 44 e-11</t>
  </si>
  <si>
    <t>0.000 000 000 82 e-11</t>
  </si>
  <si>
    <t>1.854 802 013 15 e-23</t>
  </si>
  <si>
    <t>0.000 000 000 58 e-23</t>
  </si>
  <si>
    <t>gdn</t>
  </si>
  <si>
    <t>atomic unit of magnetic flux density</t>
  </si>
  <si>
    <t>2.350 517 570 77 e5</t>
  </si>
  <si>
    <t>0.000 000 000 73 e5</t>
  </si>
  <si>
    <t>Magnetic Constant</t>
  </si>
  <si>
    <t>deuteron g factor</t>
  </si>
  <si>
    <t>facteur de Landé du deutéron</t>
  </si>
  <si>
    <t>MagneticDipoleMoment</t>
  </si>
  <si>
    <t>Magnetic Dipole Moment</t>
  </si>
  <si>
    <t>MagneticFluxDensity</t>
  </si>
  <si>
    <t>7.891 036 5794 e-29</t>
  </si>
  <si>
    <t>Magnetic Flux Density</t>
  </si>
  <si>
    <t>0.000 000 0049 e-29</t>
  </si>
  <si>
    <t>9.109 383 7139 e-31</t>
  </si>
  <si>
    <t>0.000 000 0028 e-31</t>
  </si>
  <si>
    <t>1.992 851 915 45 e-24</t>
  </si>
  <si>
    <t>0.000 000 000 31 e-24</t>
  </si>
  <si>
    <t>1.112 650 056 20 e-10</t>
  </si>
  <si>
    <t>0.000 000 000 17 e-10</t>
  </si>
  <si>
    <t>MagneticMoment</t>
  </si>
  <si>
    <t>Magnetic Moment</t>
  </si>
  <si>
    <t>2.418 884 326 5864 e-17</t>
  </si>
  <si>
    <t>0.000 000 000 0026 e-17</t>
  </si>
  <si>
    <t>A unit used to express the magnetic moment of a particle or system.</t>
  </si>
  <si>
    <t>MagneticShielding</t>
  </si>
  <si>
    <t>mud</t>
  </si>
  <si>
    <t>deuteron magnetic moment</t>
  </si>
  <si>
    <t>moment magnétique du deutéron</t>
  </si>
  <si>
    <t>Magnetizability</t>
  </si>
  <si>
    <t>2.187 691 262 16 e6</t>
  </si>
  <si>
    <t>0.000 000 000 34 e6</t>
  </si>
  <si>
    <t>Mass</t>
  </si>
  <si>
    <t>6.022 140 76 e23</t>
  </si>
  <si>
    <t>A measure of the amount of matter in an object or particle</t>
  </si>
  <si>
    <t>MassDifference</t>
  </si>
  <si>
    <t>Mass Difference</t>
  </si>
  <si>
    <t>Mass,Difference</t>
  </si>
  <si>
    <t>9.274 010 0657 e-24</t>
  </si>
  <si>
    <t>0.000 000 0029 e-24</t>
  </si>
  <si>
    <t>MassRatio</t>
  </si>
  <si>
    <t>Mass Ratio</t>
  </si>
  <si>
    <t>mudsmub</t>
  </si>
  <si>
    <t>deuteron magnetic moment to Bohr magneton ratio</t>
  </si>
  <si>
    <t>rapport du moment magnétique du deutéron au magnéton de Bohr électronique</t>
  </si>
  <si>
    <t>5.788 381 7982 e-5</t>
  </si>
  <si>
    <t>0.000 000 0018 e-5</t>
  </si>
  <si>
    <r>
      <rPr>
        <rFont val="Arial"/>
        <color theme="1"/>
      </rPr>
      <t xml:space="preserve">atomic unit of </t>
    </r>
    <r>
      <rPr>
        <rFont val="Arial"/>
        <color rgb="FF000000"/>
      </rPr>
      <t>mom.um</t>
    </r>
  </si>
  <si>
    <t>Mass,Ratio</t>
  </si>
  <si>
    <t>1.399 624 491 71 e10</t>
  </si>
  <si>
    <t>0.000 000 000 44 e10</t>
  </si>
  <si>
    <t>46.686 447 719</t>
  </si>
  <si>
    <t>0.000 000 015</t>
  </si>
  <si>
    <t>Meter</t>
  </si>
  <si>
    <t>mudsmun</t>
  </si>
  <si>
    <t>deuteron magnetic moment to nuclear magneton ratio</t>
  </si>
  <si>
    <t>rapport du moment magnétique du deutéron au magnéton de Bohr nucléaire</t>
  </si>
  <si>
    <t>0.671 713 814 72</t>
  </si>
  <si>
    <t>Molar</t>
  </si>
  <si>
    <t>0.000 000 000 21</t>
  </si>
  <si>
    <t>Molar,Gas</t>
  </si>
  <si>
    <t>md</t>
  </si>
  <si>
    <t>MolarMass</t>
  </si>
  <si>
    <t>Molar Mass</t>
  </si>
  <si>
    <t>deuteron mass</t>
  </si>
  <si>
    <t>masse du deutéron</t>
  </si>
  <si>
    <t>1.380 649 e-23</t>
  </si>
  <si>
    <t>The mass of a given substance (chemical element or chemical compound) divided by the amount of substance</t>
  </si>
  <si>
    <t>8.617 333 262 e-5</t>
  </si>
  <si>
    <t>Molar,Mass</t>
  </si>
  <si>
    <t>mdc2</t>
  </si>
  <si>
    <t>MolarMass,Carbon12</t>
  </si>
  <si>
    <t>deuteron mass energy equivalent</t>
  </si>
  <si>
    <t>énergie de masse du deutéron</t>
  </si>
  <si>
    <t>2.083 661 912 e10</t>
  </si>
  <si>
    <t>Molar,Planck</t>
  </si>
  <si>
    <t>69.503 480 04</t>
  </si>
  <si>
    <t>376.730 313 412</t>
  </si>
  <si>
    <t>0.000 000 059</t>
  </si>
  <si>
    <t>MolarPlanckConstant,SpeedOfLight</t>
  </si>
  <si>
    <t>MolarVolume</t>
  </si>
  <si>
    <t>MolarVolume,IdealGas</t>
  </si>
  <si>
    <t>MolarVolume,Silicon</t>
  </si>
  <si>
    <t>Molybdenum</t>
  </si>
  <si>
    <t>mdc2mev</t>
  </si>
  <si>
    <t>DeuteronMassEnergyEquivalentInMeV</t>
  </si>
  <si>
    <t>Deuteron Mass Energy Equivalent In MeV</t>
  </si>
  <si>
    <t>deuteron mass energy equivalent in MeV</t>
  </si>
  <si>
    <t>Momentum</t>
  </si>
  <si>
    <t>énergie de masse du deutéron en MeV</t>
  </si>
  <si>
    <t>Muon</t>
  </si>
  <si>
    <t>2.817 940 3205 e-15</t>
  </si>
  <si>
    <t>0.000 000 0013 e-15</t>
  </si>
  <si>
    <t>Q3151</t>
  </si>
  <si>
    <t>mdu</t>
  </si>
  <si>
    <t>DeuteronMassInAtomicMassUnit</t>
  </si>
  <si>
    <t>2.426 310 235 38 e-12</t>
  </si>
  <si>
    <t>0.000 000 000 76 e-12</t>
  </si>
  <si>
    <t>deuteron mass in u</t>
  </si>
  <si>
    <t>masse du deutéron en u</t>
  </si>
  <si>
    <t>Muon,ComptonWavelength</t>
  </si>
  <si>
    <t>7.748 091 729 e-5</t>
  </si>
  <si>
    <t>Muon,Electron,MassRatio</t>
  </si>
  <si>
    <t>1.000 000 088 87</t>
  </si>
  <si>
    <t>Muon,GFactor</t>
  </si>
  <si>
    <t>mmd</t>
  </si>
  <si>
    <t>deuteron molar mass</t>
  </si>
  <si>
    <t>masse molaire du deutéron</t>
  </si>
  <si>
    <t>Muon,MagneticMoment</t>
  </si>
  <si>
    <t>0.999 999 982 20</t>
  </si>
  <si>
    <t>1.000 000 017 79</t>
  </si>
  <si>
    <t>Muon,MagneticMoment,BohrMagneton,Ratio</t>
  </si>
  <si>
    <t>Bohr magneton in inverse meters per tesla</t>
  </si>
  <si>
    <t>mudsmunn</t>
  </si>
  <si>
    <t>deuteron - neutron magnetic moment ratio</t>
  </si>
  <si>
    <t>rapport du moment magnétique du deutéron à celui du neutron</t>
  </si>
  <si>
    <t>Muon,MagneticMoment,NuclearMagneton,Ratio</t>
  </si>
  <si>
    <t>Muon,Mass</t>
  </si>
  <si>
    <t>MuonMass,EnergyEquivalent</t>
  </si>
  <si>
    <t>mudsmup</t>
  </si>
  <si>
    <t>deuteron - proton magnetic moment ratio</t>
  </si>
  <si>
    <t>rapport du moment magnétique du deutéron à celui du proton</t>
  </si>
  <si>
    <t>Muon,MolarMass</t>
  </si>
  <si>
    <t>Muon,Neutron,MassRatio</t>
  </si>
  <si>
    <t>mdsmp</t>
  </si>
  <si>
    <t>deuteron - proton mass ratio</t>
  </si>
  <si>
    <t>rapport de la masse du deutéron à celle du proton</t>
  </si>
  <si>
    <t>Muon,Proton,MagneticMoment,Ratio</t>
  </si>
  <si>
    <t>Muon,Proton,MassRatio</t>
  </si>
  <si>
    <t>Muon,Tau,MassRatio</t>
  </si>
  <si>
    <t>NaturalUnit</t>
  </si>
  <si>
    <t>ard</t>
  </si>
  <si>
    <t>deuteron relative atomic mass</t>
  </si>
  <si>
    <t>masse atomique relative du deutéron</t>
  </si>
  <si>
    <t>NaturalUnit,Action</t>
  </si>
  <si>
    <t>rd</t>
  </si>
  <si>
    <t>deuteron rms charge radius</t>
  </si>
  <si>
    <t>rayon de charge effectif du deutéron</t>
  </si>
  <si>
    <t>NaturalUnit,Energy</t>
  </si>
  <si>
    <t>NaturalUnit,Length</t>
  </si>
  <si>
    <t>NaturalUnit,Mass</t>
  </si>
  <si>
    <t>esme</t>
  </si>
  <si>
    <t>electron charge to mass quotient</t>
  </si>
  <si>
    <t>rapport de la charge à la masse de l'électron</t>
  </si>
  <si>
    <t>C kg^-1</t>
  </si>
  <si>
    <t>NaturalUnit,Momentum</t>
  </si>
  <si>
    <t>Boltzmann constant in inverse meters per kelvin</t>
  </si>
  <si>
    <t>NaturalUnit,Time</t>
  </si>
  <si>
    <t>NaturalUnit,Velocity</t>
  </si>
  <si>
    <t>muemsmud</t>
  </si>
  <si>
    <t>electron - deuteron magnetic moment ratio</t>
  </si>
  <si>
    <t>rapport du moment magnétique de l'électron à celui du proton</t>
  </si>
  <si>
    <t>Neutron</t>
  </si>
  <si>
    <t>Q2348</t>
  </si>
  <si>
    <t>Neutron,ComptonWavelength</t>
  </si>
  <si>
    <t>mesmd</t>
  </si>
  <si>
    <t>electron - deuteron mass ratio</t>
  </si>
  <si>
    <t>rapport de la masse de l'électron à celle du deutéron</t>
  </si>
  <si>
    <t>Neutron,Electron,MagneticMoment,Ratio</t>
  </si>
  <si>
    <t>Neutron,Electron,MassRatio</t>
  </si>
  <si>
    <t>gem</t>
  </si>
  <si>
    <t>electron g factor</t>
  </si>
  <si>
    <t>facteur de landé de l'électron</t>
  </si>
  <si>
    <t>Neutron,GFactor</t>
  </si>
  <si>
    <t>Neutron,GyromagneticRatio</t>
  </si>
  <si>
    <t>Neutron,MagneticMoment</t>
  </si>
  <si>
    <t>Compton wavelength over 2 pi</t>
  </si>
  <si>
    <t>ecomwlbar</t>
  </si>
  <si>
    <t>Neutron,MagneticMoment,BohrMagneton,Ratio</t>
  </si>
  <si>
    <t>gammae</t>
  </si>
  <si>
    <t>electron gyromagnetic ratio</t>
  </si>
  <si>
    <t>rapport gyromagnétique de l'électron</t>
  </si>
  <si>
    <t>s^-1 T^-1</t>
  </si>
  <si>
    <t>483 597.9 e9</t>
  </si>
  <si>
    <t>Neutron,MagneticMoment,NuclearMagneton,Ratio</t>
  </si>
  <si>
    <t>1.000 000 106 66</t>
  </si>
  <si>
    <t>Neutron,Mass</t>
  </si>
  <si>
    <t>conventional value of von Klitzing constant</t>
  </si>
  <si>
    <t>25 812.807</t>
  </si>
  <si>
    <t>1.000 000 195 53</t>
  </si>
  <si>
    <t>NeutronMass,EnergyEquivalent</t>
  </si>
  <si>
    <t>1.002 076 97 e-13</t>
  </si>
  <si>
    <t>0.000 000 28 e-13</t>
  </si>
  <si>
    <t>Neutron,MolarMass</t>
  </si>
  <si>
    <t>gammaebar</t>
  </si>
  <si>
    <t>ElectronGyromagneticRatioOver2Pi</t>
  </si>
  <si>
    <t>electron gyromagnetic ratio over 2 pi</t>
  </si>
  <si>
    <t>rapport gyromagnétique réduit de l'électron</t>
  </si>
  <si>
    <t>MHz T^-1</t>
  </si>
  <si>
    <t>deuteron-electron mag. mom. ratio</t>
  </si>
  <si>
    <t>-4.664 345 550 e-4</t>
  </si>
  <si>
    <t>0.000 000 012 e-4</t>
  </si>
  <si>
    <t>Neutron,Muon,MassRatio</t>
  </si>
  <si>
    <t>deuteron-electron mass ratio</t>
  </si>
  <si>
    <t>3670.482 967 655</t>
  </si>
  <si>
    <t>0.000 000 063</t>
  </si>
  <si>
    <t>Neutron,Proton,MagneticMoment,Ratio</t>
  </si>
  <si>
    <t>0.857 438 2335</t>
  </si>
  <si>
    <t>0.000 000 0022</t>
  </si>
  <si>
    <t>Neutron,Proton,MassDifference</t>
  </si>
  <si>
    <t>deuteron mag. mom.</t>
  </si>
  <si>
    <t>4.330 735 087 e-27</t>
  </si>
  <si>
    <t>0.000 000 011 e-27</t>
  </si>
  <si>
    <t>NeutronMass,ProtonMass,Difference,EnergyEquivalent</t>
  </si>
  <si>
    <t>deuteron mag. mom. to Bohr magneton ratio</t>
  </si>
  <si>
    <t>4.669 754 568 e-4</t>
  </si>
  <si>
    <t>Neutron,Proton,MassRatio</t>
  </si>
  <si>
    <t>mesmh</t>
  </si>
  <si>
    <t>electron - helion mass ratio</t>
  </si>
  <si>
    <t>rapport de la masse de l'hélion à celle de l'électron</t>
  </si>
  <si>
    <t>deuteron mag. mom. to nuclear magneton ratio</t>
  </si>
  <si>
    <t>Neutron,RelativeAtomicMass</t>
  </si>
  <si>
    <t>3.343 583 7768 e-27</t>
  </si>
  <si>
    <t>0.000 000 0010 e-27</t>
  </si>
  <si>
    <t>Neutron,Tau,MassRatio</t>
  </si>
  <si>
    <t>3.005 063 234 91 e-10</t>
  </si>
  <si>
    <t>muem</t>
  </si>
  <si>
    <t>0.000 000 000 94 e-10</t>
  </si>
  <si>
    <t>electron magnetic moment</t>
  </si>
  <si>
    <t>moment magnétique de l'électron</t>
  </si>
  <si>
    <t>Neutron,ShieldedProton,MagneticMoment,Ratio</t>
  </si>
  <si>
    <t>Newton</t>
  </si>
  <si>
    <t>1875.612 945 00</t>
  </si>
  <si>
    <t>0.000 000 58</t>
  </si>
  <si>
    <t>2.013 553 212 544</t>
  </si>
  <si>
    <t>0.000 000 000 015</t>
  </si>
  <si>
    <t>Newton,Gravitation</t>
  </si>
  <si>
    <t>ae</t>
  </si>
  <si>
    <t>electron magnetic moment anomaly</t>
  </si>
  <si>
    <t>moment magnétique anomal de l'électron</t>
  </si>
  <si>
    <t>2.013 553 214 66 e-3</t>
  </si>
  <si>
    <t>0.000 000 000 63 e-3</t>
  </si>
  <si>
    <t>deuteron-neutron mag. mom. ratio</t>
  </si>
  <si>
    <t>-0.448 206 52</t>
  </si>
  <si>
    <t>0.000 000 11</t>
  </si>
  <si>
    <t>NuclearMagnetonRatio</t>
  </si>
  <si>
    <t>deuteron-proton mag. mom. ratio</t>
  </si>
  <si>
    <t>0.307 012 209 30</t>
  </si>
  <si>
    <t>0.000 000 000 79</t>
  </si>
  <si>
    <t>NuclearMagneton,Ratio</t>
  </si>
  <si>
    <t>deuteron-proton mass ratio</t>
  </si>
  <si>
    <t>1.999 007 501 2699</t>
  </si>
  <si>
    <t>0.000 000 000 0084</t>
  </si>
  <si>
    <t>muemsmub</t>
  </si>
  <si>
    <t>electron magnetic moment to Bohr magneton ratio</t>
  </si>
  <si>
    <t>rapport du moment magnétique de l'électron au magnéton de Bohr électronique</t>
  </si>
  <si>
    <t>ParticleMassRatio</t>
  </si>
  <si>
    <t>Particle Mass Ratio</t>
  </si>
  <si>
    <t>Particle,Mass</t>
  </si>
  <si>
    <t>2.127 78 e-15</t>
  </si>
  <si>
    <t>0.000 27 e-15</t>
  </si>
  <si>
    <t>Permittivity</t>
  </si>
  <si>
    <t>-1.758 820 008 38 e11</t>
  </si>
  <si>
    <t>0.000 000 000 55 e11</t>
  </si>
  <si>
    <t>muemsmun</t>
  </si>
  <si>
    <t>electron magnetic moment to nuclear magneton ratio</t>
  </si>
  <si>
    <t>rapport du moment magnétique de l'électron au magnéton de Bohr nucléaire</t>
  </si>
  <si>
    <t>electron-deuteron mag. mom. ratio</t>
  </si>
  <si>
    <t>-2143.923 4921</t>
  </si>
  <si>
    <t>0.000 0056</t>
  </si>
  <si>
    <t>Permittivity,Vacuum</t>
  </si>
  <si>
    <t>electron-deuteron mass ratio</t>
  </si>
  <si>
    <t>2.724 437 107 629 e-4</t>
  </si>
  <si>
    <t>0.000 000 000 047 e-4</t>
  </si>
  <si>
    <t>Planck</t>
  </si>
  <si>
    <t>-2.002 319 304 360 92</t>
  </si>
  <si>
    <t>0.000 000 000 000 36</t>
  </si>
  <si>
    <t>electron gyromag. ratio</t>
  </si>
  <si>
    <t>1.760 859 627 84 e11</t>
  </si>
  <si>
    <t>me</t>
  </si>
  <si>
    <t>electron gyromag. ratio in MHz/T</t>
  </si>
  <si>
    <t>28 024.951 3861</t>
  </si>
  <si>
    <t>0.000 0087</t>
  </si>
  <si>
    <t>electron mass</t>
  </si>
  <si>
    <t>masse de l'électron</t>
  </si>
  <si>
    <t>electron-helion mass ratio</t>
  </si>
  <si>
    <t>1.819 543 074 649 e-4</t>
  </si>
  <si>
    <t>0.000 000 000 053 e-4</t>
  </si>
  <si>
    <t>[m_e]</t>
  </si>
  <si>
    <t>Cu x unit</t>
  </si>
  <si>
    <t>electron mag. mom.</t>
  </si>
  <si>
    <t>-9.284 764 6917 e-24</t>
  </si>
  <si>
    <t>electron mag. mom. anomaly</t>
  </si>
  <si>
    <t>1.159 652 180 46 e-3</t>
  </si>
  <si>
    <t>0.000 000 000 18 e-3</t>
  </si>
  <si>
    <t>mec2</t>
  </si>
  <si>
    <t>electron mass energy equivalent</t>
  </si>
  <si>
    <t>énergie de masse de l'électron</t>
  </si>
  <si>
    <t>electron mag. mom. to Bohr magneton ratio</t>
  </si>
  <si>
    <t>-1.001 159 652 180 46</t>
  </si>
  <si>
    <t>0.000 000 000 000 18</t>
  </si>
  <si>
    <t>Proton</t>
  </si>
  <si>
    <t>electron mag. mom. to nuclear magneton ratio</t>
  </si>
  <si>
    <t>-1838.281 971 877</t>
  </si>
  <si>
    <t>0.000 000 032</t>
  </si>
  <si>
    <t>Q2294</t>
  </si>
  <si>
    <t>Proton,Charge,Mass</t>
  </si>
  <si>
    <t>mec2mev</t>
  </si>
  <si>
    <t>ElectronMassEnergyEquivalentInMeV</t>
  </si>
  <si>
    <t>Electron Mass Energy Equivalent In MeV</t>
  </si>
  <si>
    <t>electron mass energy equivalent in MeV</t>
  </si>
  <si>
    <t>énergie de masse de l'électron en MeV</t>
  </si>
  <si>
    <t>8.187 105 7880 e-14</t>
  </si>
  <si>
    <t>0.000 000 0026 e-14</t>
  </si>
  <si>
    <t>Proton,ComptonWavelength</t>
  </si>
  <si>
    <t>0.510 998 950 69</t>
  </si>
  <si>
    <t>0.000 000 000 16</t>
  </si>
  <si>
    <t>Proton,Electron,MassRatio</t>
  </si>
  <si>
    <t>electron mass in u</t>
  </si>
  <si>
    <t>5.485 799 090 441 e-4</t>
  </si>
  <si>
    <t>0.000 000 000 097 e-4</t>
  </si>
  <si>
    <t>meu</t>
  </si>
  <si>
    <t>ElectronMassInAtomicMassUnit</t>
  </si>
  <si>
    <t>Proton,GFactor</t>
  </si>
  <si>
    <t>masse de l'électron en u</t>
  </si>
  <si>
    <t>electron molar mass</t>
  </si>
  <si>
    <t>5.485 799 0962 e-7</t>
  </si>
  <si>
    <t>0.000 000 0017 e-7</t>
  </si>
  <si>
    <t>Proton,GyromagneticRatio</t>
  </si>
  <si>
    <t>electron-muon mag. mom. ratio</t>
  </si>
  <si>
    <t>206.766 9881</t>
  </si>
  <si>
    <t>0.000 0046</t>
  </si>
  <si>
    <t>Proton,MagneticMoment</t>
  </si>
  <si>
    <t>electron-muon mass ratio</t>
  </si>
  <si>
    <t>4.836 331 70 e-3</t>
  </si>
  <si>
    <t>0.000 000 11 e-3</t>
  </si>
  <si>
    <t>Proton,MagneticMoment,BohrMagneton,Ratio</t>
  </si>
  <si>
    <t>electron-neutron mag. mom. ratio</t>
  </si>
  <si>
    <t>960.920 48</t>
  </si>
  <si>
    <t>0.000 23</t>
  </si>
  <si>
    <t>mme</t>
  </si>
  <si>
    <t>Proton,MagneticMoment,NuclearMagneton,Ratio</t>
  </si>
  <si>
    <t>masse molaire de l'électron</t>
  </si>
  <si>
    <t>electron-neutron mass ratio</t>
  </si>
  <si>
    <t>5.438 673 4416 e-4</t>
  </si>
  <si>
    <t>0.000 000 0022 e-4</t>
  </si>
  <si>
    <t>Proton,MagneticShielding</t>
  </si>
  <si>
    <t>electron-proton mag. mom. ratio</t>
  </si>
  <si>
    <t>-658.210 687 89</t>
  </si>
  <si>
    <t>0.000 000 19</t>
  </si>
  <si>
    <t>Proton,Mass</t>
  </si>
  <si>
    <t>electron-proton mass ratio</t>
  </si>
  <si>
    <t>5.446 170 214 889 e-4</t>
  </si>
  <si>
    <t>0.000 000 000 094 e-4</t>
  </si>
  <si>
    <t>muemsmumum</t>
  </si>
  <si>
    <t>electron - muon magnetic moment ratio</t>
  </si>
  <si>
    <t>rapport du moment magnétique de l'électron à celui du muon</t>
  </si>
  <si>
    <t>ProtonMass,EnergyEquivalent</t>
  </si>
  <si>
    <t>electron relative atomic mass</t>
  </si>
  <si>
    <t>Proton,MolarMass</t>
  </si>
  <si>
    <t>Proton,Muon,MassRatio</t>
  </si>
  <si>
    <t>electron-tau mass ratio</t>
  </si>
  <si>
    <t>2.875 85 e-4</t>
  </si>
  <si>
    <t>0.000 19 e-4</t>
  </si>
  <si>
    <t>Proton,Neutron,MagneticMoment,Ratio</t>
  </si>
  <si>
    <t>electron to alpha particle mass ratio</t>
  </si>
  <si>
    <t>1.370 933 554 733 e-4</t>
  </si>
  <si>
    <t>0.000 000 000 032 e-4</t>
  </si>
  <si>
    <t>Proton,Neutron,MassRatio</t>
  </si>
  <si>
    <t>electron to shielded helion mag. mom. ratio</t>
  </si>
  <si>
    <t>864.058 239 86</t>
  </si>
  <si>
    <t>Proton,RelativeAtomicMass</t>
  </si>
  <si>
    <t>0.000 000 70</t>
  </si>
  <si>
    <t>mesmmu</t>
  </si>
  <si>
    <t>Proton,RmsChargeRadius</t>
  </si>
  <si>
    <t>electron to shielded proton mag. mom. ratio</t>
  </si>
  <si>
    <t>-658.227 5856</t>
  </si>
  <si>
    <t>0.000 0027</t>
  </si>
  <si>
    <t>electron - muon mass ratio</t>
  </si>
  <si>
    <t>rapport de la masse de l'électron à celle du muon</t>
  </si>
  <si>
    <t>Proton,Tau,MassRatio</t>
  </si>
  <si>
    <t>electron-triton mass ratio</t>
  </si>
  <si>
    <t>1.819 200 062 327 e-4</t>
  </si>
  <si>
    <t>0.000 000 000 068 e-4</t>
  </si>
  <si>
    <t>electron volt</t>
  </si>
  <si>
    <t>electron volt-atomic mass unit relationship</t>
  </si>
  <si>
    <t>1.073 544 100 83 e-9</t>
  </si>
  <si>
    <t>0.000 000 000 33 e-9</t>
  </si>
  <si>
    <t>electron volt-hartree relationship</t>
  </si>
  <si>
    <t>3.674 932 217 5665 e-2</t>
  </si>
  <si>
    <t>0.000 000 000 0040 e-2</t>
  </si>
  <si>
    <t>muemsmunn</t>
  </si>
  <si>
    <t>electron - neutron magnetic moment ratio</t>
  </si>
  <si>
    <t>rapport du moment magnétique de l'électron à celui du neutron</t>
  </si>
  <si>
    <t>Radiation</t>
  </si>
  <si>
    <t>Radius</t>
  </si>
  <si>
    <t>electron volt-hertz relationship</t>
  </si>
  <si>
    <t>2.417 989 242 e14</t>
  </si>
  <si>
    <t>Ratio</t>
  </si>
  <si>
    <t>electron volt-inverse meter relationship</t>
  </si>
  <si>
    <t>8.065 543 937 e5</t>
  </si>
  <si>
    <t>Reduced</t>
  </si>
  <si>
    <t>electron volt-joule relationship</t>
  </si>
  <si>
    <t>Reduced,ComptonWavelength</t>
  </si>
  <si>
    <t>mesmn</t>
  </si>
  <si>
    <t>electron volt-kelvin relationship</t>
  </si>
  <si>
    <t>1.160 451 812 e4</t>
  </si>
  <si>
    <t>electron - neutron mass ratio</t>
  </si>
  <si>
    <t>rapport de la masse de l'électron à celle du neutron</t>
  </si>
  <si>
    <t>electron volt-kilogram relationship</t>
  </si>
  <si>
    <t>1.782 661 921 e-36</t>
  </si>
  <si>
    <t>Reduced,Muon,ComptonWavelength</t>
  </si>
  <si>
    <t>elementary charge</t>
  </si>
  <si>
    <t>Reduced,Neutron,ComptonWavelength</t>
  </si>
  <si>
    <t>elementary charge over h-bar</t>
  </si>
  <si>
    <t>1.519 267 447 e15</t>
  </si>
  <si>
    <t>A J^-1</t>
  </si>
  <si>
    <t>Reduced,PlanckConstant</t>
  </si>
  <si>
    <t>muemsmup</t>
  </si>
  <si>
    <t>electron - proton magnetic moment ratio</t>
  </si>
  <si>
    <t>rapport du moment magnétique de l'électron à celui du protron</t>
  </si>
  <si>
    <t>Faraday constant</t>
  </si>
  <si>
    <t>96 485.332 12</t>
  </si>
  <si>
    <t>C mol^-1</t>
  </si>
  <si>
    <t>Reduced,Proton,ComptonWavelength</t>
  </si>
  <si>
    <t>Fermi coupling constant</t>
  </si>
  <si>
    <t>1.166 3787 e-5</t>
  </si>
  <si>
    <t>0.000 0006 e-5</t>
  </si>
  <si>
    <t>GeV^-2</t>
  </si>
  <si>
    <t>Reduced,Tau,ComptonWavelength</t>
  </si>
  <si>
    <t>Relationship</t>
  </si>
  <si>
    <t>fine-structure constant</t>
  </si>
  <si>
    <t>7.297 352 5643 e-3</t>
  </si>
  <si>
    <t>0.000 000 0011 e-3</t>
  </si>
  <si>
    <t>RelativeAtomicMass</t>
  </si>
  <si>
    <t>Relative Atomic Mass</t>
  </si>
  <si>
    <t>mesmp</t>
  </si>
  <si>
    <t>first radiation constant</t>
  </si>
  <si>
    <t>3.741 771 852 e-16</t>
  </si>
  <si>
    <t>W m^2</t>
  </si>
  <si>
    <t>RmsCharge</t>
  </si>
  <si>
    <t>Root Mean Square Charge</t>
  </si>
  <si>
    <t>electron - proton mass ratio</t>
  </si>
  <si>
    <t>rapport de la masse de l'électron à celle du protron</t>
  </si>
  <si>
    <t>first radiation constant for spectral radiance</t>
  </si>
  <si>
    <t>1.191 042 972 e-16</t>
  </si>
  <si>
    <t>RmsChargeRadius</t>
  </si>
  <si>
    <t>W m^2 sr^-1</t>
  </si>
  <si>
    <t>Root Mean Square Charge Radius</t>
  </si>
  <si>
    <t>hartree-atomic mass unit relationship</t>
  </si>
  <si>
    <t>deuteron-electron magnetic moment ratio</t>
  </si>
  <si>
    <t>2.921 262 317 97 e-8</t>
  </si>
  <si>
    <t>0.000 000 000 91 e-8</t>
  </si>
  <si>
    <t>hartree-electron volt relationship</t>
  </si>
  <si>
    <t>Rydberg</t>
  </si>
  <si>
    <t>Hartree energy</t>
  </si>
  <si>
    <t>are</t>
  </si>
  <si>
    <t>masse atomique relative de l'électron</t>
  </si>
  <si>
    <t>Hartree energy in eV</t>
  </si>
  <si>
    <t>deuteron-neutron magnetic moment ratio</t>
  </si>
  <si>
    <t>mesmtau</t>
  </si>
  <si>
    <t>rapport de la masse de l'électron à celle du tau</t>
  </si>
  <si>
    <t>hartree-hertz relationship</t>
  </si>
  <si>
    <t>6.579 683 920 4999 e15</t>
  </si>
  <si>
    <t>0.000 000 000 0072 e15</t>
  </si>
  <si>
    <t>hartree-inverse meter relationship</t>
  </si>
  <si>
    <t>2.194 746 313 6314 e7</t>
  </si>
  <si>
    <t>0.000 000 000 0024 e7</t>
  </si>
  <si>
    <t>Shielded</t>
  </si>
  <si>
    <t>hartree-joule relationship</t>
  </si>
  <si>
    <t>ShieldedHelion</t>
  </si>
  <si>
    <t>mesmalpha</t>
  </si>
  <si>
    <t>Shielded,Helion</t>
  </si>
  <si>
    <t>rapport de la masse de l'électron à celle de la particule alpha</t>
  </si>
  <si>
    <t>hartree-kelvin relationship</t>
  </si>
  <si>
    <t>3.157 750 248 0398 e5</t>
  </si>
  <si>
    <t>0.000 000 000 0034 e5</t>
  </si>
  <si>
    <t>ShieldedHelion,GyromagneticRatio</t>
  </si>
  <si>
    <t>hartree-kilogram relationship</t>
  </si>
  <si>
    <t>4.850 870 209 5419 e-35</t>
  </si>
  <si>
    <t>0.000 000 000 0053 e-35</t>
  </si>
  <si>
    <t>deuteron-proton magnetic moment ratio</t>
  </si>
  <si>
    <t>ShieldedHelion,MagneticMoment</t>
  </si>
  <si>
    <t>helion-electron mass ratio</t>
  </si>
  <si>
    <t>5495.885 279 84</t>
  </si>
  <si>
    <t>0.000 000 16</t>
  </si>
  <si>
    <t>muemsmuhp</t>
  </si>
  <si>
    <t>electron to shielded helion magnetic moment ratio</t>
  </si>
  <si>
    <t>rapport du moment magnétique de l'électron à celui de l'hélion écranté</t>
  </si>
  <si>
    <t>helion g factor</t>
  </si>
  <si>
    <t>-4.255 250 6995</t>
  </si>
  <si>
    <t>0.000 000 0034</t>
  </si>
  <si>
    <t>ShieldedHelion,MagneticMoment,BohrMagneton,Ratio</t>
  </si>
  <si>
    <t>ShieldedHelion,MagneticMoment,NuclearMagneton,Ratio</t>
  </si>
  <si>
    <t>ShieldedHelion,Proton,MagneticMoment,Ratio</t>
  </si>
  <si>
    <t>muemsmupp</t>
  </si>
  <si>
    <t>electron to shielded proton magnetic moment ratio</t>
  </si>
  <si>
    <t>ShieldedHelion,ShieldedProton,MagneticMoment,Ratio</t>
  </si>
  <si>
    <t>rapport du moment magnétique de l'électron à celui du proton écranté</t>
  </si>
  <si>
    <t>electric constant</t>
  </si>
  <si>
    <t>ep0</t>
  </si>
  <si>
    <t>helion mag. mom.</t>
  </si>
  <si>
    <t>-1.074 617 551 98 e-26</t>
  </si>
  <si>
    <t>ShieldedProton</t>
  </si>
  <si>
    <t>0.000 000 000 93 e-26</t>
  </si>
  <si>
    <t>Shielded,Proton</t>
  </si>
  <si>
    <t>ShieldedProton,GyromagneticRatio</t>
  </si>
  <si>
    <t>helion mag. mom. to Bohr magneton ratio</t>
  </si>
  <si>
    <t>-1.158 740 980 83 e-3</t>
  </si>
  <si>
    <t>0.000 000 000 94 e-3</t>
  </si>
  <si>
    <t>helion mag. mom. to nuclear magneton ratio</t>
  </si>
  <si>
    <t>-2.127 625 3498</t>
  </si>
  <si>
    <t>0.000 000 0017</t>
  </si>
  <si>
    <t>mesmt</t>
  </si>
  <si>
    <t>ShieldedProton,MagneticMoment</t>
  </si>
  <si>
    <t>electron - triton mass ratio</t>
  </si>
  <si>
    <t>rapport de la masse de l'électron à celle du triton</t>
  </si>
  <si>
    <t>helion mass</t>
  </si>
  <si>
    <t>5.006 412 7862 e-27</t>
  </si>
  <si>
    <t>0.000 000 0016 e-27</t>
  </si>
  <si>
    <t>ShieldedProton,MagneticMoment,BohrMagneton,Ratio</t>
  </si>
  <si>
    <t>helion mass energy equivalent</t>
  </si>
  <si>
    <t>4.499 539 4185 e-10</t>
  </si>
  <si>
    <t>0.000 000 0014 e-10</t>
  </si>
  <si>
    <t>ShieldedProton,MagneticMoment,NuclearMagneton,Ratio</t>
  </si>
  <si>
    <t>Shielding</t>
  </si>
  <si>
    <t>ShieldingDifference</t>
  </si>
  <si>
    <t>Shielding Difference</t>
  </si>
  <si>
    <t>helion mass energy equivalent in MeV</t>
  </si>
  <si>
    <t>2808.391 611 12</t>
  </si>
  <si>
    <t>0.000 000 88</t>
  </si>
  <si>
    <t>Shielding,Difference</t>
  </si>
  <si>
    <t>helion mass in u</t>
  </si>
  <si>
    <t>3.014 932 246 932</t>
  </si>
  <si>
    <t>0.000 000 000 074</t>
  </si>
  <si>
    <t>helion molar mass</t>
  </si>
  <si>
    <t>3.014 932 250 10 e-3</t>
  </si>
  <si>
    <t>ShieldingShift</t>
  </si>
  <si>
    <t>helion-proton mass ratio</t>
  </si>
  <si>
    <t>2.993 152 671 552</t>
  </si>
  <si>
    <t>tevj</t>
  </si>
  <si>
    <t>SI</t>
  </si>
  <si>
    <t>International System of Units</t>
  </si>
  <si>
    <t>électronvolt</t>
  </si>
  <si>
    <t>helion relative atomic mass</t>
  </si>
  <si>
    <t>SIBaseUnit</t>
  </si>
  <si>
    <t>SI Base Unit</t>
  </si>
  <si>
    <t>SIUnit</t>
  </si>
  <si>
    <t>SIConstant</t>
  </si>
  <si>
    <t>SI Constant</t>
  </si>
  <si>
    <t>SI Defining Constant</t>
  </si>
  <si>
    <t>helion shielding shift</t>
  </si>
  <si>
    <t>5.996 7029 e-5</t>
  </si>
  <si>
    <t>0.000 0023 e-5</t>
  </si>
  <si>
    <t>SIDerivedConstant</t>
  </si>
  <si>
    <t>Si Derived Constant</t>
  </si>
  <si>
    <t>SIDerivedUnit</t>
  </si>
  <si>
    <t>SI Derived Unit</t>
  </si>
  <si>
    <t>hertz-atomic mass unit relationship</t>
  </si>
  <si>
    <t>4.439 821 6590 e-24</t>
  </si>
  <si>
    <t>0.000 000 0014 e-24</t>
  </si>
  <si>
    <t>evu</t>
  </si>
  <si>
    <t>electronvolt - atomic mass unit relationship</t>
  </si>
  <si>
    <t>relation entre l'électronvolt et l'unité de masse atomique</t>
  </si>
  <si>
    <t>hertz-electron volt relationship</t>
  </si>
  <si>
    <t>4.135 667 696 e-15</t>
  </si>
  <si>
    <t>SI Unit</t>
  </si>
  <si>
    <t>electron gyromag. ratio over 2 pi</t>
  </si>
  <si>
    <t>hertz-hartree relationship</t>
  </si>
  <si>
    <t>1.519 829 846 0574 e-16</t>
  </si>
  <si>
    <t>0.000 000 000 0017 e-16</t>
  </si>
  <si>
    <t>SpectralRadiance</t>
  </si>
  <si>
    <t>Speed</t>
  </si>
  <si>
    <t>hertz-inverse meter relationship</t>
  </si>
  <si>
    <t>3.335 640 951 e-9</t>
  </si>
  <si>
    <t>hertz-joule relationship</t>
  </si>
  <si>
    <t>6.626 070 15 e-34</t>
  </si>
  <si>
    <t>evhr</t>
  </si>
  <si>
    <t>electronvolt - hartree relationship</t>
  </si>
  <si>
    <t>relation entre l'électronvolt et le hartree</t>
  </si>
  <si>
    <t>Speed,Light</t>
  </si>
  <si>
    <t>hertz-kelvin relationship</t>
  </si>
  <si>
    <t>4.799 243 073 e-11</t>
  </si>
  <si>
    <t>Acceleration,Gravity</t>
  </si>
  <si>
    <t>hertz-kilogram relationship</t>
  </si>
  <si>
    <t>7.372 497 323 e-51</t>
  </si>
  <si>
    <t>hyperfine transition frequency of Cs-133</t>
  </si>
  <si>
    <t>9 192 631 770</t>
  </si>
  <si>
    <t>evhz</t>
  </si>
  <si>
    <t>electronvolt - hertz relationship</t>
  </si>
  <si>
    <t>relation entre l'électronvolt et le hertz</t>
  </si>
  <si>
    <t>inverse fine-structure constant</t>
  </si>
  <si>
    <t>137.035 999 177</t>
  </si>
  <si>
    <t>0.000 000 021</t>
  </si>
  <si>
    <t>Tau</t>
  </si>
  <si>
    <t>inverse meter-atomic mass unit relationship</t>
  </si>
  <si>
    <t>1.331 025 048 24 e-15</t>
  </si>
  <si>
    <t>0.000 000 000 41 e-15</t>
  </si>
  <si>
    <t>Q188392</t>
  </si>
  <si>
    <t>inverse meter-electron volt relationship</t>
  </si>
  <si>
    <t>1.239 841 984 e-6</t>
  </si>
  <si>
    <t>Tau,ComptonWavelength</t>
  </si>
  <si>
    <t>inverse meter-hartree relationship</t>
  </si>
  <si>
    <t>4.556 335 252 9132 e-8</t>
  </si>
  <si>
    <t>0.000 000 000 0050 e-8</t>
  </si>
  <si>
    <t>evminv</t>
  </si>
  <si>
    <t>electronvolt - inverse meter relationship</t>
  </si>
  <si>
    <t>relation entre l'électronvolt et l'inverse du mètre</t>
  </si>
  <si>
    <t>Tau,Electron,MassRatio</t>
  </si>
  <si>
    <t>inverse meter-hertz relationship</t>
  </si>
  <si>
    <t>299 792 458</t>
  </si>
  <si>
    <t>Tau,Mass</t>
  </si>
  <si>
    <t>inverse meter-joule relationship</t>
  </si>
  <si>
    <t>1.986 445 857 e-25</t>
  </si>
  <si>
    <t>TauMass,EnergyEquivalent</t>
  </si>
  <si>
    <t>inverse meter-kelvin relationship</t>
  </si>
  <si>
    <t>1.438 776 877 e-2</t>
  </si>
  <si>
    <t>Tau,MolarMass</t>
  </si>
  <si>
    <t>inverse meter-kilogram relationship</t>
  </si>
  <si>
    <t>2.210 219 094 e-42</t>
  </si>
  <si>
    <t>evj</t>
  </si>
  <si>
    <t>electronvolt - joule relationship</t>
  </si>
  <si>
    <t>relation entre l'électronvolt et le joule</t>
  </si>
  <si>
    <t>Tau,Muon,MassRatio</t>
  </si>
  <si>
    <t>inverse of conductance quantum</t>
  </si>
  <si>
    <t>12 906.403 72</t>
  </si>
  <si>
    <t>Tau,Neutron,MassRatio</t>
  </si>
  <si>
    <t>Josephson constant</t>
  </si>
  <si>
    <t>483 597.848 4 e9</t>
  </si>
  <si>
    <t>Tau,Proton,MassRatio</t>
  </si>
  <si>
    <t>Thomson</t>
  </si>
  <si>
    <t>joule-atomic mass unit relationship</t>
  </si>
  <si>
    <t>6.700 535 2471 e9</t>
  </si>
  <si>
    <t>0.000 000 0021 e9</t>
  </si>
  <si>
    <t>evk</t>
  </si>
  <si>
    <t>electronvolt - kelvin relationship</t>
  </si>
  <si>
    <t>relation entre l'électronvolt et le kelvin</t>
  </si>
  <si>
    <t>joule-electron volt relationship</t>
  </si>
  <si>
    <t>6.241 509 074 e18</t>
  </si>
  <si>
    <t>Thomson,CrossSection</t>
  </si>
  <si>
    <t>Time</t>
  </si>
  <si>
    <t>joule-hartree relationship</t>
  </si>
  <si>
    <t>2.293 712 278 3969 e17</t>
  </si>
  <si>
    <t>0.000 000 000 0025 e17</t>
  </si>
  <si>
    <t>Tritium</t>
  </si>
  <si>
    <t>joule-hertz relationship</t>
  </si>
  <si>
    <t>1.509 190 179 e33</t>
  </si>
  <si>
    <t>Q54389</t>
  </si>
  <si>
    <t>Triton</t>
  </si>
  <si>
    <t>joule-inverse meter relationship</t>
  </si>
  <si>
    <t>5.034 116 567 e24</t>
  </si>
  <si>
    <t>evkg</t>
  </si>
  <si>
    <t>electronvolt - kilogram relationship</t>
  </si>
  <si>
    <t>relation entre l'électronvolt et le kilogramme</t>
  </si>
  <si>
    <t>Triton,Electron,MagneticMoment,Ratio</t>
  </si>
  <si>
    <t>joule-kelvin relationship</t>
  </si>
  <si>
    <t>7.242 970 516 e22</t>
  </si>
  <si>
    <t>Triton,Electron,MassRatio</t>
  </si>
  <si>
    <t>joule-kilogram relationship</t>
  </si>
  <si>
    <t>1.112 650 056 e-17</t>
  </si>
  <si>
    <t>Triton,GFactor</t>
  </si>
  <si>
    <t>kelvin-atomic mass unit relationship</t>
  </si>
  <si>
    <t>9.251 087 2884 e-14</t>
  </si>
  <si>
    <t>0.000 000 0029 e-14</t>
  </si>
  <si>
    <t>Triton,MagneticMoment</t>
  </si>
  <si>
    <t>kelvin-electron volt relationship</t>
  </si>
  <si>
    <t>e</t>
  </si>
  <si>
    <t>charge élémentaire</t>
  </si>
  <si>
    <t>Triton,MagneticMoment,BohrMagneton,Ratio</t>
  </si>
  <si>
    <t>kelvin-hartree relationship</t>
  </si>
  <si>
    <t>3.166 811 563 4564 e-6</t>
  </si>
  <si>
    <t>0.000 000 000 0035 e-6</t>
  </si>
  <si>
    <t>Triton,MagneticMoment,NuclearMagneton,Ratio</t>
  </si>
  <si>
    <t>kelvin-hertz relationship</t>
  </si>
  <si>
    <t>Triton,Mass</t>
  </si>
  <si>
    <t>TritonMass,EnergyEquivalent</t>
  </si>
  <si>
    <t>Triton,MolarMass</t>
  </si>
  <si>
    <t>Triton,Neutron,MagneticMoment,Ratio</t>
  </si>
  <si>
    <t>Triton,Proton,MagneticMoment,Ratio</t>
  </si>
  <si>
    <t>Triton,Proton,MassRatio</t>
  </si>
  <si>
    <t>eshbar</t>
  </si>
  <si>
    <t>rapport entre la charge élémentaire et la constante de Planck réduite</t>
  </si>
  <si>
    <t>kelvin-inverse meter relationship</t>
  </si>
  <si>
    <t>Triton,RelativeAtomicMass</t>
  </si>
  <si>
    <t>kelvin-joule relationship</t>
  </si>
  <si>
    <t>Vacuum</t>
  </si>
  <si>
    <t>Velocity</t>
  </si>
  <si>
    <t>kelvin-kilogram relationship</t>
  </si>
  <si>
    <t>1.536 179 187 e-40</t>
  </si>
  <si>
    <t>f</t>
  </si>
  <si>
    <t>constante de Faraday</t>
  </si>
  <si>
    <t>kilogram-atomic mass unit relationship</t>
  </si>
  <si>
    <t>6.022 140 7537 e26</t>
  </si>
  <si>
    <t>0.000 000 0019 e26</t>
  </si>
  <si>
    <t>Volt</t>
  </si>
  <si>
    <t>The derived unit of electric potential and electromotive force in the International System of Units (SI), equal to one joule per coulomb.</t>
  </si>
  <si>
    <t>VonKlitzing</t>
  </si>
  <si>
    <t>kilogram-electron volt relationship</t>
  </si>
  <si>
    <t>5.609 588 603 e35</t>
  </si>
  <si>
    <t>f90</t>
  </si>
  <si>
    <t>FaradayConstantConventionalElectricCurrent</t>
  </si>
  <si>
    <t>kilogram-hartree relationship</t>
  </si>
  <si>
    <t>2.061 485 788 7415 e34</t>
  </si>
  <si>
    <t>0.000 000 000 0022 e34</t>
  </si>
  <si>
    <t>Faraday constant for conventional electric current</t>
  </si>
  <si>
    <t>constante de Faraday en unité de courant électrique conventionnelle - 90</t>
  </si>
  <si>
    <t>C_90 mol^-1</t>
  </si>
  <si>
    <t>C90_mol-1</t>
  </si>
  <si>
    <t>kilogram-hertz relationship</t>
  </si>
  <si>
    <t>1.356 392 489 e50</t>
  </si>
  <si>
    <t>Watt</t>
  </si>
  <si>
    <t>Wavelength</t>
  </si>
  <si>
    <t>kilogram-inverse meter relationship</t>
  </si>
  <si>
    <t>4.524 438 335 e41</t>
  </si>
  <si>
    <t>WavelengthDisplacement</t>
  </si>
  <si>
    <t>Wavelength Displacement</t>
  </si>
  <si>
    <t>Wavelength,Displacement</t>
  </si>
  <si>
    <t>WBoson</t>
  </si>
  <si>
    <t>kilogram-joule relationship</t>
  </si>
  <si>
    <t>8.987 551 787 e16</t>
  </si>
  <si>
    <t>gf</t>
  </si>
  <si>
    <t>constante de couplage de Fermi</t>
  </si>
  <si>
    <t>kilogram-kelvin relationship</t>
  </si>
  <si>
    <t>6.509 657 260 e39</t>
  </si>
  <si>
    <t>Wien</t>
  </si>
  <si>
    <t>lattice parameter of silicon</t>
  </si>
  <si>
    <t>5.431 020 511 e-10</t>
  </si>
  <si>
    <t>0.000 000 089 e-10</t>
  </si>
  <si>
    <t>lattice spacing of ideal Si (220)</t>
  </si>
  <si>
    <t>1.920 155 716 e-10</t>
  </si>
  <si>
    <t>0.000 000 032 e-10</t>
  </si>
  <si>
    <t>Wien,FrequencyDisplacement</t>
  </si>
  <si>
    <t>Loschmidt constant (273.15 K, 100 kPa)</t>
  </si>
  <si>
    <t>2.651 645 804 e25</t>
  </si>
  <si>
    <t>m^-3</t>
  </si>
  <si>
    <t>alph</t>
  </si>
  <si>
    <t>constante de structure fine</t>
  </si>
  <si>
    <t>Wien,WavelengthDisplacement</t>
  </si>
  <si>
    <t>Loschmidt constant (273.15 K, 101.325 kPa)</t>
  </si>
  <si>
    <t>2.686 780 111 e25</t>
  </si>
  <si>
    <t>WBoson,ZBoson,MassRatio</t>
  </si>
  <si>
    <t>ZBoson</t>
  </si>
  <si>
    <t>luminous efficacy</t>
  </si>
  <si>
    <t>683</t>
  </si>
  <si>
    <t>lm W^-1</t>
  </si>
  <si>
    <t>mag. flux quantum</t>
  </si>
  <si>
    <t>2.067 833 848 e-15</t>
  </si>
  <si>
    <t>c11strc</t>
  </si>
  <si>
    <t>première constante radiative</t>
  </si>
  <si>
    <t>molar gas constant</t>
  </si>
  <si>
    <t>8.314 462 618</t>
  </si>
  <si>
    <t>J mol^-1 K^-1</t>
  </si>
  <si>
    <t>molar mass constant</t>
  </si>
  <si>
    <t>1.000 000 001 05 e-3</t>
  </si>
  <si>
    <t>0.000 000 000 31 e-3</t>
  </si>
  <si>
    <t>molar mass of carbon-12</t>
  </si>
  <si>
    <t>12.000 000 0126 e-3</t>
  </si>
  <si>
    <t>0.000 000 0037 e-3</t>
  </si>
  <si>
    <t>c1l</t>
  </si>
  <si>
    <t>deuxième constante radiative</t>
  </si>
  <si>
    <t>molar Planck constant</t>
  </si>
  <si>
    <t>3.990 312 712 e-10</t>
  </si>
  <si>
    <t>J Hz^-1 mol^-1</t>
  </si>
  <si>
    <t xml:space="preserve"> 7294.299 541 42</t>
  </si>
  <si>
    <t>0.000 000 24</t>
  </si>
  <si>
    <t>molar volume of ideal gas (273.15 K, 100 kPa)</t>
  </si>
  <si>
    <t>22.710 954 64 e-3</t>
  </si>
  <si>
    <t>m^3 mol^-1</t>
  </si>
  <si>
    <t>molar volume of ideal gas (273.15 K, 101.325 kPa)</t>
  </si>
  <si>
    <t>22.413 969 54 e-3</t>
  </si>
  <si>
    <t>hru</t>
  </si>
  <si>
    <t>hartree - atomic mass unit relationship</t>
  </si>
  <si>
    <t>relation entre le hartree et l'unité de masse atomique</t>
  </si>
  <si>
    <t>molar volume of silicon</t>
  </si>
  <si>
    <t>1.205 883 199 e-5</t>
  </si>
  <si>
    <t>0.000 000 060 e-5</t>
  </si>
  <si>
    <t xml:space="preserve"> 6.644 657 3357 e-27</t>
  </si>
  <si>
    <t>0.000 000 0020 e-27</t>
  </si>
  <si>
    <t>Molybdenum x unit</t>
  </si>
  <si>
    <t>1.002 099 52 e-13</t>
  </si>
  <si>
    <t>0.000 000 53 e-13</t>
  </si>
  <si>
    <t xml:space="preserve"> 5.971 920 1914 e-10</t>
  </si>
  <si>
    <t>0.000 000 0018 e-10</t>
  </si>
  <si>
    <t>muon Compton wavelength</t>
  </si>
  <si>
    <t>1.173 444 110 e-14</t>
  </si>
  <si>
    <t>0.000 000 026 e-14</t>
  </si>
  <si>
    <t>hrev</t>
  </si>
  <si>
    <t>hartree - electronvolt relationship</t>
  </si>
  <si>
    <t>relation entre le hartree et l'électronvolt</t>
  </si>
  <si>
    <t xml:space="preserve"> 3727.379 4066</t>
  </si>
  <si>
    <t>0.000 0011</t>
  </si>
  <si>
    <t>muon-electron mass ratio</t>
  </si>
  <si>
    <t>206.768 2827</t>
  </si>
  <si>
    <t xml:space="preserve"> 4.001 506 179 127</t>
  </si>
  <si>
    <t>0.000 000 000 063</t>
  </si>
  <si>
    <t>muon g factor</t>
  </si>
  <si>
    <t>-2.002 331 841 23</t>
  </si>
  <si>
    <t>0.000 000 000 82</t>
  </si>
  <si>
    <t>muon mag. mom.</t>
  </si>
  <si>
    <t>-4.490 448 30 e-26</t>
  </si>
  <si>
    <t>0.000 000 10 e-26</t>
  </si>
  <si>
    <t xml:space="preserve"> 4.001 506 1777 e-3</t>
  </si>
  <si>
    <t>hr</t>
  </si>
  <si>
    <t>muon mag. mom. anomaly</t>
  </si>
  <si>
    <t>1.165 920 62 e-3</t>
  </si>
  <si>
    <t>0.000 000 41 e-3</t>
  </si>
  <si>
    <t>énergie de Hartree</t>
  </si>
  <si>
    <t xml:space="preserve"> 3.972 599 690 09</t>
  </si>
  <si>
    <t>0.000 000 000 22</t>
  </si>
  <si>
    <t>muon mag. mom. to Bohr magneton ratio</t>
  </si>
  <si>
    <t>-4.841 970 48 e-3</t>
  </si>
  <si>
    <t>muon mag. mom. to nuclear magneton ratio</t>
  </si>
  <si>
    <t>-8.890 597 04</t>
  </si>
  <si>
    <t>0.000 000 20</t>
  </si>
  <si>
    <t>muon mass</t>
  </si>
  <si>
    <t>1.883 531 627 e-28</t>
  </si>
  <si>
    <t>0.000 000 042 e-28</t>
  </si>
  <si>
    <t xml:space="preserve"> 1.000 014 95 e-10</t>
  </si>
  <si>
    <t>threv</t>
  </si>
  <si>
    <t>HartreeEnergyInEV</t>
  </si>
  <si>
    <t>Hartree Energy In eV</t>
  </si>
  <si>
    <t>énergie de Hartree en eV</t>
  </si>
  <si>
    <t>muon mass energy equivalent</t>
  </si>
  <si>
    <t>1.692 833 804 e-11</t>
  </si>
  <si>
    <t>0.000 000 038 e-11</t>
  </si>
  <si>
    <t xml:space="preserve"> 1.660 539 066 60 e-27</t>
  </si>
  <si>
    <t>0.000 000 000 50 e-27</t>
  </si>
  <si>
    <t>muon mass energy equivalent in MeV</t>
  </si>
  <si>
    <t>105.658 3755</t>
  </si>
  <si>
    <t>0.000 0023</t>
  </si>
  <si>
    <t xml:space="preserve"> 1.492 418 085 60 e-10</t>
  </si>
  <si>
    <t>0.000 000 000 45 e-10</t>
  </si>
  <si>
    <t>muon mass in u</t>
  </si>
  <si>
    <t>0.113 428 9257</t>
  </si>
  <si>
    <t>0.000 000 0025</t>
  </si>
  <si>
    <t xml:space="preserve"> 931.494 102 42</t>
  </si>
  <si>
    <t>0.000 000 28</t>
  </si>
  <si>
    <t>muon molar mass</t>
  </si>
  <si>
    <t>1.134 289 258 e-4</t>
  </si>
  <si>
    <t>0.000 000 025 e-4</t>
  </si>
  <si>
    <t>hrhz</t>
  </si>
  <si>
    <t>electron-deuteron magnetic moment ratio</t>
  </si>
  <si>
    <t>hartree - hertz relationship</t>
  </si>
  <si>
    <t>relation entre le hartree et le hertz</t>
  </si>
  <si>
    <t xml:space="preserve"> 9.314 941 0242 e8</t>
  </si>
  <si>
    <t>0.000 000 0028 e8</t>
  </si>
  <si>
    <t>muon-neutron mass ratio</t>
  </si>
  <si>
    <t>0.112 454 5168</t>
  </si>
  <si>
    <t xml:space="preserve"> 3.423 177 6874 e7</t>
  </si>
  <si>
    <t>0.000 000 0010 e7</t>
  </si>
  <si>
    <t>muon-proton mag. mom. ratio</t>
  </si>
  <si>
    <t>-3.183 345 146</t>
  </si>
  <si>
    <t>0.000 000 071</t>
  </si>
  <si>
    <t>muon-proton mass ratio</t>
  </si>
  <si>
    <t>0.112 609 5262</t>
  </si>
  <si>
    <t xml:space="preserve"> 2.252 342 718 71 e23</t>
  </si>
  <si>
    <t>0.000 000 000 68 e23</t>
  </si>
  <si>
    <t>muon-tau mass ratio</t>
  </si>
  <si>
    <t>5.946 35 e-2</t>
  </si>
  <si>
    <t>0.000 40 e-2</t>
  </si>
  <si>
    <t xml:space="preserve"> 7.513 006 6104 e14</t>
  </si>
  <si>
    <t>hrminv</t>
  </si>
  <si>
    <t>hartree - inverse meter relationship</t>
  </si>
  <si>
    <t>relation entre le hartree et l'inverse du mètre</t>
  </si>
  <si>
    <t>natural unit of action</t>
  </si>
  <si>
    <t>natural unit of action in eV s</t>
  </si>
  <si>
    <t>6.582 119 569 e-16</t>
  </si>
  <si>
    <t>eV s</t>
  </si>
  <si>
    <t xml:space="preserve"> 1.080 954 019 16 e13</t>
  </si>
  <si>
    <t>0.000 000 000 33 e13</t>
  </si>
  <si>
    <t>natural unit of energy</t>
  </si>
  <si>
    <t>hrj</t>
  </si>
  <si>
    <t>hartree - joule relationship</t>
  </si>
  <si>
    <t>relation entre le hartree et le joule</t>
  </si>
  <si>
    <t>natural unit of energy in MeV</t>
  </si>
  <si>
    <t>natural unit of length</t>
  </si>
  <si>
    <t>3.861 592 6744 e-13</t>
  </si>
  <si>
    <t>0.000 000 0012 e-13</t>
  </si>
  <si>
    <t xml:space="preserve"> 3.206 361 3061 e-53</t>
  </si>
  <si>
    <t>natural unit of mass</t>
  </si>
  <si>
    <t xml:space="preserve"> 6.235 379 9905 e-65</t>
  </si>
  <si>
    <t>0.000 000 0038 e-65</t>
  </si>
  <si>
    <t>natural unit of momentum</t>
  </si>
  <si>
    <t>2.730 924 534 46 e-22</t>
  </si>
  <si>
    <t>0.000 000 000 85 e-22</t>
  </si>
  <si>
    <t xml:space="preserve"> 1.054 571 817... e-34</t>
  </si>
  <si>
    <t>hrk</t>
  </si>
  <si>
    <t>hartree - kelvin relationship</t>
  </si>
  <si>
    <t>relation entre le hartree et le kelvin</t>
  </si>
  <si>
    <t>natural unit of momentum in MeV/c</t>
  </si>
  <si>
    <t>MeV/c</t>
  </si>
  <si>
    <t xml:space="preserve"> 1.602 176 634 e-19</t>
  </si>
  <si>
    <t>natural unit of time</t>
  </si>
  <si>
    <t>1.288 088 666 44 e-21</t>
  </si>
  <si>
    <t>0.000 000 000 40 e-21</t>
  </si>
  <si>
    <t xml:space="preserve"> 1.081 202 384 57 e12</t>
  </si>
  <si>
    <t>0.000 000 000 49 e12</t>
  </si>
  <si>
    <t>electron-muon magnetic moment ratio</t>
  </si>
  <si>
    <t>natural unit of velocity</t>
  </si>
  <si>
    <t xml:space="preserve"> 6.623 618 237 510 e-3</t>
  </si>
  <si>
    <t>0.000 000 000 013 e-3</t>
  </si>
  <si>
    <t>hrkg</t>
  </si>
  <si>
    <t>hartree - kilogram relationship</t>
  </si>
  <si>
    <t>relation entre le hartree et le kilogramme</t>
  </si>
  <si>
    <t>neutron Compton wavelength</t>
  </si>
  <si>
    <t>1.319 590 903 82 e-15</t>
  </si>
  <si>
    <t>0.000 000 000 67 e-15</t>
  </si>
  <si>
    <t xml:space="preserve"> 8.478 353 6255 e-30</t>
  </si>
  <si>
    <t>neutron-electron mag. mom. ratio</t>
  </si>
  <si>
    <t>1.040 668 84 e-3</t>
  </si>
  <si>
    <t>0.000 000 24 e-3</t>
  </si>
  <si>
    <t xml:space="preserve"> 5.142 206 747 63 e11</t>
  </si>
  <si>
    <t>0.000 000 000 78 e11</t>
  </si>
  <si>
    <t>neutron-electron mass ratio</t>
  </si>
  <si>
    <t>1838.683 662 00</t>
  </si>
  <si>
    <t>0.000 000 74</t>
  </si>
  <si>
    <t xml:space="preserve"> 9.717 362 4292 e21</t>
  </si>
  <si>
    <t>0.000 000 0029 e21</t>
  </si>
  <si>
    <t>mhsme</t>
  </si>
  <si>
    <t>neutron g factor</t>
  </si>
  <si>
    <t>-3.826 085 52</t>
  </si>
  <si>
    <t>0.000 000 90</t>
  </si>
  <si>
    <t xml:space="preserve"> 1.648 777 274 36 e-41</t>
  </si>
  <si>
    <t>0.000 000 000 50 e-41</t>
  </si>
  <si>
    <t>neutron gyromag. ratio</t>
  </si>
  <si>
    <t>1.832 471 74 e8</t>
  </si>
  <si>
    <t>0.000 000 43 e8</t>
  </si>
  <si>
    <t xml:space="preserve"> 27.211 386 245 988</t>
  </si>
  <si>
    <t>0.000 000 000 053</t>
  </si>
  <si>
    <t>neutron gyromag. ratio in MHz/T</t>
  </si>
  <si>
    <t>29.164 6935</t>
  </si>
  <si>
    <t>0.000 0069</t>
  </si>
  <si>
    <t xml:space="preserve"> 4.486 551 5246 e-40</t>
  </si>
  <si>
    <t>ghn</t>
  </si>
  <si>
    <t>neutron mag. mom.</t>
  </si>
  <si>
    <t>-9.662 3653 e-27</t>
  </si>
  <si>
    <t>0.000 0023 e-27</t>
  </si>
  <si>
    <t>facteur de Landé de l'hélion</t>
  </si>
  <si>
    <t>neutron mag. mom. to Bohr magneton ratio</t>
  </si>
  <si>
    <t>-1.041 875 65 e-3</t>
  </si>
  <si>
    <t xml:space="preserve"> 4.359 744 722 2071 e-18</t>
  </si>
  <si>
    <t>0.000 000 25 e-3</t>
  </si>
  <si>
    <t>0.000 000 000 0085 e-18</t>
  </si>
  <si>
    <t>neutron mag. mom. to nuclear magneton ratio</t>
  </si>
  <si>
    <t xml:space="preserve"> 8.238 723 4983 e-8</t>
  </si>
  <si>
    <t>-1.913 042 76</t>
  </si>
  <si>
    <t>0.000 000 0012 e-8</t>
  </si>
  <si>
    <t>0.000 000 45</t>
  </si>
  <si>
    <t>neutron mass</t>
  </si>
  <si>
    <t>1.674 927 500 56 e-27</t>
  </si>
  <si>
    <t xml:space="preserve"> 5.291 772 109 03 e-11</t>
  </si>
  <si>
    <t>0.000 000 000 85 e-27</t>
  </si>
  <si>
    <t>0.000 000 000 80 e-11</t>
  </si>
  <si>
    <t xml:space="preserve"> 1.854 802 015 66 e-23</t>
  </si>
  <si>
    <t>0.000 000 000 56 e-23</t>
  </si>
  <si>
    <t>neutron mass energy equivalent</t>
  </si>
  <si>
    <t>1.505 349 765 14 e-10</t>
  </si>
  <si>
    <t>0.000 000 000 76 e-10</t>
  </si>
  <si>
    <t xml:space="preserve"> 2.350 517 567 58 e5</t>
  </si>
  <si>
    <t>0.000 000 000 71 e5</t>
  </si>
  <si>
    <t>neutron mass energy equivalent in MeV</t>
  </si>
  <si>
    <t>939.565 421 94</t>
  </si>
  <si>
    <t>0.000 000 48</t>
  </si>
  <si>
    <t>electron-neutron magnetic moment ratio</t>
  </si>
  <si>
    <t>muh</t>
  </si>
  <si>
    <t xml:space="preserve"> 7.891 036 6008 e-29</t>
  </si>
  <si>
    <t>0.000 000 0048 e-29</t>
  </si>
  <si>
    <t>helion magnetic moment</t>
  </si>
  <si>
    <t>moment magnétique de l'hélion</t>
  </si>
  <si>
    <t>neutron mass in u</t>
  </si>
  <si>
    <t>1.008 664 916 06</t>
  </si>
  <si>
    <t>0.000 000 000 40</t>
  </si>
  <si>
    <t xml:space="preserve"> 9.109 383 7015 e-31</t>
  </si>
  <si>
    <t>neutron molar mass</t>
  </si>
  <si>
    <t>1.008 664 917 12 e-3</t>
  </si>
  <si>
    <t>0.000 000 000 51 e-3</t>
  </si>
  <si>
    <t xml:space="preserve"> 1.992 851 914 10 e-24</t>
  </si>
  <si>
    <t>0.000 000 000 30 e-24</t>
  </si>
  <si>
    <t>neutron-muon mass ratio</t>
  </si>
  <si>
    <t>8.892 484 08</t>
  </si>
  <si>
    <t xml:space="preserve"> 1.112 650 055 45 e-10</t>
  </si>
  <si>
    <t>neutron-proton mag. mom. ratio</t>
  </si>
  <si>
    <t>-0.684 979 35</t>
  </si>
  <si>
    <t>muhsmub</t>
  </si>
  <si>
    <t>helion magnetic moment to Bohr magneton ratio</t>
  </si>
  <si>
    <t>rapport du moment magnétique de l'hélion au magnéton de Bohr électronique</t>
  </si>
  <si>
    <t xml:space="preserve"> 2.418 884 326 5857 e-17</t>
  </si>
  <si>
    <t>0.000 000 000 0047 e-17</t>
  </si>
  <si>
    <t>neutron-proton mass difference</t>
  </si>
  <si>
    <t>2.305 574 61 e-30</t>
  </si>
  <si>
    <t>0.000 000 67 e-30</t>
  </si>
  <si>
    <t xml:space="preserve"> 2.187 691 263 64 e6</t>
  </si>
  <si>
    <t>0.000 000 000 33 e6</t>
  </si>
  <si>
    <t>neutron-proton mass difference energy equivalent</t>
  </si>
  <si>
    <t>2.072 147 12 e-13</t>
  </si>
  <si>
    <t>0.000 000 60 e-13</t>
  </si>
  <si>
    <t xml:space="preserve"> 6.022 140 76 e23</t>
  </si>
  <si>
    <t>neutron-proton mass difference energy equivalent in MeV</t>
  </si>
  <si>
    <t>1.293 332 51</t>
  </si>
  <si>
    <t>0.000 000 38</t>
  </si>
  <si>
    <t>muhsmun</t>
  </si>
  <si>
    <t>helion magnetic moment to nuclear magneton ratio</t>
  </si>
  <si>
    <t>rapport du moment magnétique de l'hélion au magnéton de Bohr nucléaire</t>
  </si>
  <si>
    <t>neutron-proton mass difference in u</t>
  </si>
  <si>
    <t>1.388 449 48 e-3</t>
  </si>
  <si>
    <t>0.000 000 40 e-3</t>
  </si>
  <si>
    <t>electron-proton magnetic moment ratio</t>
  </si>
  <si>
    <t xml:space="preserve"> 9.274 010 0783 e-24</t>
  </si>
  <si>
    <t>0.000 000 0028 e-24</t>
  </si>
  <si>
    <t>neutron-proton mass ratio</t>
  </si>
  <si>
    <t>1.001 378 419 46</t>
  </si>
  <si>
    <t>neutron relative atomic mass</t>
  </si>
  <si>
    <t>mh</t>
  </si>
  <si>
    <t>masse de l'hélion</t>
  </si>
  <si>
    <t xml:space="preserve"> 5.788 381 8060 e-5</t>
  </si>
  <si>
    <t>0.000 000 0017 e-5</t>
  </si>
  <si>
    <t>neutron-tau mass ratio</t>
  </si>
  <si>
    <t>0.528 779</t>
  </si>
  <si>
    <t>0.000 036</t>
  </si>
  <si>
    <t xml:space="preserve"> 1.399 624 493 61 e10</t>
  </si>
  <si>
    <t>0.000 000 000 42 e10</t>
  </si>
  <si>
    <t>neutron to shielded proton mag. mom. ratio</t>
  </si>
  <si>
    <t>-0.684 996 94</t>
  </si>
  <si>
    <t>Newtonian constant of gravitation</t>
  </si>
  <si>
    <t>6.674 30 e-11</t>
  </si>
  <si>
    <t>0.000 15 e-11</t>
  </si>
  <si>
    <t>m^3 kg^-1 s^-2</t>
  </si>
  <si>
    <t xml:space="preserve"> 46.686 447 783</t>
  </si>
  <si>
    <t>0.000 000 014</t>
  </si>
  <si>
    <t>mhc2</t>
  </si>
  <si>
    <t>énergie de masse de l'hélion</t>
  </si>
  <si>
    <t>Newtonian constant of gravitation over h-bar c</t>
  </si>
  <si>
    <t>6.708 83 e-39</t>
  </si>
  <si>
    <t>0.000 15 e-39</t>
  </si>
  <si>
    <t>(GeV/c^2)^-2</t>
  </si>
  <si>
    <t xml:space="preserve"> 0.671 713 815 63</t>
  </si>
  <si>
    <t>0.000 000 000 20</t>
  </si>
  <si>
    <t>nuclear magneton</t>
  </si>
  <si>
    <t>5.050 783 7393 e-27</t>
  </si>
  <si>
    <t>mhc2mev</t>
  </si>
  <si>
    <t>HelionMassEnergyEquivalentInMeV</t>
  </si>
  <si>
    <t>Helion Mass Energy Equivalent In MeV</t>
  </si>
  <si>
    <t>énergie de masse de l'hélion en MeV</t>
  </si>
  <si>
    <t>nuclear magneton in eV/T</t>
  </si>
  <si>
    <t>3.152 451 254 17 e-8</t>
  </si>
  <si>
    <t>0.000 000 000 98 e-8</t>
  </si>
  <si>
    <t xml:space="preserve"> 1.380 649 e-23</t>
  </si>
  <si>
    <t>nuclear magneton in inverse meter per tesla</t>
  </si>
  <si>
    <t>2.542 623 410 09 e-2</t>
  </si>
  <si>
    <t>0.000 000 000 79 e-2</t>
  </si>
  <si>
    <t xml:space="preserve"> 8.617 333 262... e-5</t>
  </si>
  <si>
    <t>nuclear magneton in K/T</t>
  </si>
  <si>
    <t>3.658 267 7706 e-4</t>
  </si>
  <si>
    <t>0.000 000 0011 e-4</t>
  </si>
  <si>
    <t>nuclear magneton in MHz/T</t>
  </si>
  <si>
    <t xml:space="preserve"> 2.083 661 912... e10</t>
  </si>
  <si>
    <t>7.622 593 2188</t>
  </si>
  <si>
    <t>0.000 000 0024</t>
  </si>
  <si>
    <t>mhu</t>
  </si>
  <si>
    <t>HelionMassInAtomicMassUnit</t>
  </si>
  <si>
    <t>Planck constant</t>
  </si>
  <si>
    <t xml:space="preserve"> 69.503 480 04...</t>
  </si>
  <si>
    <t>J Hz^-1</t>
  </si>
  <si>
    <t>masse de l'hélion en u</t>
  </si>
  <si>
    <t>Planck constant in eV/Hz</t>
  </si>
  <si>
    <t xml:space="preserve"> 376.730 313 668</t>
  </si>
  <si>
    <t>0.000 000 057</t>
  </si>
  <si>
    <t>eV Hz^-1</t>
  </si>
  <si>
    <t>elementary charge over h</t>
  </si>
  <si>
    <t xml:space="preserve"> 2.817 940 3262 e-15</t>
  </si>
  <si>
    <t>Planck length</t>
  </si>
  <si>
    <t>1.616 255 e-35</t>
  </si>
  <si>
    <t>0.000 018 e-35</t>
  </si>
  <si>
    <t>Planck mass</t>
  </si>
  <si>
    <t>2.176 434 e-8</t>
  </si>
  <si>
    <t xml:space="preserve"> 2.426 310 238 67 e-12</t>
  </si>
  <si>
    <t>0.000 024 e-8</t>
  </si>
  <si>
    <t>0.000 000 000 73 e-12</t>
  </si>
  <si>
    <t>mmh</t>
  </si>
  <si>
    <t>Planck mass energy equivalent in GeV</t>
  </si>
  <si>
    <t>1.220 890 e19</t>
  </si>
  <si>
    <t>0.000 014 e19</t>
  </si>
  <si>
    <t xml:space="preserve"> 7.748 091 729... e-5</t>
  </si>
  <si>
    <t>masse molaire de l'hélion</t>
  </si>
  <si>
    <t>Planck temperature</t>
  </si>
  <si>
    <t xml:space="preserve"> 1.000 000 088 87...</t>
  </si>
  <si>
    <t>1.416 784 e32</t>
  </si>
  <si>
    <t>0.000 016 e32</t>
  </si>
  <si>
    <t>Planck time</t>
  </si>
  <si>
    <t>5.391 247 e-44</t>
  </si>
  <si>
    <t>0.000 060 e-44</t>
  </si>
  <si>
    <t xml:space="preserve"> 0.999 999 982 20...</t>
  </si>
  <si>
    <t>mhsmp</t>
  </si>
  <si>
    <t>proton charge to mass quotient</t>
  </si>
  <si>
    <t>9.578 833 1430 e7</t>
  </si>
  <si>
    <t>0.000 000 0030 e7</t>
  </si>
  <si>
    <t>rapport de la masse de l'hélion à celle du proton</t>
  </si>
  <si>
    <t xml:space="preserve"> 1.000 000 017 79...</t>
  </si>
  <si>
    <t>proton Compton wavelength</t>
  </si>
  <si>
    <t>1.321 409 853 60 e-15</t>
  </si>
  <si>
    <t xml:space="preserve"> 483 597.9 e9</t>
  </si>
  <si>
    <t>proton-electron mass ratio</t>
  </si>
  <si>
    <t>1836.152 673 426</t>
  </si>
  <si>
    <t>arh</t>
  </si>
  <si>
    <t>masse atomique relative de l'hélion</t>
  </si>
  <si>
    <t>proton g factor</t>
  </si>
  <si>
    <t>5.585 694 6893</t>
  </si>
  <si>
    <t>0.000 000 0016</t>
  </si>
  <si>
    <t xml:space="preserve"> 1.000 000 106 66...</t>
  </si>
  <si>
    <t>proton gyromag. ratio</t>
  </si>
  <si>
    <t>2.675 221 8708 e8</t>
  </si>
  <si>
    <t>0.000 000 0011 e8</t>
  </si>
  <si>
    <t xml:space="preserve"> 25 812.807</t>
  </si>
  <si>
    <t>proton gyromag. ratio in MHz/T</t>
  </si>
  <si>
    <t>42.577 478 461</t>
  </si>
  <si>
    <t>0.000 000 018</t>
  </si>
  <si>
    <t xml:space="preserve"> 1.000 000 195 53...</t>
  </si>
  <si>
    <t>sigmah</t>
  </si>
  <si>
    <t>proton mag. mom.</t>
  </si>
  <si>
    <t>1.410 606 795 45 e-26</t>
  </si>
  <si>
    <t>0.000 000 000 60 e-26</t>
  </si>
  <si>
    <t>décalage de l'hélion écranté</t>
  </si>
  <si>
    <t xml:space="preserve"> 1.002 076 97 e-13</t>
  </si>
  <si>
    <t>proton mag. mom. to Bohr magneton ratio</t>
  </si>
  <si>
    <t>1.521 032 202 30 e-3</t>
  </si>
  <si>
    <t>0.000 000 000 45 e-3</t>
  </si>
  <si>
    <t xml:space="preserve"> -4.664 345 551 e-4</t>
  </si>
  <si>
    <t>proton mag. mom. to nuclear magneton ratio</t>
  </si>
  <si>
    <t>2.792 847 344 63</t>
  </si>
  <si>
    <t xml:space="preserve"> 3670.482 967 88</t>
  </si>
  <si>
    <t>0.000 000 13</t>
  </si>
  <si>
    <t>hzu</t>
  </si>
  <si>
    <t>hertz - atomic mass unit relationship</t>
  </si>
  <si>
    <t>relation entre le hertz et l'unité de masse atomique</t>
  </si>
  <si>
    <t>proton mag. shielding correction</t>
  </si>
  <si>
    <t>2.567 15 e-5</t>
  </si>
  <si>
    <t>0.000 41 e-5</t>
  </si>
  <si>
    <t xml:space="preserve"> 0.857 438 2338</t>
  </si>
  <si>
    <t>proton mass</t>
  </si>
  <si>
    <t>1.672 621 925 95 e-27</t>
  </si>
  <si>
    <t>proton mass energy equivalent</t>
  </si>
  <si>
    <t>1.503 277 618 02 e-10</t>
  </si>
  <si>
    <t>0.000 000 000 47 e-10</t>
  </si>
  <si>
    <t>hzev</t>
  </si>
  <si>
    <t>hertz - electronvolt relationship</t>
  </si>
  <si>
    <t>relation entre le hertz et l'électronvolt</t>
  </si>
  <si>
    <t xml:space="preserve"> 4.330 735 094 e-27</t>
  </si>
  <si>
    <t>proton mass energy equivalent in MeV</t>
  </si>
  <si>
    <t>938.272 089 43</t>
  </si>
  <si>
    <t>hartree</t>
  </si>
  <si>
    <t xml:space="preserve"> 4.669 754 570 e-4</t>
  </si>
  <si>
    <t>hzhr</t>
  </si>
  <si>
    <t>hertz - hartree relationship</t>
  </si>
  <si>
    <t>relation entre le hertz et le hartree</t>
  </si>
  <si>
    <t>proton mass in u</t>
  </si>
  <si>
    <t>1.007 276 466 5789</t>
  </si>
  <si>
    <t>0.000 000 000 0083</t>
  </si>
  <si>
    <t>hzminv</t>
  </si>
  <si>
    <t>hertz - inverse meter relationship</t>
  </si>
  <si>
    <t>relation entre le hertz et l'inverse du mètre</t>
  </si>
  <si>
    <t>proton molar mass</t>
  </si>
  <si>
    <t>1.007 276 467 64 e-3</t>
  </si>
  <si>
    <t>proton-muon mass ratio</t>
  </si>
  <si>
    <t>8.880 243 38</t>
  </si>
  <si>
    <t>hzj</t>
  </si>
  <si>
    <t>proton-neutron mag. mom. ratio</t>
  </si>
  <si>
    <t>-1.459 898 02</t>
  </si>
  <si>
    <t>0.000 000 34</t>
  </si>
  <si>
    <t>hertz - joule relationship</t>
  </si>
  <si>
    <t>relation entre le hertz et le joule</t>
  </si>
  <si>
    <t>proton-neutron mass ratio</t>
  </si>
  <si>
    <t>0.998 623 477 97</t>
  </si>
  <si>
    <t>proton relative atomic mass</t>
  </si>
  <si>
    <t>hzk</t>
  </si>
  <si>
    <t>hertz - kelvin relationship</t>
  </si>
  <si>
    <t>relation entre le hertz et le kelvin</t>
  </si>
  <si>
    <t>proton rms charge radius</t>
  </si>
  <si>
    <t>8.4075 e-16</t>
  </si>
  <si>
    <t>0.0064 e-16</t>
  </si>
  <si>
    <t xml:space="preserve"> 3.343 583 7724 e-27</t>
  </si>
  <si>
    <t>proton-tau mass ratio</t>
  </si>
  <si>
    <t>0.528 051</t>
  </si>
  <si>
    <t xml:space="preserve"> 3.005 063 231 02 e-10</t>
  </si>
  <si>
    <t>0.000 000 000 91 e-10</t>
  </si>
  <si>
    <t>quantum of circulation</t>
  </si>
  <si>
    <t>3.636 947 5467 e-4</t>
  </si>
  <si>
    <t>m^2 s^-1</t>
  </si>
  <si>
    <t>hzkg</t>
  </si>
  <si>
    <t>hertz - kilogram relationship</t>
  </si>
  <si>
    <t>relation entre le hertz et le kilogramme</t>
  </si>
  <si>
    <t xml:space="preserve"> 1875.612 942 57</t>
  </si>
  <si>
    <t>0.000 000 57</t>
  </si>
  <si>
    <t>quantum of circulation times 2</t>
  </si>
  <si>
    <t>7.273 895 0934 e-4</t>
  </si>
  <si>
    <t>0.000 000 0023 e-4</t>
  </si>
  <si>
    <t xml:space="preserve"> 2.013 553 212 745</t>
  </si>
  <si>
    <t>0.000 000 000 040</t>
  </si>
  <si>
    <t>reduced Compton wavelength</t>
  </si>
  <si>
    <t xml:space="preserve"> 2.013 553 212 05 e-3</t>
  </si>
  <si>
    <t>0.000 000 000 61 e-3</t>
  </si>
  <si>
    <t>reduced muon Compton wavelength</t>
  </si>
  <si>
    <t>1.867 594 306 e-15</t>
  </si>
  <si>
    <t>0.000 000 042 e-15</t>
  </si>
  <si>
    <t>nucs</t>
  </si>
  <si>
    <t>fréquence de transition hyperfine du Cs133</t>
  </si>
  <si>
    <t xml:space="preserve"> -0.448 206 53</t>
  </si>
  <si>
    <t>reduced neutron Compton wavelength</t>
  </si>
  <si>
    <t>2.100 194 1520 e-16</t>
  </si>
  <si>
    <t>0.000 000 0011 e-16</t>
  </si>
  <si>
    <t>HyperfineTransitionFrequencyOfCs-133</t>
  </si>
  <si>
    <t xml:space="preserve"> 0.307 012 209 39</t>
  </si>
  <si>
    <t>reduced Planck constant</t>
  </si>
  <si>
    <t xml:space="preserve"> 1.999 007 501 39</t>
  </si>
  <si>
    <t>0.000 000 000 11</t>
  </si>
  <si>
    <t>reduced Planck constant in eV s</t>
  </si>
  <si>
    <t>alphinv</t>
  </si>
  <si>
    <t>inverse de la constante de structure fine</t>
  </si>
  <si>
    <t>reduced Planck constant times c in MeV fm</t>
  </si>
  <si>
    <t>197.326 980 4</t>
  </si>
  <si>
    <t>MeV fm</t>
  </si>
  <si>
    <t xml:space="preserve"> 2.127 99 e-15</t>
  </si>
  <si>
    <t>0.000 74 e-15</t>
  </si>
  <si>
    <t>reduced proton Compton wavelength</t>
  </si>
  <si>
    <t>2.103 089 100 51 e-16</t>
  </si>
  <si>
    <t>0.000 000 000 66 e-16</t>
  </si>
  <si>
    <t xml:space="preserve"> -1.758 820 010 76 e11</t>
  </si>
  <si>
    <t>0.000 000 000 53 e11</t>
  </si>
  <si>
    <t>minvu</t>
  </si>
  <si>
    <t>inverse meter - atomic mass unit relationship</t>
  </si>
  <si>
    <t>relation entre l'inverse du mètre et l'unité de masse atomique</t>
  </si>
  <si>
    <t>reduced tau Compton wavelength</t>
  </si>
  <si>
    <t>1.110 538 e-16</t>
  </si>
  <si>
    <t>0.000 075 e-16</t>
  </si>
  <si>
    <t xml:space="preserve"> -2143.923 4915</t>
  </si>
  <si>
    <t>Rydberg constant</t>
  </si>
  <si>
    <t>10 973 731.568 157</t>
  </si>
  <si>
    <t>0.000 012</t>
  </si>
  <si>
    <t xml:space="preserve"> 2.724 437 107 462 e-4</t>
  </si>
  <si>
    <t>0.000 000 000 096 e-4</t>
  </si>
  <si>
    <t>Rydberg constant times c in Hz</t>
  </si>
  <si>
    <t>3.289 841 960 2500 e15</t>
  </si>
  <si>
    <t>0.000 000 000 0036 e15</t>
  </si>
  <si>
    <t>minvev</t>
  </si>
  <si>
    <t>inverse meter - electronvolt relationship</t>
  </si>
  <si>
    <t>relation entre l'inverse du mètre et l'électronvolt</t>
  </si>
  <si>
    <t>Rydberg constant times hc in eV</t>
  </si>
  <si>
    <t>13.605 693 122 990</t>
  </si>
  <si>
    <t xml:space="preserve"> -2.002 319 304 362 56</t>
  </si>
  <si>
    <t>0.000 000 000 000 35</t>
  </si>
  <si>
    <t>Rydberg constant times hc in J</t>
  </si>
  <si>
    <t>2.179 872 361 1030 e-18</t>
  </si>
  <si>
    <t>0.000 000 000 0024 e-18</t>
  </si>
  <si>
    <t xml:space="preserve"> 1.760 859 630 23 e11</t>
  </si>
  <si>
    <t>Sackur-Tetrode constant (1 K, 100 kPa)</t>
  </si>
  <si>
    <t>-1.151 707 534 96</t>
  </si>
  <si>
    <t>0.000 000 000 47</t>
  </si>
  <si>
    <t xml:space="preserve"> 28 024.951 4242</t>
  </si>
  <si>
    <t>0.000 0085</t>
  </si>
  <si>
    <t>minvhr</t>
  </si>
  <si>
    <t>relation entre l'inverse du mètre et le hartree</t>
  </si>
  <si>
    <t>Sackur-Tetrode constant (1 K, 101.325 kPa)</t>
  </si>
  <si>
    <t>-1.164 870 521 49</t>
  </si>
  <si>
    <t xml:space="preserve"> 1.819 543 074 573 e-4</t>
  </si>
  <si>
    <t>0.000 000 000 079 e-4</t>
  </si>
  <si>
    <t>second radiation constant</t>
  </si>
  <si>
    <t>m K</t>
  </si>
  <si>
    <t xml:space="preserve"> -9.284 764 7043 e-24</t>
  </si>
  <si>
    <t>shielded helion gyromag. ratio</t>
  </si>
  <si>
    <t>2.037 894 6078 e8</t>
  </si>
  <si>
    <t>0.000 000 0018 e8</t>
  </si>
  <si>
    <t xml:space="preserve"> 1.159 652 181 28 e-3</t>
  </si>
  <si>
    <t>minvhz</t>
  </si>
  <si>
    <t>inverse meter - hertz relationship</t>
  </si>
  <si>
    <t>relation entre l'inverse du mètre et le hertz</t>
  </si>
  <si>
    <t xml:space="preserve"> -1.001 159 652 181 28</t>
  </si>
  <si>
    <t>shielded helion gyromag. ratio in MHz/T</t>
  </si>
  <si>
    <t>32.434 100 033</t>
  </si>
  <si>
    <t>0.000 000 028</t>
  </si>
  <si>
    <t xml:space="preserve"> -1838.281 971 88</t>
  </si>
  <si>
    <t>shielded helion mag. mom.</t>
  </si>
  <si>
    <t>-1.074 553 110 35 e-26</t>
  </si>
  <si>
    <t>minvj</t>
  </si>
  <si>
    <t>shielded helion mag. mom. to Bohr magneton ratio</t>
  </si>
  <si>
    <t>-1.158 671 494 57 e-3</t>
  </si>
  <si>
    <t>inverse meter - joule relationship</t>
  </si>
  <si>
    <t>relation entre l'inverse du mètre et le joule</t>
  </si>
  <si>
    <t xml:space="preserve"> 8.187 105 7769 e-14</t>
  </si>
  <si>
    <t>0.000 000 0025 e-14</t>
  </si>
  <si>
    <t>shielded helion mag. mom. to nuclear magneton ratio</t>
  </si>
  <si>
    <t xml:space="preserve"> 0.510 998 950 00</t>
  </si>
  <si>
    <t>0.000 000 000 15</t>
  </si>
  <si>
    <t>-2.127 497 7624</t>
  </si>
  <si>
    <t xml:space="preserve"> 5.485 799 090 65 e-4</t>
  </si>
  <si>
    <t>0.000 000 000 16 e-4</t>
  </si>
  <si>
    <t xml:space="preserve"> 5.485 799 0888 e-7</t>
  </si>
  <si>
    <t>minvk</t>
  </si>
  <si>
    <t>inverse meter - kelvin relationship</t>
  </si>
  <si>
    <t>relation entre l'inverse du mètre et le kelvin</t>
  </si>
  <si>
    <t xml:space="preserve"> 206.766 9883</t>
  </si>
  <si>
    <t>shielded helion to proton mag. mom. ratio</t>
  </si>
  <si>
    <t>-0.761 766 577 21</t>
  </si>
  <si>
    <t>0.000 000 000 66</t>
  </si>
  <si>
    <t xml:space="preserve"> 4.836 331 69 e-3</t>
  </si>
  <si>
    <t>shielded helion to shielded proton mag. mom. ratio</t>
  </si>
  <si>
    <t>-0.761 786 1334</t>
  </si>
  <si>
    <t>0.000 000 0031</t>
  </si>
  <si>
    <t xml:space="preserve"> 960.920 50</t>
  </si>
  <si>
    <t>minvkg</t>
  </si>
  <si>
    <t>inverse meter - kilogram relationship</t>
  </si>
  <si>
    <t>relation entre l'inverse du mètre et le kilogramme</t>
  </si>
  <si>
    <t>shielded proton gyromag. ratio</t>
  </si>
  <si>
    <t>2.675 153 194 e8</t>
  </si>
  <si>
    <t>0.000 000 011 e8</t>
  </si>
  <si>
    <t xml:space="preserve"> 5.438 673 4424 e-4</t>
  </si>
  <si>
    <t>0.000 000 0026 e-4</t>
  </si>
  <si>
    <t>shielded proton gyromag. ratio in MHz/T</t>
  </si>
  <si>
    <t>42.576 385 43</t>
  </si>
  <si>
    <t xml:space="preserve"> -658.210 687 89</t>
  </si>
  <si>
    <t>shielded proton mag. mom.</t>
  </si>
  <si>
    <t>1.410 570 5830 e-26</t>
  </si>
  <si>
    <t>0.000 000 0058 e-26</t>
  </si>
  <si>
    <t>invconqu</t>
  </si>
  <si>
    <t>inverse du quantum de conductance</t>
  </si>
  <si>
    <t>shielded proton mag. mom. to Bohr magneton ratio</t>
  </si>
  <si>
    <t>1.520 993 1551 e-3</t>
  </si>
  <si>
    <t>0.000 000 0062 e-3</t>
  </si>
  <si>
    <t xml:space="preserve"> 5.446 170 214 87 e-4</t>
  </si>
  <si>
    <t>0.000 000 000 33 e-4</t>
  </si>
  <si>
    <t>shielded proton mag. mom. to nuclear magneton ratio</t>
  </si>
  <si>
    <t>2.792 775 648</t>
  </si>
  <si>
    <t>0.000 000 011</t>
  </si>
  <si>
    <t>shielding difference of d and p in HD</t>
  </si>
  <si>
    <t xml:space="preserve"> 2.875 85 e-4</t>
  </si>
  <si>
    <t>1.987 70 e-8</t>
  </si>
  <si>
    <t>0.000 10 e-8</t>
  </si>
  <si>
    <t>kjos</t>
  </si>
  <si>
    <t>constante de Josephson</t>
  </si>
  <si>
    <t>shielding difference of t and p in HT</t>
  </si>
  <si>
    <t>2.394 50 e-8</t>
  </si>
  <si>
    <t>0.000 20 e-8</t>
  </si>
  <si>
    <t xml:space="preserve"> 1.370 933 554 787 e-4</t>
  </si>
  <si>
    <t>0.000 000 000 045 e-4</t>
  </si>
  <si>
    <t>speed of light in vacuum</t>
  </si>
  <si>
    <t xml:space="preserve"> 864.058 257</t>
  </si>
  <si>
    <t>0.000 010</t>
  </si>
  <si>
    <t>standard acceleration of gravity</t>
  </si>
  <si>
    <t>9.806 65</t>
  </si>
  <si>
    <t>m s^-2</t>
  </si>
  <si>
    <t>ju</t>
  </si>
  <si>
    <t>joule - atomic mass unit relationship</t>
  </si>
  <si>
    <t>relation entre le joule et l'unité de masse atomique</t>
  </si>
  <si>
    <t>standard atmosphere</t>
  </si>
  <si>
    <t>101 325</t>
  </si>
  <si>
    <t>standard-state pressure</t>
  </si>
  <si>
    <t>100 000</t>
  </si>
  <si>
    <t>Stefan-Boltzmann constant</t>
  </si>
  <si>
    <t>5.670 374 419 e-8</t>
  </si>
  <si>
    <t>W m^-2 K^-4</t>
  </si>
  <si>
    <t>jev</t>
  </si>
  <si>
    <t>joule - electronvolt relationship</t>
  </si>
  <si>
    <t>relation entre le joule et l'électronvolt</t>
  </si>
  <si>
    <t>tau Compton wavelength</t>
  </si>
  <si>
    <t>6.977 71 e-16</t>
  </si>
  <si>
    <t>0.000 47 e-16</t>
  </si>
  <si>
    <t xml:space="preserve"> -658.227 5971</t>
  </si>
  <si>
    <t>0.000 0072</t>
  </si>
  <si>
    <t>tau-electron mass ratio</t>
  </si>
  <si>
    <t>3477.23</t>
  </si>
  <si>
    <t>0.23</t>
  </si>
  <si>
    <t xml:space="preserve"> 1.819 200 062 251 e-4</t>
  </si>
  <si>
    <t>0.000 000 000 090 e-4</t>
  </si>
  <si>
    <t>tau energy equivalent</t>
  </si>
  <si>
    <t>1776.86</t>
  </si>
  <si>
    <t>0.12</t>
  </si>
  <si>
    <t>jhr</t>
  </si>
  <si>
    <t>tau mass</t>
  </si>
  <si>
    <t>3.167 54 e-27</t>
  </si>
  <si>
    <t>0.000 21 e-27</t>
  </si>
  <si>
    <t>joule - hartree relationship</t>
  </si>
  <si>
    <t>relation entre le joule et le hartree</t>
  </si>
  <si>
    <t>tau mass energy equivalent</t>
  </si>
  <si>
    <t>2.846 84 e-10</t>
  </si>
  <si>
    <t>0.000 19 e-10</t>
  </si>
  <si>
    <t xml:space="preserve"> 1.073 544 102 33 e-9</t>
  </si>
  <si>
    <t>0.000 000 000 32 e-9</t>
  </si>
  <si>
    <t>tau mass in u</t>
  </si>
  <si>
    <t>1.907 54</t>
  </si>
  <si>
    <t>0.000 13</t>
  </si>
  <si>
    <t>jhz</t>
  </si>
  <si>
    <t>joule - hertz relationship</t>
  </si>
  <si>
    <t>relation entre le joule et le hertz</t>
  </si>
  <si>
    <t xml:space="preserve"> 3.674 932 217 5655 e-2</t>
  </si>
  <si>
    <t>0.000 000 000 0071 e-2</t>
  </si>
  <si>
    <t>tau molar mass</t>
  </si>
  <si>
    <t>1.907 54 e-3</t>
  </si>
  <si>
    <t>0.000 13 e-3</t>
  </si>
  <si>
    <t>tau-muon mass ratio</t>
  </si>
  <si>
    <t>16.8170</t>
  </si>
  <si>
    <t>0.0011</t>
  </si>
  <si>
    <t xml:space="preserve"> 2.417 989 242... e14</t>
  </si>
  <si>
    <t>tau-neutron mass ratio</t>
  </si>
  <si>
    <t>1.891 15</t>
  </si>
  <si>
    <t xml:space="preserve"> 8.065 543 937... e5</t>
  </si>
  <si>
    <t>jminv</t>
  </si>
  <si>
    <t>joule - inverse meter relationship</t>
  </si>
  <si>
    <t>relation entre le joule et l'inverse du mètre</t>
  </si>
  <si>
    <t>tau-proton mass ratio</t>
  </si>
  <si>
    <t>1.893 76</t>
  </si>
  <si>
    <t>Thomson cross section</t>
  </si>
  <si>
    <t>6.652 458 7051 e-29</t>
  </si>
  <si>
    <t>0.000 000 0062 e-29</t>
  </si>
  <si>
    <t>m^2</t>
  </si>
  <si>
    <t xml:space="preserve"> 1.160 451 812... e4</t>
  </si>
  <si>
    <t>jk</t>
  </si>
  <si>
    <t>joule - kelvin relationship</t>
  </si>
  <si>
    <t>relation entre le joule et le kelvin</t>
  </si>
  <si>
    <t>triton-electron mass ratio</t>
  </si>
  <si>
    <t>5496.921 535 51</t>
  </si>
  <si>
    <t>0.000 000 21</t>
  </si>
  <si>
    <t xml:space="preserve"> 1.782 661 921... e-36</t>
  </si>
  <si>
    <t>triton g factor</t>
  </si>
  <si>
    <t>5.957 924 930</t>
  </si>
  <si>
    <t>0.000 000 012</t>
  </si>
  <si>
    <t>triton mag. mom.</t>
  </si>
  <si>
    <t>1.504 609 5178 e-26</t>
  </si>
  <si>
    <t>0.000 000 0030 e-26</t>
  </si>
  <si>
    <t>jkg</t>
  </si>
  <si>
    <t xml:space="preserve"> 1.519 267 447... e15</t>
  </si>
  <si>
    <t>joule - kilogram relationship</t>
  </si>
  <si>
    <t>relation entre le joule et le kilogramme</t>
  </si>
  <si>
    <t>triton mag. mom. to Bohr magneton ratio</t>
  </si>
  <si>
    <t>1.622 393 6648 e-3</t>
  </si>
  <si>
    <t>0.000 000 0032 e-3</t>
  </si>
  <si>
    <t>triton mag. mom. to nuclear magneton ratio</t>
  </si>
  <si>
    <t>2.978 962 4650</t>
  </si>
  <si>
    <t>0.000 000 0059</t>
  </si>
  <si>
    <t xml:space="preserve"> 96 485.332 12...</t>
  </si>
  <si>
    <t>triton mass</t>
  </si>
  <si>
    <t>5.007 356 7512 e-27</t>
  </si>
  <si>
    <t>ku</t>
  </si>
  <si>
    <t>kelvin - atomic mass unit relationship</t>
  </si>
  <si>
    <t>relation entre le kelvin et l'unité de masse atomique</t>
  </si>
  <si>
    <t>triton mass energy equivalent</t>
  </si>
  <si>
    <t>4.500 387 8119 e-10</t>
  </si>
  <si>
    <t xml:space="preserve"> 1.166 3787 e-5</t>
  </si>
  <si>
    <t>triton mass energy equivalent in MeV</t>
  </si>
  <si>
    <t>2808.921 136 68</t>
  </si>
  <si>
    <t xml:space="preserve"> 7.297 352 5693 e-3</t>
  </si>
  <si>
    <t>triton mass in u</t>
  </si>
  <si>
    <t>3.015 500 715 97</t>
  </si>
  <si>
    <t>0.000 000 000 10</t>
  </si>
  <si>
    <t>kev</t>
  </si>
  <si>
    <t>kelvin - electronvolt relationship</t>
  </si>
  <si>
    <t>relation entre le kelvin et l'électronvolt</t>
  </si>
  <si>
    <t>triton molar mass</t>
  </si>
  <si>
    <t xml:space="preserve"> 3.741 771 852... e-16</t>
  </si>
  <si>
    <t>3.015 500 719 13 e-3</t>
  </si>
  <si>
    <t xml:space="preserve"> 1.191 042 972... e-16</t>
  </si>
  <si>
    <t>triton-proton mass ratio</t>
  </si>
  <si>
    <t>2.993 717 034 03</t>
  </si>
  <si>
    <t xml:space="preserve"> 2.921 262 322 05 e-8</t>
  </si>
  <si>
    <t>0.000 000 000 88 e-8</t>
  </si>
  <si>
    <t>triton relative atomic mass</t>
  </si>
  <si>
    <t>khr</t>
  </si>
  <si>
    <t>kelvin - hartree relationship</t>
  </si>
  <si>
    <t>relation entre le kelvin et le hartree</t>
  </si>
  <si>
    <t>triton to proton mag. mom. ratio</t>
  </si>
  <si>
    <t>1.066 639 9189</t>
  </si>
  <si>
    <t>0.000 000 0021</t>
  </si>
  <si>
    <t>unified atomic mass unit</t>
  </si>
  <si>
    <t>vacuum electric permittivity</t>
  </si>
  <si>
    <t>8.854 187 8188 e-12</t>
  </si>
  <si>
    <t>0.000 000 0014 e-12</t>
  </si>
  <si>
    <t>vacuum mag. permeability</t>
  </si>
  <si>
    <t>1.256 637 061 27 e-6</t>
  </si>
  <si>
    <t>0.000 000 000 20 e-6</t>
  </si>
  <si>
    <t>N A^-2</t>
  </si>
  <si>
    <t>von Klitzing constant</t>
  </si>
  <si>
    <t>25 812.807 45</t>
  </si>
  <si>
    <t>weak mixing angle</t>
  </si>
  <si>
    <t>0.223 05</t>
  </si>
  <si>
    <t xml:space="preserve"> 6.579 683 920 502 e15</t>
  </si>
  <si>
    <t>0.000 000 000 013 e15</t>
  </si>
  <si>
    <t>Wien frequency displacement law constant</t>
  </si>
  <si>
    <t>5.878 925 757 e10</t>
  </si>
  <si>
    <t xml:space="preserve"> 2.194 746 313 6320 e7</t>
  </si>
  <si>
    <t>0.000 000 000 0043 e7</t>
  </si>
  <si>
    <t>Wien wavelength displacement law constant</t>
  </si>
  <si>
    <t>2.897 771 955 e-3</t>
  </si>
  <si>
    <t>W to Z mass ratio</t>
  </si>
  <si>
    <t>0.881 45</t>
  </si>
  <si>
    <t xml:space="preserve"> 3.157 750 248 0407 e5</t>
  </si>
  <si>
    <t>0.000 000 000 0061 e5</t>
  </si>
  <si>
    <t xml:space="preserve"> 4.850 870 209 5432 e-35</t>
  </si>
  <si>
    <t>0.000 000 000 0094 e-35</t>
  </si>
  <si>
    <t xml:space="preserve"> 5495.885 280 07</t>
  </si>
  <si>
    <t xml:space="preserve"> -4.255 250 615</t>
  </si>
  <si>
    <t>0.000 000 050</t>
  </si>
  <si>
    <t xml:space="preserve"> -1.074 617 532 e-26</t>
  </si>
  <si>
    <t>0.000 000 013 e-26</t>
  </si>
  <si>
    <t xml:space="preserve"> -1.158 740 958 e-3</t>
  </si>
  <si>
    <t>0.000 000 014 e-3</t>
  </si>
  <si>
    <t xml:space="preserve"> 192.015 5714 e-12</t>
  </si>
  <si>
    <t>0.000 0032 e-12</t>
  </si>
  <si>
    <t>khz</t>
  </si>
  <si>
    <t>kelvin - hertz relationship</t>
  </si>
  <si>
    <t xml:space="preserve"> -2.127 625 307</t>
  </si>
  <si>
    <t>relation entre le kelvin et le hertz</t>
  </si>
  <si>
    <t>0.000 000 025</t>
  </si>
  <si>
    <t xml:space="preserve"> 5.006 412 7796 e-27</t>
  </si>
  <si>
    <t>0.000 000 0015 e-27</t>
  </si>
  <si>
    <t xml:space="preserve"> 4.499 539 4125 e-10</t>
  </si>
  <si>
    <t xml:space="preserve"> 2808.391 607 43</t>
  </si>
  <si>
    <t>0.000 000 85</t>
  </si>
  <si>
    <t xml:space="preserve"> 7294.299 541 36</t>
  </si>
  <si>
    <t xml:space="preserve"> 3.014 932 247 175</t>
  </si>
  <si>
    <t>0.000 000 000 097</t>
  </si>
  <si>
    <t>kminv</t>
  </si>
  <si>
    <t>kelvin - inverse meter relationship</t>
  </si>
  <si>
    <t>relation entre le kelvin et l'inverse du mètre</t>
  </si>
  <si>
    <t xml:space="preserve"> 6.644 657 230 e-27</t>
  </si>
  <si>
    <t>0.000 000 082 e-27</t>
  </si>
  <si>
    <t xml:space="preserve"> 3.014 932 246 13 e-3</t>
  </si>
  <si>
    <t>0.000 000 000 91 e-3</t>
  </si>
  <si>
    <t xml:space="preserve"> 5.971 920 097 e-10</t>
  </si>
  <si>
    <t>0.000 000 073 e-10</t>
  </si>
  <si>
    <t xml:space="preserve"> 2.993 152 671 67</t>
  </si>
  <si>
    <t>0.000 000 000 13</t>
  </si>
  <si>
    <t xml:space="preserve"> 3727.379 378</t>
  </si>
  <si>
    <t>0.000 023</t>
  </si>
  <si>
    <t>kj</t>
  </si>
  <si>
    <t>kelvin - joule relationship</t>
  </si>
  <si>
    <t>relation entre le kelvin et le joule</t>
  </si>
  <si>
    <t xml:space="preserve"> 5.996 743 e-5</t>
  </si>
  <si>
    <t>0.000 010 e-5</t>
  </si>
  <si>
    <t xml:space="preserve"> 4.001 506 179 127 e-3</t>
  </si>
  <si>
    <t>0.000 000 000 063 e-3</t>
  </si>
  <si>
    <t xml:space="preserve"> 4.439 821 6652 e-24</t>
  </si>
  <si>
    <t>0.000 000 0013 e-24</t>
  </si>
  <si>
    <t>kkg</t>
  </si>
  <si>
    <t xml:space="preserve"> 4.135 667 696... e-15</t>
  </si>
  <si>
    <t>kelvin - kilogram relationship</t>
  </si>
  <si>
    <t>relation entre le kelvin et le kilogramme</t>
  </si>
  <si>
    <t xml:space="preserve"> 1.519 829 846 0570 e-16</t>
  </si>
  <si>
    <t>0.000 000 000 0029 e-16</t>
  </si>
  <si>
    <t xml:space="preserve"> 3.972 599 689 07</t>
  </si>
  <si>
    <t xml:space="preserve"> 3.335 640 951... e-9</t>
  </si>
  <si>
    <t>0.000 000 000 36</t>
  </si>
  <si>
    <t xml:space="preserve"> 6.626 070 15 e-34</t>
  </si>
  <si>
    <t xml:space="preserve"> 4.799 243 073... e-11</t>
  </si>
  <si>
    <t xml:space="preserve"> 7.372 497 323... e-51</t>
  </si>
  <si>
    <t xml:space="preserve"> 1.660 539 040 e-27</t>
  </si>
  <si>
    <t>0.000 000 020 e-27</t>
  </si>
  <si>
    <t xml:space="preserve"> 9 192 631 770</t>
  </si>
  <si>
    <t xml:space="preserve"> 1.492 418 062 e-10</t>
  </si>
  <si>
    <t>0.000 000 018 e-10</t>
  </si>
  <si>
    <t xml:space="preserve"> 137.035 999 084</t>
  </si>
  <si>
    <t>kgu</t>
  </si>
  <si>
    <t xml:space="preserve"> 1.331 025 050 10 e-15</t>
  </si>
  <si>
    <t>0.000 000 000 40 e-15</t>
  </si>
  <si>
    <t xml:space="preserve"> 931.494 0954</t>
  </si>
  <si>
    <t>0.000 0057</t>
  </si>
  <si>
    <t>kilogram - atomic mass unit relationship</t>
  </si>
  <si>
    <t>relation entre le kilogramme et l'unité de masse atomique</t>
  </si>
  <si>
    <t xml:space="preserve"> 1.239 841 984... e-6</t>
  </si>
  <si>
    <t xml:space="preserve"> 931.494 0954 e6</t>
  </si>
  <si>
    <t>0.000 0057 e6</t>
  </si>
  <si>
    <t xml:space="preserve"> 4.556 335 252 9120 e-8</t>
  </si>
  <si>
    <t>0.000 000 000 0088 e-8</t>
  </si>
  <si>
    <t xml:space="preserve"> 3.423 177 6902 e7</t>
  </si>
  <si>
    <t>0.000 000 0016 e7</t>
  </si>
  <si>
    <t xml:space="preserve"> 299 792 458</t>
  </si>
  <si>
    <t xml:space="preserve"> 2.252 342 7206 e23</t>
  </si>
  <si>
    <t>0.000 000 0010 e23</t>
  </si>
  <si>
    <t xml:space="preserve"> 1.986 445 857... e-25</t>
  </si>
  <si>
    <t>kgev</t>
  </si>
  <si>
    <t>kilogram - electronvolt relationship</t>
  </si>
  <si>
    <t>relation entre le kilogramme et l'électronvolt</t>
  </si>
  <si>
    <t xml:space="preserve"> 1.438 776 877... e-2</t>
  </si>
  <si>
    <t xml:space="preserve"> 7.513 006 6166 e14</t>
  </si>
  <si>
    <t>0.000 000 0034 e14</t>
  </si>
  <si>
    <t xml:space="preserve"> 2.210 219 094... e-42</t>
  </si>
  <si>
    <t xml:space="preserve"> 12 906.403 72...</t>
  </si>
  <si>
    <t xml:space="preserve"> 1.080 954 38 e13</t>
  </si>
  <si>
    <t>0.000 000 62 e13</t>
  </si>
  <si>
    <t>kghr</t>
  </si>
  <si>
    <t>kilogram - hartree relationship</t>
  </si>
  <si>
    <t>relation entre le kilogramme et le hartree</t>
  </si>
  <si>
    <t xml:space="preserve"> 483 597.848 4... e9</t>
  </si>
  <si>
    <t xml:space="preserve"> 6.700 535 2565 e9</t>
  </si>
  <si>
    <t>0.000 000 0020 e9</t>
  </si>
  <si>
    <t xml:space="preserve"> 3.206 361 329 e-53</t>
  </si>
  <si>
    <t>0.000 000 020 e-53</t>
  </si>
  <si>
    <t xml:space="preserve"> 6.241 509 074... e18</t>
  </si>
  <si>
    <t xml:space="preserve"> 6.235 380 085 e-65</t>
  </si>
  <si>
    <t>0.000 000 077 e-65</t>
  </si>
  <si>
    <t xml:space="preserve"> 2.293 712 278 3963 e17</t>
  </si>
  <si>
    <t>0.000 000 000 0045 e17</t>
  </si>
  <si>
    <t>kghz</t>
  </si>
  <si>
    <t xml:space="preserve"> 1.054 571 800 e-34</t>
  </si>
  <si>
    <t>0.000 000 013 e-34</t>
  </si>
  <si>
    <t>kilogram - hertz relationship</t>
  </si>
  <si>
    <t>relation entre le kilogramme et le hertz</t>
  </si>
  <si>
    <t xml:space="preserve"> 1.509 190 179... e33</t>
  </si>
  <si>
    <t xml:space="preserve"> 1.602 176 6208 e-19</t>
  </si>
  <si>
    <t>0.000 000 0098 e-19</t>
  </si>
  <si>
    <t xml:space="preserve"> 5.034 116 567... e24</t>
  </si>
  <si>
    <t xml:space="preserve"> 1.081 202 3770 e12</t>
  </si>
  <si>
    <t>0.000 000 0067 e12</t>
  </si>
  <si>
    <t xml:space="preserve"> 7.242 970 516... e22</t>
  </si>
  <si>
    <t xml:space="preserve"> 6.623 618 183 e-3</t>
  </si>
  <si>
    <t>kgminv</t>
  </si>
  <si>
    <t>0.000 000 041 e-3</t>
  </si>
  <si>
    <t>kilogram - inverse meter relationship</t>
  </si>
  <si>
    <t>relation entre le kilogramme et l'inverse du mètre</t>
  </si>
  <si>
    <t xml:space="preserve"> 8.478 353 552 e-30</t>
  </si>
  <si>
    <t>0.000 000 052 e-30</t>
  </si>
  <si>
    <t xml:space="preserve"> 1.112 650 056... e-17</t>
  </si>
  <si>
    <t xml:space="preserve"> 5.142 206 707 e11</t>
  </si>
  <si>
    <t>0.000 000 032 e11</t>
  </si>
  <si>
    <t xml:space="preserve"> 9.251 087 3014 e-14</t>
  </si>
  <si>
    <t>0.000 000 0028 e-14</t>
  </si>
  <si>
    <t xml:space="preserve"> 9.717 362 356 e21</t>
  </si>
  <si>
    <t>0.000 000 060 e21</t>
  </si>
  <si>
    <t xml:space="preserve"> 3.166 811 563 4556 e-6</t>
  </si>
  <si>
    <t>0.000 000 000 0061 e-6</t>
  </si>
  <si>
    <t xml:space="preserve"> 1.648 777 2731 e-41</t>
  </si>
  <si>
    <t>0.000 000 0011 e-41</t>
  </si>
  <si>
    <t>kgj</t>
  </si>
  <si>
    <t>kilogram - joule relationship</t>
  </si>
  <si>
    <t>relation entre le kilogramme et le joule</t>
  </si>
  <si>
    <t xml:space="preserve"> 27.211 386 02</t>
  </si>
  <si>
    <t xml:space="preserve"> 4.486 551 484 e-40</t>
  </si>
  <si>
    <t>0.000 000 028 e-40</t>
  </si>
  <si>
    <t xml:space="preserve"> 4.359 744 650 e-18</t>
  </si>
  <si>
    <t>0.000 000 054 e-18</t>
  </si>
  <si>
    <t>kgk</t>
  </si>
  <si>
    <t>kilogram - kelvin relationship</t>
  </si>
  <si>
    <t>relation entre le kilogramme et le kelvin</t>
  </si>
  <si>
    <t xml:space="preserve"> 1.536 179 187... e-40</t>
  </si>
  <si>
    <t xml:space="preserve"> 8.238 723 36 e-8</t>
  </si>
  <si>
    <t>0.000 000 10 e-8</t>
  </si>
  <si>
    <t xml:space="preserve"> 6.022 140 7621 e26</t>
  </si>
  <si>
    <t>0.000 000 0018 e26</t>
  </si>
  <si>
    <t xml:space="preserve"> 0.529 177 210 67 e-10</t>
  </si>
  <si>
    <t>0.000 000 000 12 e-10</t>
  </si>
  <si>
    <t xml:space="preserve"> 5.609 588 603... e35</t>
  </si>
  <si>
    <t xml:space="preserve"> 2.061 485 788 7409 e34</t>
  </si>
  <si>
    <t>0.000 000 000 0040 e34</t>
  </si>
  <si>
    <t xml:space="preserve"> 1.356 392 489... e50</t>
  </si>
  <si>
    <t xml:space="preserve"> 4.524 438 335... e41</t>
  </si>
  <si>
    <t xml:space="preserve"> 8.987 551 787... e16</t>
  </si>
  <si>
    <t>asil</t>
  </si>
  <si>
    <t xml:space="preserve"> 6.509 657 260... e39</t>
  </si>
  <si>
    <t>paramètre de maille du silicium</t>
  </si>
  <si>
    <t xml:space="preserve"> 5.431 020 511 e-10</t>
  </si>
  <si>
    <t xml:space="preserve"> 1.920 155 716 e-10</t>
  </si>
  <si>
    <t xml:space="preserve"> 2.651 645 804... e25</t>
  </si>
  <si>
    <t xml:space="preserve"> 1.854 801 999 e-23</t>
  </si>
  <si>
    <t>0.000 000 011 e-23</t>
  </si>
  <si>
    <t xml:space="preserve"> 2.686 780 111... e25</t>
  </si>
  <si>
    <t>espacement de maille of silicium (220) parfait</t>
  </si>
  <si>
    <t xml:space="preserve"> 2.350 517 550 e5</t>
  </si>
  <si>
    <t>0.000 000 014 e5</t>
  </si>
  <si>
    <t xml:space="preserve"> 683</t>
  </si>
  <si>
    <t xml:space="preserve"> 7.891 036 5886 e-29</t>
  </si>
  <si>
    <t>0.000 000 0090 e-29</t>
  </si>
  <si>
    <t xml:space="preserve"> 2.067 833 848... e-15</t>
  </si>
  <si>
    <t xml:space="preserve"> 8.314 462 618...</t>
  </si>
  <si>
    <t xml:space="preserve"> 9.109 383 56 e-31</t>
  </si>
  <si>
    <t>0.000 000 11 e-31</t>
  </si>
  <si>
    <t xml:space="preserve"> 0.999 999 999 65 e-3</t>
  </si>
  <si>
    <t>0.000 000 000 30 e-3</t>
  </si>
  <si>
    <t>n0</t>
  </si>
  <si>
    <t>atomic unit of mom.um</t>
  </si>
  <si>
    <t xml:space="preserve"> 1.992 851 882 e-24</t>
  </si>
  <si>
    <t>0.000 000 024 e-24</t>
  </si>
  <si>
    <t>constante de Loschmidt (273.15 K, 100 kPa)</t>
  </si>
  <si>
    <t xml:space="preserve"> 11.999 999 9958 e-3</t>
  </si>
  <si>
    <t>0.000 000 0036 e-3</t>
  </si>
  <si>
    <t xml:space="preserve"> 3.990 312 712... e-10</t>
  </si>
  <si>
    <t xml:space="preserve"> 1.112 650 056... e-10</t>
  </si>
  <si>
    <t xml:space="preserve"> 22.710 954 64... e-3</t>
  </si>
  <si>
    <t xml:space="preserve"> 2.418 884 326 509 e-17</t>
  </si>
  <si>
    <t>0.000 000 000 014 e-17</t>
  </si>
  <si>
    <t>n0std</t>
  </si>
  <si>
    <t xml:space="preserve"> 22.413 969 54... e-3</t>
  </si>
  <si>
    <t>LoschmidtConstant273K101KPa</t>
  </si>
  <si>
    <t>Loschmidt Constant (273.15 K, 101.325 KPa)</t>
  </si>
  <si>
    <t>constante de Loschmidt (273.15 K, 101.325 kPa)</t>
  </si>
  <si>
    <t xml:space="preserve"> 2.187 691 262 77 e6</t>
  </si>
  <si>
    <t>0.000 000 000 50 e6</t>
  </si>
  <si>
    <t xml:space="preserve"> 1.205 883 199 e-5</t>
  </si>
  <si>
    <t>LoschmidtConstant273dot15K101dot325KPa</t>
  </si>
  <si>
    <t xml:space="preserve"> 6.022 140 857 e23</t>
  </si>
  <si>
    <t>0.000 000 074 e23</t>
  </si>
  <si>
    <t xml:space="preserve"> 1.002 099 52 e-13</t>
  </si>
  <si>
    <t xml:space="preserve"> 1.173 444 110 e-14</t>
  </si>
  <si>
    <t xml:space="preserve"> 927.400 9994 e-26</t>
  </si>
  <si>
    <t>0.000 0057 e-26</t>
  </si>
  <si>
    <t xml:space="preserve"> 206.768 2830</t>
  </si>
  <si>
    <t>kcd</t>
  </si>
  <si>
    <t xml:space="preserve"> 5.788 381 8012 e-5</t>
  </si>
  <si>
    <t>0.000 000 0026 e-5</t>
  </si>
  <si>
    <t>éfficacité lumineuse</t>
  </si>
  <si>
    <t xml:space="preserve"> -2.002 331 8418</t>
  </si>
  <si>
    <t>0.000 000 0013</t>
  </si>
  <si>
    <t xml:space="preserve"> 13.996 245 042 e9</t>
  </si>
  <si>
    <t>0.000 000 086 e9</t>
  </si>
  <si>
    <t xml:space="preserve"> -4.490 448 30 e-26</t>
  </si>
  <si>
    <t xml:space="preserve"> 46.686 448 14</t>
  </si>
  <si>
    <t xml:space="preserve"> 1.165 920 89 e-3</t>
  </si>
  <si>
    <t>0.000 000 63 e-3</t>
  </si>
  <si>
    <t xml:space="preserve"> 0.671 714 05</t>
  </si>
  <si>
    <t>0.000 000 39</t>
  </si>
  <si>
    <t xml:space="preserve"> -4.841 970 47 e-3</t>
  </si>
  <si>
    <t>flxquhs2e</t>
  </si>
  <si>
    <t>magnetic flux quantum</t>
  </si>
  <si>
    <t>quantum de flux magnétique</t>
  </si>
  <si>
    <t xml:space="preserve"> -8.890 597 03</t>
  </si>
  <si>
    <t xml:space="preserve"> 1.883 531 627 e-28</t>
  </si>
  <si>
    <t xml:space="preserve"> 1.380 648 52 e-23</t>
  </si>
  <si>
    <t>0.000 000 79 e-23</t>
  </si>
  <si>
    <t xml:space="preserve"> 1.692 833 804 e-11</t>
  </si>
  <si>
    <t xml:space="preserve"> 8.617 3303 e-5</t>
  </si>
  <si>
    <t>0.000 0050 e-5</t>
  </si>
  <si>
    <t xml:space="preserve"> 105.658 3755</t>
  </si>
  <si>
    <t xml:space="preserve"> 2.083 6612 e10</t>
  </si>
  <si>
    <t>0.000 0012 e10</t>
  </si>
  <si>
    <t>r</t>
  </si>
  <si>
    <t>constante molaire des gaz</t>
  </si>
  <si>
    <t xml:space="preserve"> 0.113 428 9259</t>
  </si>
  <si>
    <t xml:space="preserve"> 69.503 457</t>
  </si>
  <si>
    <t>0.000 040</t>
  </si>
  <si>
    <t xml:space="preserve"> 1.134 289 259 e-4</t>
  </si>
  <si>
    <t xml:space="preserve"> 376.730 313 461...</t>
  </si>
  <si>
    <t xml:space="preserve"> 0.112 454 5170</t>
  </si>
  <si>
    <t xml:space="preserve"> -3.183 345 142</t>
  </si>
  <si>
    <t xml:space="preserve"> 2.817 940 3227 e-15</t>
  </si>
  <si>
    <t>0.000 000 0019 e-15</t>
  </si>
  <si>
    <t>lattice spacing of Si (220)</t>
  </si>
  <si>
    <t>mu</t>
  </si>
  <si>
    <t xml:space="preserve"> 0.112 609 5264</t>
  </si>
  <si>
    <t>constante de masse molaire</t>
  </si>
  <si>
    <t xml:space="preserve"> 5.946 35 e-2</t>
  </si>
  <si>
    <t xml:space="preserve"> 2.426 310 2367 e-12</t>
  </si>
  <si>
    <t>0.000 000 0011 e-12</t>
  </si>
  <si>
    <t xml:space="preserve"> 6.582 119 569... e-16</t>
  </si>
  <si>
    <t xml:space="preserve"> 386.159 267 64 e-15</t>
  </si>
  <si>
    <t>0.000 000 18 e-15</t>
  </si>
  <si>
    <t xml:space="preserve"> 7.748 091 7310 e-5</t>
  </si>
  <si>
    <t xml:space="preserve"> 3.861 592 6796 e-13</t>
  </si>
  <si>
    <t>mm12c</t>
  </si>
  <si>
    <t>masse molaire du carbone 12</t>
  </si>
  <si>
    <t xml:space="preserve"> 2.730 924 530 75 e-22</t>
  </si>
  <si>
    <t>0.000 000 000 82 e-22</t>
  </si>
  <si>
    <t xml:space="preserve"> 1.288 088 668 19 e-21</t>
  </si>
  <si>
    <t>0.000 000 000 39 e-21</t>
  </si>
  <si>
    <t xml:space="preserve"> -4.664 345 535 e-4</t>
  </si>
  <si>
    <t>0.000 000 026 e-4</t>
  </si>
  <si>
    <t xml:space="preserve"> 3670.482 967 85</t>
  </si>
  <si>
    <t xml:space="preserve"> 1.319 590 905 81 e-15</t>
  </si>
  <si>
    <t>0.000 000 000 75 e-15</t>
  </si>
  <si>
    <t>nah</t>
  </si>
  <si>
    <t>constante de Planck molaire</t>
  </si>
  <si>
    <t>mag. constant</t>
  </si>
  <si>
    <t>mu0</t>
  </si>
  <si>
    <t xml:space="preserve"> 1.040 668 82 e-3</t>
  </si>
  <si>
    <t xml:space="preserve"> 0.857 438 2311</t>
  </si>
  <si>
    <t>0.000 000 0048</t>
  </si>
  <si>
    <t>magnetic constant</t>
  </si>
  <si>
    <t xml:space="preserve"> 1838.683 661 73</t>
  </si>
  <si>
    <t>0.000 000 89</t>
  </si>
  <si>
    <t xml:space="preserve"> 0.433 073 5040 e-26</t>
  </si>
  <si>
    <t>0.000 000 0036 e-26</t>
  </si>
  <si>
    <t>nahc</t>
  </si>
  <si>
    <t>molar Planck constant times c</t>
  </si>
  <si>
    <t>produit de la constante de Planck molaire par la vitesse de la lumière dans le vide</t>
  </si>
  <si>
    <t xml:space="preserve"> -3.826 085 45</t>
  </si>
  <si>
    <t>J m mol^-1</t>
  </si>
  <si>
    <t xml:space="preserve"> 0.466 975 4554 e-3</t>
  </si>
  <si>
    <t>0.000 000 0026 e-3</t>
  </si>
  <si>
    <t xml:space="preserve"> 1.832 471 71 e8</t>
  </si>
  <si>
    <t xml:space="preserve"> 29.164 6931</t>
  </si>
  <si>
    <t xml:space="preserve"> -9.662 3651 e-27</t>
  </si>
  <si>
    <t xml:space="preserve"> 3.343 583 719 e-27</t>
  </si>
  <si>
    <t>0.000 000 041 e-27</t>
  </si>
  <si>
    <t xml:space="preserve"> -1.041 875 63 e-3</t>
  </si>
  <si>
    <t>Mo x unit</t>
  </si>
  <si>
    <t>xumokalph1</t>
  </si>
  <si>
    <t>mvol</t>
  </si>
  <si>
    <t>volume molaire d'un gaz parfait (273.15 K, 100 kPa)</t>
  </si>
  <si>
    <t xml:space="preserve"> 3.005 063 183 e-10</t>
  </si>
  <si>
    <t>0.000 000 037 e-10</t>
  </si>
  <si>
    <t xml:space="preserve"> -1.913 042 73</t>
  </si>
  <si>
    <t>MolarVolumeOfIdealGas273dot15K100KPa</t>
  </si>
  <si>
    <t xml:space="preserve"> 1.674 927 498 04 e-27</t>
  </si>
  <si>
    <t>0.000 000 000 95 e-27</t>
  </si>
  <si>
    <t xml:space="preserve"> 1.505 349 762 87 e-10</t>
  </si>
  <si>
    <t>0.000 000 000 86 e-10</t>
  </si>
  <si>
    <t xml:space="preserve"> 939.565 420 52</t>
  </si>
  <si>
    <t>0.000 000 54</t>
  </si>
  <si>
    <t xml:space="preserve"> 1.008 664 915 95</t>
  </si>
  <si>
    <t>0.000 000 000 49</t>
  </si>
  <si>
    <t xml:space="preserve"> 1875.612 928</t>
  </si>
  <si>
    <t>mvolstd</t>
  </si>
  <si>
    <t>MolarVolumeOfIdealGas273K101KPa</t>
  </si>
  <si>
    <t>Molar Volume Of Ideal Gas (273.15 K, 101.325 KPa)</t>
  </si>
  <si>
    <t>volume molaire d'un gaz parfait (273.15 K, 101.325 kPa)</t>
  </si>
  <si>
    <t xml:space="preserve"> 1.008 664 915 60 e-3</t>
  </si>
  <si>
    <t>0.000 000 000 57 e-3</t>
  </si>
  <si>
    <t>MolarVolumeOfIdealGas273dot15K101dot325KPa</t>
  </si>
  <si>
    <t xml:space="preserve"> 8.892 484 06</t>
  </si>
  <si>
    <t xml:space="preserve"> 2.013 553 212 745 e-3</t>
  </si>
  <si>
    <t>0.000 000 000 040 e-3</t>
  </si>
  <si>
    <t xml:space="preserve"> -0.684 979 34</t>
  </si>
  <si>
    <t xml:space="preserve"> 2.305 574 35 e-30</t>
  </si>
  <si>
    <t>0.000 000 82 e-30</t>
  </si>
  <si>
    <t xml:space="preserve"> 2.072 146 89 e-13</t>
  </si>
  <si>
    <t>0.000 000 74 e-13</t>
  </si>
  <si>
    <t>mvolsil</t>
  </si>
  <si>
    <t xml:space="preserve"> 1.293 332 36</t>
  </si>
  <si>
    <t>volume molaire du silicium</t>
  </si>
  <si>
    <t>0.000 000 46</t>
  </si>
  <si>
    <t xml:space="preserve"> -0.448 206 52</t>
  </si>
  <si>
    <t>unité x du Molybdène</t>
  </si>
  <si>
    <t xml:space="preserve"> 0.307 012 2077</t>
  </si>
  <si>
    <t>0.000 000 0015</t>
  </si>
  <si>
    <t xml:space="preserve"> 1.999 007 500 87</t>
  </si>
  <si>
    <t>0.000 000 000 19</t>
  </si>
  <si>
    <t xml:space="preserve"> 2.1413 e-15</t>
  </si>
  <si>
    <t>0.0025 e-15</t>
  </si>
  <si>
    <t xml:space="preserve"> 1.388 449 33 e-3</t>
  </si>
  <si>
    <t>0.000 000 49 e-3</t>
  </si>
  <si>
    <t xml:space="preserve"> 8.854 187 817... e-12</t>
  </si>
  <si>
    <t xml:space="preserve"> 1.001 378 419 31</t>
  </si>
  <si>
    <t>mcomwl</t>
  </si>
  <si>
    <t xml:space="preserve"> -1.758 820 024 e11</t>
  </si>
  <si>
    <t>0.000 000 011 e11</t>
  </si>
  <si>
    <t>longueur d'onde de Compton du muon</t>
  </si>
  <si>
    <t xml:space="preserve"> -2143.923 499</t>
  </si>
  <si>
    <t xml:space="preserve"> 0.528 779</t>
  </si>
  <si>
    <t xml:space="preserve"> 2.724 437 107 484 e-4</t>
  </si>
  <si>
    <t xml:space="preserve"> -0.684 996 94</t>
  </si>
  <si>
    <t>mcomwlbar</t>
  </si>
  <si>
    <t>longueur d'onde de Compton réduite du muon</t>
  </si>
  <si>
    <t xml:space="preserve"> -2.002 319 304 361 82</t>
  </si>
  <si>
    <t>0.000 000 000 000 52</t>
  </si>
  <si>
    <t xml:space="preserve"> 6.674 30 e-11</t>
  </si>
  <si>
    <t xml:space="preserve"> 1.760 859 644 e11</t>
  </si>
  <si>
    <t>MuonComptonWavelengthOver2Pi</t>
  </si>
  <si>
    <t xml:space="preserve"> 6.708 83 e-39</t>
  </si>
  <si>
    <t xml:space="preserve"> 28 024.951 64</t>
  </si>
  <si>
    <t>0.000 17</t>
  </si>
  <si>
    <t xml:space="preserve"> 5.050 783 7461 e-27</t>
  </si>
  <si>
    <t xml:space="preserve"> 1.819 543 074 854 e-4</t>
  </si>
  <si>
    <t>0.000 000 000 088 e-4</t>
  </si>
  <si>
    <t xml:space="preserve"> 3.152 451 258 44 e-8</t>
  </si>
  <si>
    <t>0.000 000 000 96 e-8</t>
  </si>
  <si>
    <t>mmusme</t>
  </si>
  <si>
    <t>muon - electron mass ratio</t>
  </si>
  <si>
    <t>rapport de la masse du muon à celle de l'électron</t>
  </si>
  <si>
    <t xml:space="preserve"> -928.476 4620 e-26</t>
  </si>
  <si>
    <t>muon Compton wavelength over 2 pi</t>
  </si>
  <si>
    <t xml:space="preserve"> 2.542 623 413 53 e-2</t>
  </si>
  <si>
    <t>0.000 000 000 78 e-2</t>
  </si>
  <si>
    <t xml:space="preserve"> 1.159 652 180 91 e-3</t>
  </si>
  <si>
    <t>0.000 000 000 26 e-3</t>
  </si>
  <si>
    <t xml:space="preserve"> 3.658 267 7756 e-4</t>
  </si>
  <si>
    <t xml:space="preserve"> -1.001 159 652 180 91</t>
  </si>
  <si>
    <t>0.000 000 000 000 26</t>
  </si>
  <si>
    <t xml:space="preserve"> 7.622 593 2291</t>
  </si>
  <si>
    <t>0.000 000 0023</t>
  </si>
  <si>
    <t>gmum</t>
  </si>
  <si>
    <t>facteur de Landé du muon</t>
  </si>
  <si>
    <t xml:space="preserve"> -1838.281 972 34</t>
  </si>
  <si>
    <t xml:space="preserve"> 1.616 255 e-35</t>
  </si>
  <si>
    <t xml:space="preserve"> 2.176 434 e-8</t>
  </si>
  <si>
    <t xml:space="preserve"> 8.187 105 65 e-14</t>
  </si>
  <si>
    <t>0.000 000 10 e-14</t>
  </si>
  <si>
    <t>mumum</t>
  </si>
  <si>
    <t>muon magnetic moment</t>
  </si>
  <si>
    <t>moment magnétique du muon</t>
  </si>
  <si>
    <t xml:space="preserve"> 0.510 998 9461</t>
  </si>
  <si>
    <t xml:space="preserve"> 1.220 890 e19</t>
  </si>
  <si>
    <t xml:space="preserve"> 1.416 784 e32</t>
  </si>
  <si>
    <t xml:space="preserve"> 5.485 799 090 70 e-4</t>
  </si>
  <si>
    <t xml:space="preserve"> 5.391 247 e-44</t>
  </si>
  <si>
    <t xml:space="preserve"> 5.485 799 090 70 e-7</t>
  </si>
  <si>
    <t>0.000 000 000 16 e-7</t>
  </si>
  <si>
    <t>amu</t>
  </si>
  <si>
    <t>muon magnetic moment anomaly</t>
  </si>
  <si>
    <t>moment magnétique anomal du muon</t>
  </si>
  <si>
    <t xml:space="preserve"> 206.766 9880</t>
  </si>
  <si>
    <t xml:space="preserve"> 9.578 833 1560 e7</t>
  </si>
  <si>
    <t>0.000 000 0029 e7</t>
  </si>
  <si>
    <t xml:space="preserve"> 4.836 331 70 e-3</t>
  </si>
  <si>
    <t xml:space="preserve"> 1.321 409 855 39 e-15</t>
  </si>
  <si>
    <t xml:space="preserve"> 1836.152 673 43</t>
  </si>
  <si>
    <t>mumumsmub</t>
  </si>
  <si>
    <t>muon magnetic moment to Bohr magneton ratio</t>
  </si>
  <si>
    <t>rapport du moment magnétique du muon au magnéton de Bohr électronique</t>
  </si>
  <si>
    <t xml:space="preserve"> 5.438 673 4428 e-4</t>
  </si>
  <si>
    <t>0.000 000 0027 e-4</t>
  </si>
  <si>
    <t xml:space="preserve"> 5.585 694 6893</t>
  </si>
  <si>
    <t xml:space="preserve"> -658.210 6866</t>
  </si>
  <si>
    <t>0.000 0020</t>
  </si>
  <si>
    <t xml:space="preserve"> 2.675 221 8744 e8</t>
  </si>
  <si>
    <t xml:space="preserve"> 5.446 170 213 52 e-4</t>
  </si>
  <si>
    <t>0.000 000 000 52 e-4</t>
  </si>
  <si>
    <t>mumumsmun</t>
  </si>
  <si>
    <t>muon magnetic moment to nuclear magneton ratio</t>
  </si>
  <si>
    <t>rapport du moment magnétique du muon au magnéton de Bohr nucléaire</t>
  </si>
  <si>
    <t xml:space="preserve"> 2.875 92 e-4</t>
  </si>
  <si>
    <t>0.000 26 e-4</t>
  </si>
  <si>
    <t xml:space="preserve"> 1.370 933 554 798 e-4</t>
  </si>
  <si>
    <t>mmu</t>
  </si>
  <si>
    <t>masse du muon</t>
  </si>
  <si>
    <t xml:space="preserve"> 1.819 200 062 203 e-4</t>
  </si>
  <si>
    <t>0.000 000 000 084 e-4</t>
  </si>
  <si>
    <t xml:space="preserve"> 42.577 478 518</t>
  </si>
  <si>
    <t xml:space="preserve"> 1.410 606 797 36 e-26</t>
  </si>
  <si>
    <t>mmuc2</t>
  </si>
  <si>
    <t xml:space="preserve"> 1.073 544 1105 e-9</t>
  </si>
  <si>
    <t>0.000 000 0066 e-9</t>
  </si>
  <si>
    <t>énergie de masse du muon</t>
  </si>
  <si>
    <t xml:space="preserve"> 1.521 032 202 30 e-3</t>
  </si>
  <si>
    <t>0.000 000 000 46 e-3</t>
  </si>
  <si>
    <t xml:space="preserve"> 3.674 932 248 e-2</t>
  </si>
  <si>
    <t>0.000 000 023 e-2</t>
  </si>
  <si>
    <t xml:space="preserve"> 2.792 847 344 63</t>
  </si>
  <si>
    <t xml:space="preserve"> 2.417 989 262 e14</t>
  </si>
  <si>
    <t>0.000 000 015 e14</t>
  </si>
  <si>
    <t xml:space="preserve"> 8.065 544 005 e5</t>
  </si>
  <si>
    <t xml:space="preserve"> 2.5689 e-5</t>
  </si>
  <si>
    <t>0.000 000 050 e5</t>
  </si>
  <si>
    <t>0.0011 e-5</t>
  </si>
  <si>
    <t>mmuc2mev</t>
  </si>
  <si>
    <t>MuonMassEnergyEquivalentInMeV</t>
  </si>
  <si>
    <t>Muon Mass Energy Equivalent In MeV</t>
  </si>
  <si>
    <t>énergie de masse du muon en MeV</t>
  </si>
  <si>
    <t xml:space="preserve"> 1.672 621 923 69 e-27</t>
  </si>
  <si>
    <t>0.000 000 000 51 e-27</t>
  </si>
  <si>
    <t xml:space="preserve"> 1.160 452 21 e4</t>
  </si>
  <si>
    <t>0.000 000 67 e4</t>
  </si>
  <si>
    <t xml:space="preserve"> 1.503 277 615 98 e-10</t>
  </si>
  <si>
    <t xml:space="preserve"> 1.782 661 907 e-36</t>
  </si>
  <si>
    <t>0.000 000 011 e-36</t>
  </si>
  <si>
    <t xml:space="preserve"> 938.272 088 16</t>
  </si>
  <si>
    <t>mmuu</t>
  </si>
  <si>
    <t>MuonMassInAtomicMassUnit</t>
  </si>
  <si>
    <t xml:space="preserve"> 1.007 276 466 621</t>
  </si>
  <si>
    <t>masse du muon en u</t>
  </si>
  <si>
    <t xml:space="preserve"> 1.007 276 466 27 e-3</t>
  </si>
  <si>
    <t xml:space="preserve"> 96 485.332 89</t>
  </si>
  <si>
    <t>0.000 59</t>
  </si>
  <si>
    <t xml:space="preserve"> 8.880 243 37</t>
  </si>
  <si>
    <t xml:space="preserve"> 96 485.3251</t>
  </si>
  <si>
    <t>0.0012</t>
  </si>
  <si>
    <t xml:space="preserve"> -1.459 898 05</t>
  </si>
  <si>
    <t>mmmu</t>
  </si>
  <si>
    <t>masse molaire du muon</t>
  </si>
  <si>
    <t xml:space="preserve"> 0.998 623 478 12</t>
  </si>
  <si>
    <t xml:space="preserve"> 7.297 352 5664 e-3</t>
  </si>
  <si>
    <t>0.000 000 0017 e-3</t>
  </si>
  <si>
    <t xml:space="preserve"> 3.741 771 790 e-16</t>
  </si>
  <si>
    <t>0.000 000 046 e-16</t>
  </si>
  <si>
    <t xml:space="preserve"> 8.414 e-16</t>
  </si>
  <si>
    <t>mmusmn</t>
  </si>
  <si>
    <t>0.019 e-16</t>
  </si>
  <si>
    <t>muon - neutron mass ratio</t>
  </si>
  <si>
    <t>rapport de la masse du muon à celle du neutron</t>
  </si>
  <si>
    <t xml:space="preserve"> 1.191 042 953 e-16</t>
  </si>
  <si>
    <t>0.000 000 015 e-16</t>
  </si>
  <si>
    <t xml:space="preserve"> 0.528 051</t>
  </si>
  <si>
    <t xml:space="preserve"> 2.921 262 3197 e-8</t>
  </si>
  <si>
    <t xml:space="preserve"> 3.636 947 5516 e-4</t>
  </si>
  <si>
    <t>mumumsmup</t>
  </si>
  <si>
    <t xml:space="preserve"> 7.273 895 1032 e-4</t>
  </si>
  <si>
    <t>muon - proton magnetic moment ratio</t>
  </si>
  <si>
    <t>rapport du moment magnétique du muon à celui du proton</t>
  </si>
  <si>
    <t xml:space="preserve"> 6.579 683 920 711 e15</t>
  </si>
  <si>
    <t>0.000 000 000 039 e15</t>
  </si>
  <si>
    <t xml:space="preserve"> 1.867 594 306 e-15</t>
  </si>
  <si>
    <t xml:space="preserve"> 2.194 746 313 702 e7</t>
  </si>
  <si>
    <t>0.000 000 000 013 e7</t>
  </si>
  <si>
    <t xml:space="preserve"> 2.100 194 1552 e-16</t>
  </si>
  <si>
    <t>0.000 000 0012 e-16</t>
  </si>
  <si>
    <t>mmusmp</t>
  </si>
  <si>
    <t>muon - proton mass ratio</t>
  </si>
  <si>
    <t>rapport de la masse du muon à celle du proton</t>
  </si>
  <si>
    <t xml:space="preserve"> 3.157 7513 e5</t>
  </si>
  <si>
    <t>0.000 0018 e5</t>
  </si>
  <si>
    <t xml:space="preserve"> 4.850 870 129 e-35</t>
  </si>
  <si>
    <t>0.000 000 060 e-35</t>
  </si>
  <si>
    <t>mmusmtau</t>
  </si>
  <si>
    <t>muon - tau mass ratio</t>
  </si>
  <si>
    <t>rapport de la masse du muon à celle du tau</t>
  </si>
  <si>
    <t>muon-proton magnetic moment ratio</t>
  </si>
  <si>
    <t xml:space="preserve"> 5495.885 279 22</t>
  </si>
  <si>
    <t>0.000 000 27</t>
  </si>
  <si>
    <t xml:space="preserve"> -4.255 250 616</t>
  </si>
  <si>
    <t xml:space="preserve"> 197.326 980 4...</t>
  </si>
  <si>
    <t xml:space="preserve"> -1.074 617 522 e-26</t>
  </si>
  <si>
    <t>0.000 000 014 e-26</t>
  </si>
  <si>
    <t xml:space="preserve"> 2.103 089 103 36 e-16</t>
  </si>
  <si>
    <t>0.000 000 000 64 e-16</t>
  </si>
  <si>
    <t>thbar</t>
  </si>
  <si>
    <t>unité naturelle d'action</t>
  </si>
  <si>
    <t xml:space="preserve"> 1.110 538 e-16</t>
  </si>
  <si>
    <t xml:space="preserve"> 10 973 731.568 160</t>
  </si>
  <si>
    <t>0.000 021</t>
  </si>
  <si>
    <t xml:space="preserve"> -2.127 625 308</t>
  </si>
  <si>
    <t xml:space="preserve"> 3.289 841 960 2508 e15</t>
  </si>
  <si>
    <t>0.000 000 000 0064 e15</t>
  </si>
  <si>
    <t xml:space="preserve"> 5.006 412 700 e-27</t>
  </si>
  <si>
    <t>0.000 000 062 e-27</t>
  </si>
  <si>
    <t xml:space="preserve"> 13.605 693 122 994</t>
  </si>
  <si>
    <t>0.000 000 000 026</t>
  </si>
  <si>
    <t>thbarev</t>
  </si>
  <si>
    <t>NaturalUnitOfActionInEVS</t>
  </si>
  <si>
    <t>Natural Unit Of Action In eV S</t>
  </si>
  <si>
    <t>unité naturelle d'action en eV s</t>
  </si>
  <si>
    <t xml:space="preserve"> 4.499 539 341 e-10</t>
  </si>
  <si>
    <t>0.000 000 055 e-10</t>
  </si>
  <si>
    <t xml:space="preserve"> 2808.391 586</t>
  </si>
  <si>
    <t>0.000 017</t>
  </si>
  <si>
    <t xml:space="preserve"> 3.014 932 246 73</t>
  </si>
  <si>
    <t>0.000 000 000 12</t>
  </si>
  <si>
    <t xml:space="preserve"> 2.179 872 361 1035 e-18</t>
  </si>
  <si>
    <t>0.000 000 000 0042 e-18</t>
  </si>
  <si>
    <t>tmec2</t>
  </si>
  <si>
    <t xml:space="preserve"> -1.151 707 537 06</t>
  </si>
  <si>
    <t>0.000 000 000 45</t>
  </si>
  <si>
    <t>unité naturelle d'énergie</t>
  </si>
  <si>
    <t xml:space="preserve"> 3.014 932 246 73 e-3</t>
  </si>
  <si>
    <t>0.000 000 000 12 e-3</t>
  </si>
  <si>
    <t xml:space="preserve"> -1.164 870 523 58</t>
  </si>
  <si>
    <t xml:space="preserve"> 2.993 152 670 46</t>
  </si>
  <si>
    <t>0.000 000 000 29</t>
  </si>
  <si>
    <t xml:space="preserve"> 4.439 821 6616 e-24</t>
  </si>
  <si>
    <t>0.000 000 0020 e-24</t>
  </si>
  <si>
    <t xml:space="preserve"> 2.037 894 569 e8</t>
  </si>
  <si>
    <t>0.000 000 024 e8</t>
  </si>
  <si>
    <t>tmec2mev</t>
  </si>
  <si>
    <t>NaturalUnitOfEnergyInMeV</t>
  </si>
  <si>
    <t>Natural Unit Of Energy In MeV</t>
  </si>
  <si>
    <t xml:space="preserve"> 4.135 667 662 e-15</t>
  </si>
  <si>
    <t>0.000 000 025 e-15</t>
  </si>
  <si>
    <t>unité naturelle d'énergie en MeV</t>
  </si>
  <si>
    <t xml:space="preserve"> 32.434 099 42</t>
  </si>
  <si>
    <t xml:space="preserve"> 1.519 829 846 0088 e-16</t>
  </si>
  <si>
    <t>0.000 000 000 0090 e-16</t>
  </si>
  <si>
    <t xml:space="preserve"> -1.074 553 090 e-26</t>
  </si>
  <si>
    <t xml:space="preserve"> -1.158 671 471 e-3</t>
  </si>
  <si>
    <t xml:space="preserve"> 6.626 070 040 e-34</t>
  </si>
  <si>
    <t>0.000 000 081 e-34</t>
  </si>
  <si>
    <t>tecomwlbar</t>
  </si>
  <si>
    <t xml:space="preserve"> -2.127 497 719</t>
  </si>
  <si>
    <t xml:space="preserve"> 4.799 2447 e-11</t>
  </si>
  <si>
    <t>0.000 0028 e-11</t>
  </si>
  <si>
    <t>unité naturelle de longueur</t>
  </si>
  <si>
    <t xml:space="preserve"> -0.761 766 5618</t>
  </si>
  <si>
    <t>0.000 000 0089</t>
  </si>
  <si>
    <t xml:space="preserve"> 7.372 497 201 e-51</t>
  </si>
  <si>
    <t>0.000 000 091 e-51</t>
  </si>
  <si>
    <t xml:space="preserve"> -0.761 786 1313</t>
  </si>
  <si>
    <t>0.000 000 0033</t>
  </si>
  <si>
    <t xml:space="preserve"> 137.035 999 139</t>
  </si>
  <si>
    <t>0.000 000 031</t>
  </si>
  <si>
    <t xml:space="preserve"> 2.675 153 151 e8</t>
  </si>
  <si>
    <t>0.000 000 029 e8</t>
  </si>
  <si>
    <t xml:space="preserve"> 1.331 025 049 00 e-15</t>
  </si>
  <si>
    <t>0.000 000 000 61 e-15</t>
  </si>
  <si>
    <t>tme</t>
  </si>
  <si>
    <t>unité naturelle de masse</t>
  </si>
  <si>
    <t xml:space="preserve"> 42.576 384 74</t>
  </si>
  <si>
    <t xml:space="preserve"> 1.239 841 9739 e-6</t>
  </si>
  <si>
    <t>0.000 000 0076 e-6</t>
  </si>
  <si>
    <t xml:space="preserve"> 1.410 570 560 e-26</t>
  </si>
  <si>
    <t>0.000 000 015 e-26</t>
  </si>
  <si>
    <t xml:space="preserve"> 4.556 335 252 767 e-8</t>
  </si>
  <si>
    <t>0.000 000 000 027 e-8</t>
  </si>
  <si>
    <t xml:space="preserve"> 1.520 993 128 e-3</t>
  </si>
  <si>
    <t>0.000 000 017 e-3</t>
  </si>
  <si>
    <t>mec</t>
  </si>
  <si>
    <r>
      <rPr>
        <rFont val="Arial"/>
        <color theme="1"/>
      </rPr>
      <t xml:space="preserve">natural unit of </t>
    </r>
    <r>
      <rPr>
        <rFont val="Arial"/>
        <color rgb="FF000000"/>
      </rPr>
      <t>mom.um</t>
    </r>
  </si>
  <si>
    <t>unité naturelle d'impulsion</t>
  </si>
  <si>
    <t xml:space="preserve"> 2.792 775 599</t>
  </si>
  <si>
    <t>0.000 000 030</t>
  </si>
  <si>
    <t xml:space="preserve"> 1.986 445 824 e-25</t>
  </si>
  <si>
    <t>0.000 000 024 e-25</t>
  </si>
  <si>
    <t xml:space="preserve"> 2.0200 e-8</t>
  </si>
  <si>
    <t>0.0020 e-8</t>
  </si>
  <si>
    <t xml:space="preserve"> 1.438 777 36 e-2</t>
  </si>
  <si>
    <t>0.000 000 83 e-2</t>
  </si>
  <si>
    <t xml:space="preserve"> 2.210 219 057 e-42</t>
  </si>
  <si>
    <t>0.000 000 027 e-42</t>
  </si>
  <si>
    <t xml:space="preserve"> 2.4140 e-8</t>
  </si>
  <si>
    <t>mecmevsc</t>
  </si>
  <si>
    <t>NaturalUnitOfMomentumInMeVPerC</t>
  </si>
  <si>
    <t>Natural Unit Of Momentum In MeV/C</t>
  </si>
  <si>
    <t>unité naturelle d'impulsion en  MeV/c</t>
  </si>
  <si>
    <t xml:space="preserve"> 12 906.403 7278</t>
  </si>
  <si>
    <t>0.000 0029</t>
  </si>
  <si>
    <t xml:space="preserve"> 483 597.8525 e9</t>
  </si>
  <si>
    <t>0.0030 e9</t>
  </si>
  <si>
    <r>
      <rPr>
        <rFont val="Arial"/>
        <color theme="1"/>
      </rPr>
      <t xml:space="preserve">natural unit of </t>
    </r>
    <r>
      <rPr>
        <rFont val="Arial"/>
        <color rgb="FF000000"/>
      </rPr>
      <t>mom.um</t>
    </r>
    <r>
      <rPr>
        <rFont val="Arial"/>
        <color theme="1"/>
      </rPr>
      <t xml:space="preserve"> in MeV/c</t>
    </r>
  </si>
  <si>
    <t xml:space="preserve"> 6.700 535 363 e9</t>
  </si>
  <si>
    <t>0.000 000 082 e9</t>
  </si>
  <si>
    <t xml:space="preserve"> 6.241 509 126 e18</t>
  </si>
  <si>
    <t>0.000 000 038 e18</t>
  </si>
  <si>
    <t xml:space="preserve"> 2.293 712 317 e17</t>
  </si>
  <si>
    <t xml:space="preserve"> 9.806 65</t>
  </si>
  <si>
    <t>0.000 000 028 e17</t>
  </si>
  <si>
    <t>NaturalUnitOfMomentumInMeV-PER-c</t>
  </si>
  <si>
    <t xml:space="preserve"> 101 325</t>
  </si>
  <si>
    <t xml:space="preserve"> 1.509 190 205 e33</t>
  </si>
  <si>
    <t>0.000 000 019 e33</t>
  </si>
  <si>
    <t xml:space="preserve"> 100 000</t>
  </si>
  <si>
    <t>nut</t>
  </si>
  <si>
    <t xml:space="preserve"> 5.034 116 651 e24</t>
  </si>
  <si>
    <t>0.000 000 062 e24</t>
  </si>
  <si>
    <t xml:space="preserve"> 5.670 374 419... e-8</t>
  </si>
  <si>
    <t xml:space="preserve"> 7.242 9731 e22</t>
  </si>
  <si>
    <t>0.000 0042 e22</t>
  </si>
  <si>
    <t xml:space="preserve"> 6.977 71 e-16</t>
  </si>
  <si>
    <t>tc</t>
  </si>
  <si>
    <t xml:space="preserve"> 3477.23</t>
  </si>
  <si>
    <t>untié naturelle de temps</t>
  </si>
  <si>
    <t xml:space="preserve"> 1776.86</t>
  </si>
  <si>
    <t>ncomwl</t>
  </si>
  <si>
    <t xml:space="preserve"> 9.251 0842 e-14</t>
  </si>
  <si>
    <t>0.000 0053 e-14</t>
  </si>
  <si>
    <t xml:space="preserve"> 3.167 54 e-27</t>
  </si>
  <si>
    <t xml:space="preserve"> 2.846 84 e-10</t>
  </si>
  <si>
    <t xml:space="preserve"> 3.166 8105 e-6</t>
  </si>
  <si>
    <t>0.000 0018 e-6</t>
  </si>
  <si>
    <t xml:space="preserve"> 1.907 54</t>
  </si>
  <si>
    <t>neutron Compton wavelength over 2 pi</t>
  </si>
  <si>
    <t>ncomwlbar</t>
  </si>
  <si>
    <t>unité naturelle de vitesse</t>
  </si>
  <si>
    <t xml:space="preserve"> 1.907 54 e-3</t>
  </si>
  <si>
    <t xml:space="preserve"> 16.8170</t>
  </si>
  <si>
    <t>gnn</t>
  </si>
  <si>
    <t xml:space="preserve"> 1.891 15</t>
  </si>
  <si>
    <t xml:space="preserve"> 1.893 76</t>
  </si>
  <si>
    <t xml:space="preserve"> 1.536 178 65 e-40</t>
  </si>
  <si>
    <t>0.000 000 88 e-40</t>
  </si>
  <si>
    <t>longueur d'onde de Compton du neutron</t>
  </si>
  <si>
    <t>gamman</t>
  </si>
  <si>
    <t xml:space="preserve"> 6.652 458 7321 e-29</t>
  </si>
  <si>
    <t>0.000 000 0060 e-29</t>
  </si>
  <si>
    <t xml:space="preserve"> 6.022 140 857 e26</t>
  </si>
  <si>
    <t>0.000 000 074 e26</t>
  </si>
  <si>
    <t xml:space="preserve"> 5496.921 535 73</t>
  </si>
  <si>
    <t xml:space="preserve"> 5.609 588 650 e35</t>
  </si>
  <si>
    <t>0.000 000 034 e35</t>
  </si>
  <si>
    <t xml:space="preserve"> 5.957 924 931</t>
  </si>
  <si>
    <t>munsmue</t>
  </si>
  <si>
    <t xml:space="preserve"> 2.061 485 823 e34</t>
  </si>
  <si>
    <t>0.000 000 025 e34</t>
  </si>
  <si>
    <t>neutron - electron magnetic moment ratio</t>
  </si>
  <si>
    <t>rapport du moment magnétique du neutron à celui de l'électron</t>
  </si>
  <si>
    <t xml:space="preserve"> 1.504 609 5202 e-26</t>
  </si>
  <si>
    <t>neutron gyromagnetic ratio</t>
  </si>
  <si>
    <t xml:space="preserve"> 1.356 392 512 e50</t>
  </si>
  <si>
    <t>0.000 000 017 e50</t>
  </si>
  <si>
    <t xml:space="preserve"> 1.622 393 6651 e-3</t>
  </si>
  <si>
    <t xml:space="preserve"> 2.978 962 4656</t>
  </si>
  <si>
    <t>gammanbar</t>
  </si>
  <si>
    <t xml:space="preserve"> 4.524 438 411 e41</t>
  </si>
  <si>
    <t>0.000 000 056 e41</t>
  </si>
  <si>
    <t>mnsme</t>
  </si>
  <si>
    <t>neutron - electron mass ratio</t>
  </si>
  <si>
    <t>rapport de la masse du neutron à celle de l'électron</t>
  </si>
  <si>
    <t xml:space="preserve"> 5.007 356 7446 e-27</t>
  </si>
  <si>
    <t xml:space="preserve"> 4.500 387 8060 e-10</t>
  </si>
  <si>
    <t xml:space="preserve"> 6.509 6595 e39</t>
  </si>
  <si>
    <t>0.000 0037 e39</t>
  </si>
  <si>
    <t>neutron gyromag. ratio over 2 pi</t>
  </si>
  <si>
    <t xml:space="preserve"> 2808.921 132 98</t>
  </si>
  <si>
    <t xml:space="preserve"> 543.102 0504 e-12</t>
  </si>
  <si>
    <t>0.000 0089 e-12</t>
  </si>
  <si>
    <t xml:space="preserve"> 3.015 500 716 21</t>
  </si>
  <si>
    <t>facteur de Landé du neutron</t>
  </si>
  <si>
    <t xml:space="preserve"> 2.651 6467 e25</t>
  </si>
  <si>
    <t>0.000 0015 e25</t>
  </si>
  <si>
    <t>neutron gyromagnetic ratio over 2 pi</t>
  </si>
  <si>
    <t xml:space="preserve"> 3.015 500 715 17 e-3</t>
  </si>
  <si>
    <t>0.000 000 000 92 e-3</t>
  </si>
  <si>
    <t xml:space="preserve"> 2.686 7811 e25</t>
  </si>
  <si>
    <t xml:space="preserve"> 2.993 717 034 14</t>
  </si>
  <si>
    <t xml:space="preserve"> 12.566 370 614... e-7</t>
  </si>
  <si>
    <t>rapport gyromagnétique du neutron</t>
  </si>
  <si>
    <t>munn</t>
  </si>
  <si>
    <t xml:space="preserve"> 1.066 639 9191</t>
  </si>
  <si>
    <t xml:space="preserve"> 2.067 833 831 e-15</t>
  </si>
  <si>
    <t>0.000 000 013 e-15</t>
  </si>
  <si>
    <t xml:space="preserve"> 8.314 4598</t>
  </si>
  <si>
    <t>0.000 0048</t>
  </si>
  <si>
    <t xml:space="preserve"> 8.854 187 8128 e-12</t>
  </si>
  <si>
    <t>0.000 000 0013 e-12</t>
  </si>
  <si>
    <t>neutron magnetic moment</t>
  </si>
  <si>
    <t xml:space="preserve"> 1 e-3</t>
  </si>
  <si>
    <t>NeutronGyromagneticRatioOver2Pi</t>
  </si>
  <si>
    <t>rapport gyromagnétique réduit du neutron</t>
  </si>
  <si>
    <t xml:space="preserve"> 1.256 637 062 12 e-6</t>
  </si>
  <si>
    <t>0.000 000 000 19 e-6</t>
  </si>
  <si>
    <t xml:space="preserve"> 12 e-3</t>
  </si>
  <si>
    <t xml:space="preserve"> 25 812.807 45...</t>
  </si>
  <si>
    <t>munsmub</t>
  </si>
  <si>
    <t xml:space="preserve"> 3.990 312 7110 e-10</t>
  </si>
  <si>
    <t>J s mol^-1</t>
  </si>
  <si>
    <t xml:space="preserve"> 0.222 90</t>
  </si>
  <si>
    <t>0.000 30</t>
  </si>
  <si>
    <t xml:space="preserve"> 0.119 626 565 582</t>
  </si>
  <si>
    <t>0.000 000 000 054</t>
  </si>
  <si>
    <t xml:space="preserve"> 5.878 925 757... e10</t>
  </si>
  <si>
    <t>moment magnétique du neutron</t>
  </si>
  <si>
    <t xml:space="preserve"> 22.710 947 e-3</t>
  </si>
  <si>
    <t>0.000 013 e-3</t>
  </si>
  <si>
    <t>neutron magnetic moment to Bohr magneton ratio</t>
  </si>
  <si>
    <t xml:space="preserve"> 2.897 771 955... e-3</t>
  </si>
  <si>
    <t xml:space="preserve"> 22.413 962 e-3</t>
  </si>
  <si>
    <t xml:space="preserve"> 0.881 53</t>
  </si>
  <si>
    <t xml:space="preserve"> 12.058 832 14 e-6</t>
  </si>
  <si>
    <t>0.000 000 61 e-6</t>
  </si>
  <si>
    <t>munsmun</t>
  </si>
  <si>
    <t>rapport du moment magnétique du neutron au magnéton de Bohr électronique</t>
  </si>
  <si>
    <t xml:space="preserve"> 11.734 441 11 e-15</t>
  </si>
  <si>
    <t>0.000 000 26 e-15</t>
  </si>
  <si>
    <t>neutron magnetic moment to nuclear magneton ratio</t>
  </si>
  <si>
    <t xml:space="preserve"> 1.867 594 308 e-15</t>
  </si>
  <si>
    <t xml:space="preserve"> 206.768 2826</t>
  </si>
  <si>
    <t>rapport du moment magnétique du neutron au magnéton de Bohr nucléaire</t>
  </si>
  <si>
    <t>mn</t>
  </si>
  <si>
    <t xml:space="preserve"> -4.490 448 26 e-26</t>
  </si>
  <si>
    <t>mnc2</t>
  </si>
  <si>
    <t xml:space="preserve"> -4.841 970 48 e-3</t>
  </si>
  <si>
    <t xml:space="preserve"> -8.890 597 05</t>
  </si>
  <si>
    <t>mnc2mev</t>
  </si>
  <si>
    <t xml:space="preserve"> 1.883 531 594 e-28</t>
  </si>
  <si>
    <t>0.000 000 048 e-28</t>
  </si>
  <si>
    <t xml:space="preserve"> 1.692 833 774 e-11</t>
  </si>
  <si>
    <t>0.000 000 043 e-11</t>
  </si>
  <si>
    <t>mnu</t>
  </si>
  <si>
    <t xml:space="preserve"> 7294.299 5361</t>
  </si>
  <si>
    <t>énergie de masse du neutron</t>
  </si>
  <si>
    <t xml:space="preserve"> 105.658 3745</t>
  </si>
  <si>
    <t>0.000 0024</t>
  </si>
  <si>
    <t xml:space="preserve"> 0.113 428 9257</t>
  </si>
  <si>
    <t xml:space="preserve"> 6.644 656 75 e-27</t>
  </si>
  <si>
    <t>0.000 000 29 e-27</t>
  </si>
  <si>
    <t>mmn</t>
  </si>
  <si>
    <t xml:space="preserve"> 0.113 428 9257 e-3</t>
  </si>
  <si>
    <t>0.000 000 0025 e-3</t>
  </si>
  <si>
    <t xml:space="preserve"> 5.971 919 67 e-10</t>
  </si>
  <si>
    <t>0.000 000 26 e-10</t>
  </si>
  <si>
    <t xml:space="preserve"> 0.112 454 5167</t>
  </si>
  <si>
    <t xml:space="preserve"> 3727.379 240</t>
  </si>
  <si>
    <t>0.000 082</t>
  </si>
  <si>
    <t>NeutronMassEnergyEquivalentInMeV</t>
  </si>
  <si>
    <t>Neutron Mass Energy Equivalent In MeV</t>
  </si>
  <si>
    <t>arn</t>
  </si>
  <si>
    <t>énergie de masse du neutron en MeV</t>
  </si>
  <si>
    <t xml:space="preserve"> 4.001 506 179 125</t>
  </si>
  <si>
    <t xml:space="preserve"> 4.001 506 179 125 e-3</t>
  </si>
  <si>
    <t>0.000 000 000 062 e-3</t>
  </si>
  <si>
    <t xml:space="preserve"> 0.112 609 5262</t>
  </si>
  <si>
    <t>munsmupp</t>
  </si>
  <si>
    <t xml:space="preserve"> 3.972 599 689 33</t>
  </si>
  <si>
    <t xml:space="preserve"> 5.946 49 e-2</t>
  </si>
  <si>
    <t>0.000 54 e-2</t>
  </si>
  <si>
    <t>NeutronMassInAtomicMassUnit</t>
  </si>
  <si>
    <t>masse du neutron en u</t>
  </si>
  <si>
    <t xml:space="preserve"> 1.660 538 921 e-27</t>
  </si>
  <si>
    <t>0.000 000 073 e-27</t>
  </si>
  <si>
    <t xml:space="preserve"> 6.582 119 514 e-16</t>
  </si>
  <si>
    <t>0.000 000 040 e-16</t>
  </si>
  <si>
    <t xml:space="preserve"> 1.492 417 954 e-10</t>
  </si>
  <si>
    <t>0.000 000 066 e-10</t>
  </si>
  <si>
    <t>neutron to shielded proton magnetic moment ratio</t>
  </si>
  <si>
    <t xml:space="preserve"> 931.494 061</t>
  </si>
  <si>
    <t>masse molaire du neutron</t>
  </si>
  <si>
    <t xml:space="preserve"> 931.494 061 e6</t>
  </si>
  <si>
    <t>0.000 021 e6</t>
  </si>
  <si>
    <t xml:space="preserve"> 3.423 177 6845 e7</t>
  </si>
  <si>
    <t>0.000 000 0024 e7</t>
  </si>
  <si>
    <t xml:space="preserve"> 2.252 342 7168 e23</t>
  </si>
  <si>
    <t>0.000 000 0016 e23</t>
  </si>
  <si>
    <t>mnsmmu</t>
  </si>
  <si>
    <t>neutron - muon mass ratio</t>
  </si>
  <si>
    <t>rapport de la masse du neutron à celle du muon</t>
  </si>
  <si>
    <t xml:space="preserve"> 7.513 006 6042 e14</t>
  </si>
  <si>
    <t>0.000 000 0053 e14</t>
  </si>
  <si>
    <t>natural unit of mom.um</t>
  </si>
  <si>
    <t xml:space="preserve"> 2.730 924 488 e-22</t>
  </si>
  <si>
    <t>0.000 000 034 e-22</t>
  </si>
  <si>
    <t>neutron-electron magnetic moment ratio</t>
  </si>
  <si>
    <t>natural unit of mom.um in MeV/c</t>
  </si>
  <si>
    <t xml:space="preserve"> 1.080 954 08 e13</t>
  </si>
  <si>
    <t>0.000 000 98 e13</t>
  </si>
  <si>
    <t xml:space="preserve"> 1.288 088 667 12 e-21</t>
  </si>
  <si>
    <t>0.000 000 000 58 e-21</t>
  </si>
  <si>
    <t>munsmup</t>
  </si>
  <si>
    <t>neutron - proton magnetic moment ratio</t>
  </si>
  <si>
    <t>rapport du moment magnétique du neutron à celui du proton</t>
  </si>
  <si>
    <t xml:space="preserve"> 3.206 361 449 e-53</t>
  </si>
  <si>
    <t>0.000 000 071 e-53</t>
  </si>
  <si>
    <t xml:space="preserve"> 1.319 590 904 81 e-15</t>
  </si>
  <si>
    <t>0.000 000 000 88 e-15</t>
  </si>
  <si>
    <t xml:space="preserve"> 6.235 380 54 e-65</t>
  </si>
  <si>
    <t>0.000 000 28 e-65</t>
  </si>
  <si>
    <t xml:space="preserve"> 1.054 571 726 e-34</t>
  </si>
  <si>
    <t xml:space="preserve"> 0.210 019 415 36 e-15</t>
  </si>
  <si>
    <t>0.000 000 047 e-34</t>
  </si>
  <si>
    <t>0.000 000 000 14 e-15</t>
  </si>
  <si>
    <t>mnmmp</t>
  </si>
  <si>
    <t>neutron - proton mass difference</t>
  </si>
  <si>
    <t>différence des masses du neutron et du proton</t>
  </si>
  <si>
    <t xml:space="preserve"> 1.602 176 565 e-19</t>
  </si>
  <si>
    <t>0.000 000 035 e-19</t>
  </si>
  <si>
    <t xml:space="preserve"> 1.081 202 338 e12</t>
  </si>
  <si>
    <t>0.000 000 024 e12</t>
  </si>
  <si>
    <t xml:space="preserve"> 1838.683 661 58</t>
  </si>
  <si>
    <t xml:space="preserve"> 6.623 617 95 e-3</t>
  </si>
  <si>
    <t>0.000 000 15 e-3</t>
  </si>
  <si>
    <t>mnmmpc2</t>
  </si>
  <si>
    <t>neutron - proton mass difference energy equivalent</t>
  </si>
  <si>
    <t>énergie de la différence des masses du neutron et du proton</t>
  </si>
  <si>
    <t xml:space="preserve"> 8.478 353 26 e-30</t>
  </si>
  <si>
    <t>0.000 000 19 e-30</t>
  </si>
  <si>
    <t>neutron-proton magnetic moment ratio</t>
  </si>
  <si>
    <t xml:space="preserve"> 1.832 471 72 e8</t>
  </si>
  <si>
    <t xml:space="preserve"> 5.142 206 52 e11</t>
  </si>
  <si>
    <t>0.000 000 11 e11</t>
  </si>
  <si>
    <t xml:space="preserve"> 29.164 6933</t>
  </si>
  <si>
    <t xml:space="preserve"> 9.717 362 00 e21</t>
  </si>
  <si>
    <t>0.000 000 21 e21</t>
  </si>
  <si>
    <t>mnmmpc2mev</t>
  </si>
  <si>
    <t>NeutronProtonMassDifferenceEnergyEquivalentInMeV</t>
  </si>
  <si>
    <t>Neutron - Proton Mass Difference Energy Equivalent In MeV</t>
  </si>
  <si>
    <t>neutron - proton mass difference energy equivalent in MeV</t>
  </si>
  <si>
    <t xml:space="preserve"> -0.966 236 50 e-26</t>
  </si>
  <si>
    <t>0.000 000 23 e-26</t>
  </si>
  <si>
    <t xml:space="preserve"> 1.648 777 2754 e-41</t>
  </si>
  <si>
    <t>0.000 000 0016 e-41</t>
  </si>
  <si>
    <t xml:space="preserve"> 27.211 385 05</t>
  </si>
  <si>
    <t>0.000 000 60</t>
  </si>
  <si>
    <t xml:space="preserve"> 4.486 551 331 e-40</t>
  </si>
  <si>
    <t>mnmmpu</t>
  </si>
  <si>
    <t>0.000 000 099 e-40</t>
  </si>
  <si>
    <t>NeutronProtonMassDifferenceInU</t>
  </si>
  <si>
    <t>neutron - muon mass ratio in u</t>
  </si>
  <si>
    <t>différence des masses du neutron et du proton en u</t>
  </si>
  <si>
    <t xml:space="preserve"> 1.674 927 471 e-27</t>
  </si>
  <si>
    <t xml:space="preserve"> 4.359 744 34 e-18</t>
  </si>
  <si>
    <t>0.000 000 021 e-27</t>
  </si>
  <si>
    <t>0.000 000 19 e-18</t>
  </si>
  <si>
    <t xml:space="preserve"> 8.238 722 78 e-8</t>
  </si>
  <si>
    <t>0.000 000 36 e-8</t>
  </si>
  <si>
    <t xml:space="preserve"> 1.505 349 739 e-10</t>
  </si>
  <si>
    <t>0.000 000 019 e-10</t>
  </si>
  <si>
    <t xml:space="preserve"> 0.529 177 210 92 e-10</t>
  </si>
  <si>
    <t xml:space="preserve"> 1.854 801 936 e-23</t>
  </si>
  <si>
    <t>0.000 000 041 e-23</t>
  </si>
  <si>
    <t>mnsmp</t>
  </si>
  <si>
    <t>neutron - proton mass ratio</t>
  </si>
  <si>
    <t>rapport de la masse du neutron à celle du proton</t>
  </si>
  <si>
    <t xml:space="preserve"> 939.565 4133</t>
  </si>
  <si>
    <t>0.000 0058</t>
  </si>
  <si>
    <t xml:space="preserve"> 2.350 517 464 e5</t>
  </si>
  <si>
    <t>0.000 000 052 e5</t>
  </si>
  <si>
    <t xml:space="preserve"> 7.891 036 607 e-29</t>
  </si>
  <si>
    <t>0.000 000 013 e-29</t>
  </si>
  <si>
    <t xml:space="preserve"> 1.008 664 915 88</t>
  </si>
  <si>
    <t xml:space="preserve"> 9.109 382 91 e-31</t>
  </si>
  <si>
    <t>0.000 000 40 e-31</t>
  </si>
  <si>
    <t>masse atomique relative du neutron</t>
  </si>
  <si>
    <t xml:space="preserve"> 1.008 664 915 88 e-3</t>
  </si>
  <si>
    <t>0.000 000 000 49 e-3</t>
  </si>
  <si>
    <t xml:space="preserve"> 1.992 851 740 e-24</t>
  </si>
  <si>
    <t>0.000 000 088 e-24</t>
  </si>
  <si>
    <t>mnsmtau</t>
  </si>
  <si>
    <t xml:space="preserve"> 8.892 484 08</t>
  </si>
  <si>
    <t xml:space="preserve"> 2.418 884 326 502 e-17</t>
  </si>
  <si>
    <t>0.000 000 000 012 e-17</t>
  </si>
  <si>
    <t>neutron - tau mass ratio</t>
  </si>
  <si>
    <t>rapport de la masse du neutron à celle du tau</t>
  </si>
  <si>
    <t>bg</t>
  </si>
  <si>
    <t xml:space="preserve"> 2.187 691 263 79 e6</t>
  </si>
  <si>
    <t>0.000 000 000 71 e6</t>
  </si>
  <si>
    <t xml:space="preserve"> 2.305 573 77 e-30</t>
  </si>
  <si>
    <t>0.000 000 85 e-30</t>
  </si>
  <si>
    <t xml:space="preserve"> 6.022 141 29 e23</t>
  </si>
  <si>
    <t>0.000 000 27 e23</t>
  </si>
  <si>
    <t>bgspu</t>
  </si>
  <si>
    <t xml:space="preserve"> 2.072 146 37 e-13</t>
  </si>
  <si>
    <t xml:space="preserve"> 927.400 968 e-26</t>
  </si>
  <si>
    <t>0.000 000 76 e-13</t>
  </si>
  <si>
    <t>0.000 020 e-26</t>
  </si>
  <si>
    <t>rapport du moment magnétique du neutron à celui du proton écranté</t>
  </si>
  <si>
    <t xml:space="preserve"> 5.788 381 8066 e-5</t>
  </si>
  <si>
    <t>0.000 000 0038 e-5</t>
  </si>
  <si>
    <t xml:space="preserve"> 1.293 332 05</t>
  </si>
  <si>
    <t xml:space="preserve"> 13.996 245 55 e9</t>
  </si>
  <si>
    <t>0.000 000 31 e9</t>
  </si>
  <si>
    <t>mun</t>
  </si>
  <si>
    <t xml:space="preserve"> 0.001 388 449 00</t>
  </si>
  <si>
    <t>0.000 000 000 51</t>
  </si>
  <si>
    <t xml:space="preserve"> 46.686 4498</t>
  </si>
  <si>
    <t>0.000 0010</t>
  </si>
  <si>
    <t>constante de la gravitation universelle</t>
  </si>
  <si>
    <t xml:space="preserve"> 1.001 378 418 98</t>
  </si>
  <si>
    <t xml:space="preserve"> 0.671 713 88</t>
  </si>
  <si>
    <t>0.000 000 61</t>
  </si>
  <si>
    <t>[G]</t>
  </si>
  <si>
    <t>munev</t>
  </si>
  <si>
    <t xml:space="preserve"> 0.528 790</t>
  </si>
  <si>
    <t>0.000 048</t>
  </si>
  <si>
    <t xml:space="preserve"> 1.380 6488 e-23</t>
  </si>
  <si>
    <t>0.000 0013 e-23</t>
  </si>
  <si>
    <t>NewtonianConstantOfGravitationOverHBarC</t>
  </si>
  <si>
    <t>rapport de la constante fondamentale de la gravitation et du produit de la constante de Planck réduite par la vitesse de la lumière dans le vide</t>
  </si>
  <si>
    <t xml:space="preserve"> 8.617 3324 e-5</t>
  </si>
  <si>
    <t>0.000 0078 e-5</t>
  </si>
  <si>
    <t>munshcminv</t>
  </si>
  <si>
    <t xml:space="preserve"> 2.083 6618 e10</t>
  </si>
  <si>
    <t>0.000 0019 e10</t>
  </si>
  <si>
    <t xml:space="preserve"> 6.674 08 e-11</t>
  </si>
  <si>
    <t>0.000 31 e-11</t>
  </si>
  <si>
    <t xml:space="preserve"> 69.503 476</t>
  </si>
  <si>
    <t>0.000 063</t>
  </si>
  <si>
    <t>nuclear magneton in inverse meters per tesla</t>
  </si>
  <si>
    <t>magnéton de Bohr nucléaire</t>
  </si>
  <si>
    <t xml:space="preserve"> 6.708 61 e-39</t>
  </si>
  <si>
    <t>0.000 31 e-39</t>
  </si>
  <si>
    <t xml:space="preserve"> 2.817 940 3267 e-15</t>
  </si>
  <si>
    <t>0.000 000 0027 e-15</t>
  </si>
  <si>
    <t xml:space="preserve"> 5.050 783 699 e-27</t>
  </si>
  <si>
    <t>0.000 000 031 e-27</t>
  </si>
  <si>
    <t>munskk</t>
  </si>
  <si>
    <t xml:space="preserve"> 2.426 310 2389 e-12</t>
  </si>
  <si>
    <t>0.000 000 0016 e-12</t>
  </si>
  <si>
    <t xml:space="preserve"> 3.152 451 2550 e-8</t>
  </si>
  <si>
    <t>0.000 000 0015 e-8</t>
  </si>
  <si>
    <t xml:space="preserve"> 2.542 623 432 e-2</t>
  </si>
  <si>
    <t>0.000 000 016 e-2</t>
  </si>
  <si>
    <t xml:space="preserve"> 386.159 268 00 e-15</t>
  </si>
  <si>
    <t>0.000 000 25 e-15</t>
  </si>
  <si>
    <t>munshhz</t>
  </si>
  <si>
    <t>NuclearMagnetonInEVPerT</t>
  </si>
  <si>
    <t>Nuclear Magneton In eV/T</t>
  </si>
  <si>
    <t xml:space="preserve"> 7.748 091 7346 e-5</t>
  </si>
  <si>
    <t>0.000 000 0025 e-5</t>
  </si>
  <si>
    <t>magnéton de Bohr nucléaire en eV/T</t>
  </si>
  <si>
    <t xml:space="preserve"> 3.658 2690 e-4</t>
  </si>
  <si>
    <t>0.000 0021 e-4</t>
  </si>
  <si>
    <t xml:space="preserve"> 7.622 593 285</t>
  </si>
  <si>
    <t>0.000 000 047</t>
  </si>
  <si>
    <t>h</t>
  </si>
  <si>
    <t>Planck constant in eV s</t>
  </si>
  <si>
    <t>Planck constant over 2 pi</t>
  </si>
  <si>
    <t>Planck constant over 2 pi in eV s</t>
  </si>
  <si>
    <t>hev</t>
  </si>
  <si>
    <t>Planck constant over 2 pi times c in MeV fm</t>
  </si>
  <si>
    <t xml:space="preserve"> -4.664 345 537 e-4</t>
  </si>
  <si>
    <t xml:space="preserve"> 197.326 9788</t>
  </si>
  <si>
    <t>0.000 000 039 e-4</t>
  </si>
  <si>
    <t xml:space="preserve"> 1.616 229 e-35</t>
  </si>
  <si>
    <t>0.000 038 e-35</t>
  </si>
  <si>
    <t xml:space="preserve"> 3670.482 9652</t>
  </si>
  <si>
    <t>0.000 0015</t>
  </si>
  <si>
    <t xml:space="preserve"> 2.176 470 e-8</t>
  </si>
  <si>
    <t>0.000 051 e-8</t>
  </si>
  <si>
    <t xml:space="preserve"> 0.857 438 2308</t>
  </si>
  <si>
    <t>0.000 000 0072</t>
  </si>
  <si>
    <t xml:space="preserve"> 1.220 910 e19</t>
  </si>
  <si>
    <t>0.000 029 e19</t>
  </si>
  <si>
    <t xml:space="preserve"> 0.433 073 489 e-26</t>
  </si>
  <si>
    <t>0.000 000 010 e-26</t>
  </si>
  <si>
    <t xml:space="preserve"> 1.416 808 e32</t>
  </si>
  <si>
    <t>0.000 033 e32</t>
  </si>
  <si>
    <t xml:space="preserve"> 5.391 16 e-44</t>
  </si>
  <si>
    <t xml:space="preserve"> 0.466 975 4556 e-3</t>
  </si>
  <si>
    <t>0.000 13 e-44</t>
  </si>
  <si>
    <t>0.000 000 0039 e-3</t>
  </si>
  <si>
    <t>hbar</t>
  </si>
  <si>
    <t xml:space="preserve"> 9.578 833 226 e7</t>
  </si>
  <si>
    <t>0.000 000 059 e7</t>
  </si>
  <si>
    <t>NuclearMagnetonInInverseMetersPerTesla</t>
  </si>
  <si>
    <t xml:space="preserve"> 3.343 583 48 e-27</t>
  </si>
  <si>
    <t>0.000 000 15 e-27</t>
  </si>
  <si>
    <t xml:space="preserve"> 1.321 409 853 96 e-15</t>
  </si>
  <si>
    <t>magnéton de Bohr nucléaire en en mètre inverse par tesla</t>
  </si>
  <si>
    <t>hbarev</t>
  </si>
  <si>
    <t>proton Compton wavelength over 2 pi</t>
  </si>
  <si>
    <t xml:space="preserve"> 0.210 308 910 109 e-15</t>
  </si>
  <si>
    <t>0.000 000 000 097 e-15</t>
  </si>
  <si>
    <t xml:space="preserve"> 3.005 062 97 e-10</t>
  </si>
  <si>
    <t>0.000 000 13 e-10</t>
  </si>
  <si>
    <t xml:space="preserve"> 1836.152 673 89</t>
  </si>
  <si>
    <t xml:space="preserve"> 1875.612 859</t>
  </si>
  <si>
    <t>0.000 041</t>
  </si>
  <si>
    <t xml:space="preserve"> 5.585 694 702</t>
  </si>
  <si>
    <t>0.000 000 017</t>
  </si>
  <si>
    <t>hbcmevf</t>
  </si>
  <si>
    <t xml:space="preserve"> 2.013 553 212 712</t>
  </si>
  <si>
    <t>0.000 000 000 077</t>
  </si>
  <si>
    <t xml:space="preserve"> 2.675 221 900 e8</t>
  </si>
  <si>
    <t>0.000 000 018 e8</t>
  </si>
  <si>
    <t>proton gyromag. ratio over 2 pi</t>
  </si>
  <si>
    <t xml:space="preserve"> 42.577 478 92</t>
  </si>
  <si>
    <t xml:space="preserve"> 2.013 553 212 712 e-3</t>
  </si>
  <si>
    <t>0.000 000 000 077 e-3</t>
  </si>
  <si>
    <t xml:space="preserve"> 1.410 606 7873 e-26</t>
  </si>
  <si>
    <t>0.000 000 0097 e-26</t>
  </si>
  <si>
    <t>NuclearMagnetonInKPerT</t>
  </si>
  <si>
    <t>magnéton de Bohr nucléaire en K/T</t>
  </si>
  <si>
    <t>plkl</t>
  </si>
  <si>
    <t xml:space="preserve"> 1.521 032 2053 e-3</t>
  </si>
  <si>
    <t>0.000 000 0046 e-3</t>
  </si>
  <si>
    <t xml:space="preserve"> 0.307 012 2070</t>
  </si>
  <si>
    <t xml:space="preserve"> 2.792 847 3508</t>
  </si>
  <si>
    <t>0.000 000 0085</t>
  </si>
  <si>
    <t xml:space="preserve"> 1.999 007 500 97</t>
  </si>
  <si>
    <t>0.000 000 000 18</t>
  </si>
  <si>
    <t xml:space="preserve"> 2.1424 e-15</t>
  </si>
  <si>
    <t>plkm</t>
  </si>
  <si>
    <t>NuclearMagnetonInMHzPerT</t>
  </si>
  <si>
    <t>Nuclear Magneton In MHz/T</t>
  </si>
  <si>
    <t>magnéton de Bohr nucléaire en MHz/T</t>
  </si>
  <si>
    <t xml:space="preserve"> 25.691 e-6</t>
  </si>
  <si>
    <t>0.011 e-6</t>
  </si>
  <si>
    <t xml:space="preserve"> -1.758 820 088 e11</t>
  </si>
  <si>
    <t>0.000 000 039 e11</t>
  </si>
  <si>
    <t>plkmc2gev</t>
  </si>
  <si>
    <t xml:space="preserve"> 1.672 621 898 e-27</t>
  </si>
  <si>
    <t xml:space="preserve"> -2143.923 498</t>
  </si>
  <si>
    <t>0.000 018</t>
  </si>
  <si>
    <t xml:space="preserve"> 2.724 437 1095 e-4</t>
  </si>
  <si>
    <t>plktmp</t>
  </si>
  <si>
    <t xml:space="preserve"> 1.503 277 593 e-10</t>
  </si>
  <si>
    <t xml:space="preserve"> 938.272 0813</t>
  </si>
  <si>
    <t xml:space="preserve"> -2.002 319 304 361 53</t>
  </si>
  <si>
    <t>0.000 000 000 000 53</t>
  </si>
  <si>
    <t>plkt</t>
  </si>
  <si>
    <t xml:space="preserve"> 1.007 276 466 879</t>
  </si>
  <si>
    <t>0.000 000 000 091</t>
  </si>
  <si>
    <t xml:space="preserve"> 1.760 859 708 e11</t>
  </si>
  <si>
    <t>constante de Planck</t>
  </si>
  <si>
    <t xml:space="preserve"> 28 024.952 66</t>
  </si>
  <si>
    <t>0.000 62</t>
  </si>
  <si>
    <t xml:space="preserve"> 1.007 276 466 879 e-3</t>
  </si>
  <si>
    <t>0.000 000 000 091 e-3</t>
  </si>
  <si>
    <t xml:space="preserve"> 1.819 543 0761 e-4</t>
  </si>
  <si>
    <t>0.000 000 0017 e-4</t>
  </si>
  <si>
    <t xml:space="preserve"> 8.880 243 38</t>
  </si>
  <si>
    <t>esmp</t>
  </si>
  <si>
    <t xml:space="preserve"> -928.476 430 e-26</t>
  </si>
  <si>
    <t>0.000 021 e-26</t>
  </si>
  <si>
    <t>PlanckConstantInEVS</t>
  </si>
  <si>
    <t>Planck Constant In eV/Hz</t>
  </si>
  <si>
    <t>constante de Planck en eV/Hz</t>
  </si>
  <si>
    <t xml:space="preserve"> 0.998 623 478 44</t>
  </si>
  <si>
    <t>pcomwl</t>
  </si>
  <si>
    <t xml:space="preserve"> 0.8751 e-15</t>
  </si>
  <si>
    <t>0.0061 e-15</t>
  </si>
  <si>
    <t>pcomwlbar</t>
  </si>
  <si>
    <t xml:space="preserve"> 0.528 063</t>
  </si>
  <si>
    <t>longueur de Planck</t>
  </si>
  <si>
    <t xml:space="preserve"> 1.159 652 180 76 e-3</t>
  </si>
  <si>
    <t>0.000 000 000 27 e-3</t>
  </si>
  <si>
    <t xml:space="preserve"> 3.636 947 5486 e-4</t>
  </si>
  <si>
    <t xml:space="preserve"> -1.001 159 652 180 76</t>
  </si>
  <si>
    <t>0.000 000 000 000 27</t>
  </si>
  <si>
    <t xml:space="preserve"> 7.273 895 0972 e-4</t>
  </si>
  <si>
    <t>0.000 000 0033 e-4</t>
  </si>
  <si>
    <t>gp</t>
  </si>
  <si>
    <t xml:space="preserve"> -1838.281 970 90</t>
  </si>
  <si>
    <t>0.000 000 75</t>
  </si>
  <si>
    <t xml:space="preserve"> 10 973 731.568 508</t>
  </si>
  <si>
    <t>0.000 065</t>
  </si>
  <si>
    <t>masse de planck</t>
  </si>
  <si>
    <t xml:space="preserve"> 3.289 841 960 355 e15</t>
  </si>
  <si>
    <t>0.000 000 000 019 e15</t>
  </si>
  <si>
    <t>gammap</t>
  </si>
  <si>
    <t xml:space="preserve"> 13.605 693 009</t>
  </si>
  <si>
    <t>0.000 000 084</t>
  </si>
  <si>
    <t>PlanckMassEnergyEquivalentInGeV</t>
  </si>
  <si>
    <t>Planck Mass Energy Equivalent In GeV</t>
  </si>
  <si>
    <t xml:space="preserve"> 2.179 872 325 e-18</t>
  </si>
  <si>
    <t>0.000 000 027 e-18</t>
  </si>
  <si>
    <t>énergie de masse de Planck</t>
  </si>
  <si>
    <t>proton gyromagnetic ratio</t>
  </si>
  <si>
    <t xml:space="preserve"> -1.151 7084</t>
  </si>
  <si>
    <t>0.000 0014</t>
  </si>
  <si>
    <t xml:space="preserve"> -1.164 8714</t>
  </si>
  <si>
    <t>température de Planck</t>
  </si>
  <si>
    <t>gammapbar</t>
  </si>
  <si>
    <t xml:space="preserve"> 8.187 105 06 e-14</t>
  </si>
  <si>
    <t>0.000 000 36 e-14</t>
  </si>
  <si>
    <t xml:space="preserve"> 2.037 894 585 e8</t>
  </si>
  <si>
    <t>0.000 000 027 e8</t>
  </si>
  <si>
    <t xml:space="preserve"> 0.510 998 928</t>
  </si>
  <si>
    <t>shielded helion gyromag. ratio over 2 pi</t>
  </si>
  <si>
    <t xml:space="preserve"> 32.434 099 66</t>
  </si>
  <si>
    <t>0.000 000 43</t>
  </si>
  <si>
    <t xml:space="preserve"> 5.485 799 0946 e-4</t>
  </si>
  <si>
    <t xml:space="preserve"> -1.074 553 080 e-26</t>
  </si>
  <si>
    <t>temps de Planck</t>
  </si>
  <si>
    <t xml:space="preserve"> 5.485 799 0946 e-7</t>
  </si>
  <si>
    <t>0.000 000 0022 e-7</t>
  </si>
  <si>
    <t xml:space="preserve"> -2.127 497 720</t>
  </si>
  <si>
    <t xml:space="preserve"> -0.761 766 5603</t>
  </si>
  <si>
    <t>0.000 000 0092</t>
  </si>
  <si>
    <t xml:space="preserve"> 206.766 9896</t>
  </si>
  <si>
    <t>0.000 0052</t>
  </si>
  <si>
    <t>rapport de la charge à la masse du proton</t>
  </si>
  <si>
    <t xml:space="preserve"> 2.675 153 171 e8</t>
  </si>
  <si>
    <t>0.000 000 033 e8</t>
  </si>
  <si>
    <t xml:space="preserve"> 4.836 331 66 e-3</t>
  </si>
  <si>
    <t>0.000 000 12 e-3</t>
  </si>
  <si>
    <t>proton gyromagnetic ratio over 2 pi</t>
  </si>
  <si>
    <t>shielded proton gyromag. ratio over 2 pi</t>
  </si>
  <si>
    <t xml:space="preserve"> 42.576 385 07</t>
  </si>
  <si>
    <t>0.000 000 53</t>
  </si>
  <si>
    <t xml:space="preserve"> 1.410 570 547 e-26</t>
  </si>
  <si>
    <t>0.000 000 018 e-26</t>
  </si>
  <si>
    <t xml:space="preserve"> 5.438 673 4461 e-4</t>
  </si>
  <si>
    <t>0.000 000 0032 e-4</t>
  </si>
  <si>
    <t>mup</t>
  </si>
  <si>
    <t>longueur d'onde de Compton du proton</t>
  </si>
  <si>
    <t xml:space="preserve"> -658.210 6848</t>
  </si>
  <si>
    <t>0.000 0054</t>
  </si>
  <si>
    <t xml:space="preserve"> 2.792 775 600</t>
  </si>
  <si>
    <t xml:space="preserve"> 5.446 170 2178 e-4</t>
  </si>
  <si>
    <t>proton magnetic moment</t>
  </si>
  <si>
    <t>mpsme</t>
  </si>
  <si>
    <t>rapport de la masse du proton à celle de l'électron</t>
  </si>
  <si>
    <t>mupsmub</t>
  </si>
  <si>
    <t xml:space="preserve"> 1.370 933 555 78 e-4</t>
  </si>
  <si>
    <t>0.000 000 000 55 e-4</t>
  </si>
  <si>
    <t>facteur de Landé du proton</t>
  </si>
  <si>
    <t xml:space="preserve"> 5.670 367 e-8</t>
  </si>
  <si>
    <t>0.000 013 e-8</t>
  </si>
  <si>
    <t>proton magnetic moment to Bohr magneton ratio</t>
  </si>
  <si>
    <t xml:space="preserve"> 0.697 787 e-15</t>
  </si>
  <si>
    <t>0.000 063 e-15</t>
  </si>
  <si>
    <t xml:space="preserve"> 1.819 200 0653 e-4</t>
  </si>
  <si>
    <t>tau Compton wavelength over 2 pi</t>
  </si>
  <si>
    <t xml:space="preserve"> 0.111 056 e-15</t>
  </si>
  <si>
    <t>0.000 010 e-15</t>
  </si>
  <si>
    <t xml:space="preserve"> 3477.15</t>
  </si>
  <si>
    <t>0.31</t>
  </si>
  <si>
    <t xml:space="preserve"> 1.073 544 150 e-9</t>
  </si>
  <si>
    <t>0.000 000 024 e-9</t>
  </si>
  <si>
    <t xml:space="preserve"> 3.167 47 e-27</t>
  </si>
  <si>
    <t>0.000 29 e-27</t>
  </si>
  <si>
    <t xml:space="preserve"> 3.674 932 379 e-2</t>
  </si>
  <si>
    <t>0.000 000 081 e-2</t>
  </si>
  <si>
    <t xml:space="preserve"> 2.846 78 e-10</t>
  </si>
  <si>
    <t>0.000 26 e-10</t>
  </si>
  <si>
    <t xml:space="preserve"> 2.417 989 348 e14</t>
  </si>
  <si>
    <t>0.000 000 053 e14</t>
  </si>
  <si>
    <t>tau mass energy equivalent in MeV</t>
  </si>
  <si>
    <t xml:space="preserve"> 1776.82</t>
  </si>
  <si>
    <t>0.16</t>
  </si>
  <si>
    <t xml:space="preserve"> 1.907 49</t>
  </si>
  <si>
    <t xml:space="preserve"> 8.065 544 29 e5</t>
  </si>
  <si>
    <t>0.000 000 18 e5</t>
  </si>
  <si>
    <t xml:space="preserve"> 1.907 49 e-3</t>
  </si>
  <si>
    <t>0.000 17 e-3</t>
  </si>
  <si>
    <t xml:space="preserve"> 16.8167</t>
  </si>
  <si>
    <t>0.0015</t>
  </si>
  <si>
    <t xml:space="preserve"> 1.160 4519 e4</t>
  </si>
  <si>
    <t>0.000 0011 e4</t>
  </si>
  <si>
    <t xml:space="preserve"> 1.891 11</t>
  </si>
  <si>
    <t xml:space="preserve"> 1.782 661 845 e-36</t>
  </si>
  <si>
    <t>0.000 000 039 e-36</t>
  </si>
  <si>
    <t xml:space="preserve"> 1.893 72</t>
  </si>
  <si>
    <t xml:space="preserve"> 0.665 245 871 58 e-28</t>
  </si>
  <si>
    <t>0.000 000 000 91 e-28</t>
  </si>
  <si>
    <t xml:space="preserve"> 5496.921 535 88</t>
  </si>
  <si>
    <t>0.000 000 26</t>
  </si>
  <si>
    <t xml:space="preserve"> 96 485.3365</t>
  </si>
  <si>
    <t>0.0021</t>
  </si>
  <si>
    <t xml:space="preserve"> 5.957 924 920</t>
  </si>
  <si>
    <t xml:space="preserve"> 96 485.3321</t>
  </si>
  <si>
    <t>0.0043</t>
  </si>
  <si>
    <t xml:space="preserve"> 1.504 609 503 e-26</t>
  </si>
  <si>
    <t>0.000 000 012 e-26</t>
  </si>
  <si>
    <t>mupsmun</t>
  </si>
  <si>
    <t xml:space="preserve"> 1.166 364 e-5</t>
  </si>
  <si>
    <t>0.000 005 e-5</t>
  </si>
  <si>
    <t xml:space="preserve"> 1.622 393 6616 e-3</t>
  </si>
  <si>
    <t>0.000 000 0076 e-3</t>
  </si>
  <si>
    <t xml:space="preserve"> 7.297 352 5698 e-3</t>
  </si>
  <si>
    <t>0.000 000 0024 e-3</t>
  </si>
  <si>
    <t xml:space="preserve"> 2.978 962 460</t>
  </si>
  <si>
    <t xml:space="preserve"> 3.741 771 53 e-16</t>
  </si>
  <si>
    <t>0.000 000 17 e-16</t>
  </si>
  <si>
    <t xml:space="preserve"> 5.007 356 665 e-27</t>
  </si>
  <si>
    <t xml:space="preserve"> 1.191 042 869 e-16</t>
  </si>
  <si>
    <t>0.000 000 053 e-16</t>
  </si>
  <si>
    <t xml:space="preserve"> 4.500 387 735 e-10</t>
  </si>
  <si>
    <t xml:space="preserve"> 2.921 262 3246 e-8</t>
  </si>
  <si>
    <t>0.000 000 0021 e-8</t>
  </si>
  <si>
    <t>proton magnetic moment to nuclear magneton ratio</t>
  </si>
  <si>
    <t xml:space="preserve"> 2808.921 112</t>
  </si>
  <si>
    <t xml:space="preserve"> 3.015 500 716 32</t>
  </si>
  <si>
    <t>rapport gyromagnétique du proton</t>
  </si>
  <si>
    <t xml:space="preserve"> 3.015 500 716 32 e-3</t>
  </si>
  <si>
    <t>0.000 000 000 11 e-3</t>
  </si>
  <si>
    <t>sigmapp</t>
  </si>
  <si>
    <t xml:space="preserve"> 6.579 683 920 729 e15</t>
  </si>
  <si>
    <t>0.000 000 000 033 e15</t>
  </si>
  <si>
    <t xml:space="preserve"> 2.993 717 033 48</t>
  </si>
  <si>
    <t xml:space="preserve"> 2.194 746 313 708 e7</t>
  </si>
  <si>
    <t>0.000 000 000 011 e7</t>
  </si>
  <si>
    <t>proton magnetic shielding correction</t>
  </si>
  <si>
    <t xml:space="preserve"> 25 812.807 4555</t>
  </si>
  <si>
    <t>0.000 0059</t>
  </si>
  <si>
    <t>ProtonGyromagneticRatioOver2Pi</t>
  </si>
  <si>
    <t>rapport gyromagnétique réduit du proton</t>
  </si>
  <si>
    <t xml:space="preserve"> 0.2223</t>
  </si>
  <si>
    <t xml:space="preserve"> 3.157 7504 e5</t>
  </si>
  <si>
    <t>0.000 0029 e5</t>
  </si>
  <si>
    <t xml:space="preserve"> 4.850 869 79 e-35</t>
  </si>
  <si>
    <t>0.000 000 21 e-35</t>
  </si>
  <si>
    <t xml:space="preserve"> 5.878 9238 e10</t>
  </si>
  <si>
    <t>0.000 0034 e10</t>
  </si>
  <si>
    <t xml:space="preserve"> 5495.885 2754</t>
  </si>
  <si>
    <t>0.000 0050</t>
  </si>
  <si>
    <t xml:space="preserve"> 2.897 7729 e-3</t>
  </si>
  <si>
    <t>0.000 0017 e-3</t>
  </si>
  <si>
    <t>moment magnétique du proton</t>
  </si>
  <si>
    <t>mp</t>
  </si>
  <si>
    <t xml:space="preserve"> -4.255 250 613</t>
  </si>
  <si>
    <t xml:space="preserve"> -1.074 617 486 e-26</t>
  </si>
  <si>
    <t>0.000 000 027 e-26</t>
  </si>
  <si>
    <t>mpc2</t>
  </si>
  <si>
    <t>rapport du moment magnétique du proton au magnéton de Bohr électronique</t>
  </si>
  <si>
    <t xml:space="preserve"> -2.127 625 306</t>
  </si>
  <si>
    <t xml:space="preserve"> 5.006 412 34 e-27</t>
  </si>
  <si>
    <t>0.000 000 22 e-27</t>
  </si>
  <si>
    <t>6.644 656 20(33) e-27</t>
  </si>
  <si>
    <t>mpc2mev</t>
  </si>
  <si>
    <t xml:space="preserve"> 4.499 539 02 e-10</t>
  </si>
  <si>
    <t>0.000 000 20 e-10</t>
  </si>
  <si>
    <t xml:space="preserve"> 2808.391 482</t>
  </si>
  <si>
    <t>0.000 062</t>
  </si>
  <si>
    <t>rapport du moment magnétique du proton au magnéton de Bohr nucléaire</t>
  </si>
  <si>
    <t xml:space="preserve"> 3.014 932 2468</t>
  </si>
  <si>
    <t>mpu</t>
  </si>
  <si>
    <t xml:space="preserve"> 3.014 932 2468 e-3</t>
  </si>
  <si>
    <t>5.971 919 17(30) e-10</t>
  </si>
  <si>
    <t xml:space="preserve"> 2.993 152 6707</t>
  </si>
  <si>
    <t xml:space="preserve"> 4.439 821 6689 e-24</t>
  </si>
  <si>
    <t>0.000 000 0031 e-24</t>
  </si>
  <si>
    <t>mmp</t>
  </si>
  <si>
    <t>correction d'écrantage magnétique du proton</t>
  </si>
  <si>
    <t xml:space="preserve"> 4.135 667 516 e-15</t>
  </si>
  <si>
    <t>0.000 000 091 e-15</t>
  </si>
  <si>
    <t>3727.379 109(93)</t>
  </si>
  <si>
    <t xml:space="preserve"> 1.519 829 846 0045 e-16</t>
  </si>
  <si>
    <t>0.000 000 000 0076 e-16</t>
  </si>
  <si>
    <t>arp</t>
  </si>
  <si>
    <t>4.001 506 179 127(62)</t>
  </si>
  <si>
    <t>masse du proton</t>
  </si>
  <si>
    <t xml:space="preserve"> 6.626 069 57 e-34</t>
  </si>
  <si>
    <t>4.001 506 179 127(62) e-3</t>
  </si>
  <si>
    <t>0.000 000 29 e-34</t>
  </si>
  <si>
    <t>kg mol^{-1}</t>
  </si>
  <si>
    <t>[m_p]</t>
  </si>
  <si>
    <t>rp</t>
  </si>
  <si>
    <t xml:space="preserve"> 4.799 2434 e-11</t>
  </si>
  <si>
    <t>0.000 0044 e-11</t>
  </si>
  <si>
    <t>7294.299 5365(31)</t>
  </si>
  <si>
    <t xml:space="preserve"> 7.372 496 68 e-51</t>
  </si>
  <si>
    <t>0.000 000 33 e-51</t>
  </si>
  <si>
    <t>énergie de masse du proton</t>
  </si>
  <si>
    <t xml:space="preserve"> 137.035 999 074</t>
  </si>
  <si>
    <t>0.000 000 044</t>
  </si>
  <si>
    <t>3.972 599 689 51(41)</t>
  </si>
  <si>
    <t xml:space="preserve"> 1.331 025 051 20 e-15</t>
  </si>
  <si>
    <t>0.000 000 000 94 e-15</t>
  </si>
  <si>
    <t>mpsmmu</t>
  </si>
  <si>
    <t>1.000 014 98(90) e-10</t>
  </si>
  <si>
    <t>ProtonMassEnergyEquivalentInMeV</t>
  </si>
  <si>
    <t>Proton Mass Energy Equivalent In MeV</t>
  </si>
  <si>
    <t>énergie de masse du proton en MeV</t>
  </si>
  <si>
    <t xml:space="preserve"> 1.239 841 930 e-6</t>
  </si>
  <si>
    <t>0.000 000 027 e-6</t>
  </si>
  <si>
    <t xml:space="preserve"> 4.556 335 252 755 e-8</t>
  </si>
  <si>
    <t>0.000 000 000 023 e-8</t>
  </si>
  <si>
    <t>1.660 538 782(83) e-27</t>
  </si>
  <si>
    <t>ProtonMassInAtomicMassUnit</t>
  </si>
  <si>
    <t xml:space="preserve"> 1.986 445 684 e-25</t>
  </si>
  <si>
    <t>0.000 000 088 e-25</t>
  </si>
  <si>
    <t>1.492 417 830(74) e-10</t>
  </si>
  <si>
    <t>masse du proton en u</t>
  </si>
  <si>
    <t>mupsmunn</t>
  </si>
  <si>
    <t xml:space="preserve"> 1.438 7770 e-2</t>
  </si>
  <si>
    <t>0.000 0013 e-2</t>
  </si>
  <si>
    <t>931.494 028(23)</t>
  </si>
  <si>
    <t xml:space="preserve"> 2.210 218 902 e-42</t>
  </si>
  <si>
    <t>0.000 000 098 e-42</t>
  </si>
  <si>
    <t>931.494 028(23) e6</t>
  </si>
  <si>
    <t>proton-neutron magnetic moment ratio</t>
  </si>
  <si>
    <t xml:space="preserve"> 12 906.403 7217</t>
  </si>
  <si>
    <t>0.000 0042</t>
  </si>
  <si>
    <t>masse molaire du proton</t>
  </si>
  <si>
    <t>3.423 177 7149(49) e7</t>
  </si>
  <si>
    <t xml:space="preserve"> 483 597.870 e9</t>
  </si>
  <si>
    <t>0.011 e9</t>
  </si>
  <si>
    <t>2.252 342 7369(32) e23</t>
  </si>
  <si>
    <t xml:space="preserve"> 6.700 535 85 e9</t>
  </si>
  <si>
    <t>0.000 000 30 e9</t>
  </si>
  <si>
    <t>mpsmn</t>
  </si>
  <si>
    <t xml:space="preserve"> 6.241 509 34 e18</t>
  </si>
  <si>
    <t>0.000 000 14 e18</t>
  </si>
  <si>
    <t>7.513 006 671(11) e14</t>
  </si>
  <si>
    <t>m^{-1}</t>
  </si>
  <si>
    <t>proton - muon mass ratio</t>
  </si>
  <si>
    <t>rapport de la masse du proton à celle du muon</t>
  </si>
  <si>
    <t xml:space="preserve"> 2.293 712 48 e17</t>
  </si>
  <si>
    <t>0.000 000 10 e17</t>
  </si>
  <si>
    <t>mpsmtau</t>
  </si>
  <si>
    <t xml:space="preserve"> 1.509 190 311 e33</t>
  </si>
  <si>
    <t>0.000 000 067 e33</t>
  </si>
  <si>
    <t>1.080 9527(19) e13</t>
  </si>
  <si>
    <t>proton - neutron magnetic moment ratio</t>
  </si>
  <si>
    <t>rapport du moment magnétique du proton à celui du neutron</t>
  </si>
  <si>
    <t xml:space="preserve"> 5.034 117 01 e24</t>
  </si>
  <si>
    <t>0.000 000 22 e24</t>
  </si>
  <si>
    <t>qucirchs2me</t>
  </si>
  <si>
    <t xml:space="preserve"> 7.242 9716 e22</t>
  </si>
  <si>
    <t>0.000 0066 e22</t>
  </si>
  <si>
    <t>3.206 361 533(81) e-53</t>
  </si>
  <si>
    <t>C^3 m^3 J^{-2}</t>
  </si>
  <si>
    <t>proton - neutron mass ratio</t>
  </si>
  <si>
    <t>rapport de la masse du proton à celle du neutron</t>
  </si>
  <si>
    <t>6.235 380 95(31) e-65</t>
  </si>
  <si>
    <t>C^4 m^4 J^{-3}</t>
  </si>
  <si>
    <t>hsme</t>
  </si>
  <si>
    <t xml:space="preserve"> 9.251 0868 e-14</t>
  </si>
  <si>
    <t>0.000 0084 e-14</t>
  </si>
  <si>
    <t>1.054 571 628(53) e-34</t>
  </si>
  <si>
    <t>1.081 202 300(27) e12</t>
  </si>
  <si>
    <t>C m^{-3}</t>
  </si>
  <si>
    <t>masse atomique relative du proton</t>
  </si>
  <si>
    <t xml:space="preserve"> 3.166 8114 e-6</t>
  </si>
  <si>
    <t>0.000 0029 e-6</t>
  </si>
  <si>
    <t>6.623 617 63(17) e-3</t>
  </si>
  <si>
    <t>8.478 352 81(21) e-30</t>
  </si>
  <si>
    <t>rayon de charge effectif du proton</t>
  </si>
  <si>
    <t>5.142 206 32(13) e11</t>
  </si>
  <si>
    <t>V m^{-1}</t>
  </si>
  <si>
    <t>9.717 361 66(24) e21</t>
  </si>
  <si>
    <t>V m^{-2}</t>
  </si>
  <si>
    <t xml:space="preserve"> 1.536 1790 e-40</t>
  </si>
  <si>
    <t>0.000 0014 e-40</t>
  </si>
  <si>
    <t>1.648 777 2536(34) e-41</t>
  </si>
  <si>
    <t>C^2 m^2 J^{-1}</t>
  </si>
  <si>
    <t>proton - tau mass ratio</t>
  </si>
  <si>
    <t>rapport de la masse du proton à celle du tau</t>
  </si>
  <si>
    <t xml:space="preserve"> 6.022 141 29 e26</t>
  </si>
  <si>
    <t>0.000 000 27 e26</t>
  </si>
  <si>
    <t>27.211 383 86(68)</t>
  </si>
  <si>
    <t xml:space="preserve"> 5.609 588 85 e35</t>
  </si>
  <si>
    <t>0.000 000 12 e35</t>
  </si>
  <si>
    <t>4.486 551 07(11) e-40</t>
  </si>
  <si>
    <t xml:space="preserve"> 2.061 485 968 e34</t>
  </si>
  <si>
    <t>0.000 000 091 e34</t>
  </si>
  <si>
    <t>quantum de circulation</t>
  </si>
  <si>
    <t>4.359 743 94(22) e-18</t>
  </si>
  <si>
    <t xml:space="preserve"> 1.356 392 608 e50</t>
  </si>
  <si>
    <t>0.000 000 060 e50</t>
  </si>
  <si>
    <t>8.238 722 06(41) e-8</t>
  </si>
  <si>
    <t xml:space="preserve"> 4.524 438 73 e41</t>
  </si>
  <si>
    <t>0.000 000 20 e41</t>
  </si>
  <si>
    <t>0.529 177 208 59(36) e-10</t>
  </si>
  <si>
    <t>quantum de circulation multiplié par deux</t>
  </si>
  <si>
    <t>1.854 801 830(46) e-23</t>
  </si>
  <si>
    <t>J T^{-1}</t>
  </si>
  <si>
    <t xml:space="preserve"> 6.509 6582 e39</t>
  </si>
  <si>
    <t>0.000 0059 e39</t>
  </si>
  <si>
    <t>2.350 517 382(59) e5</t>
  </si>
  <si>
    <t>tcomwlbar</t>
  </si>
  <si>
    <t>7.891 036 433(27) e-29</t>
  </si>
  <si>
    <t>J T^{-2}</t>
  </si>
  <si>
    <t>longueur d'onde de Compton réduite</t>
  </si>
  <si>
    <t>ComptonWavelengthOver2Pi</t>
  </si>
  <si>
    <t xml:space="preserve"> 2.651 6462 e25</t>
  </si>
  <si>
    <t>0.000 0024 e25</t>
  </si>
  <si>
    <t>9.109 382 15(45) e-31</t>
  </si>
  <si>
    <t>ryd</t>
  </si>
  <si>
    <t xml:space="preserve"> 2.686 7805 e25</t>
  </si>
  <si>
    <t>1.992 851 565(99) e-24</t>
  </si>
  <si>
    <t>kg m s^{-1}</t>
  </si>
  <si>
    <t>1.112 650 056... e-10</t>
  </si>
  <si>
    <t>F m^{-1}</t>
  </si>
  <si>
    <t>constante de Planck réduite</t>
  </si>
  <si>
    <t>rydchz</t>
  </si>
  <si>
    <t>PlanckConstantOver2Pi</t>
  </si>
  <si>
    <t>2.418 884 326 505(16) e-17</t>
  </si>
  <si>
    <t xml:space="preserve"> 2.067 833 758 e-15</t>
  </si>
  <si>
    <t>[h]</t>
  </si>
  <si>
    <t>0.000 000 046 e-15</t>
  </si>
  <si>
    <t>2.187 691 2541(15) e6</t>
  </si>
  <si>
    <t>m s^{-1}</t>
  </si>
  <si>
    <t xml:space="preserve"> 8.314 4621</t>
  </si>
  <si>
    <t>0.000 0075</t>
  </si>
  <si>
    <t>rydhcev</t>
  </si>
  <si>
    <t>6.022 141 79(30) e23</t>
  </si>
  <si>
    <t>mol^{-1}</t>
  </si>
  <si>
    <t>927.400 915(23) e-26</t>
  </si>
  <si>
    <t>ReducedPlanckConstantInEVS</t>
  </si>
  <si>
    <t>Reduced Planck Constant In eV S</t>
  </si>
  <si>
    <t>rydhcj</t>
  </si>
  <si>
    <t>PlanckConstantOver2PiInEVS</t>
  </si>
  <si>
    <t>13.996 246 04(35) e9</t>
  </si>
  <si>
    <t>Hz T^{-1}</t>
  </si>
  <si>
    <t>0.671 7131(12)</t>
  </si>
  <si>
    <t>K T^{-1}</t>
  </si>
  <si>
    <t xml:space="preserve"> 3.990 312 7176 e-10</t>
  </si>
  <si>
    <t>0.000 000 0028 e-10</t>
  </si>
  <si>
    <t>ReducedPlanckConstantTimesCInMeVFm</t>
  </si>
  <si>
    <t>s0sr</t>
  </si>
  <si>
    <t>Reduced Planck Constant Times C In MeV fm</t>
  </si>
  <si>
    <t>produit de la constante de Planck réduite par la vitesse de la lumière dans le vide</t>
  </si>
  <si>
    <t>5.788 381 7555(79) e-5</t>
  </si>
  <si>
    <t>eV T^{-1}</t>
  </si>
  <si>
    <t xml:space="preserve"> 0.119 626 565 779</t>
  </si>
  <si>
    <t>0.000 000 000 084</t>
  </si>
  <si>
    <t>PlanckConstantOver2PiTimesCInMeVFm</t>
  </si>
  <si>
    <t>46.686 4515(12)</t>
  </si>
  <si>
    <t>m^{-1} T^{-1}</t>
  </si>
  <si>
    <t xml:space="preserve"> 22.710 953 e-3</t>
  </si>
  <si>
    <t>0.000 021 e-3</t>
  </si>
  <si>
    <t>s0srstd</t>
  </si>
  <si>
    <t xml:space="preserve"> 22.413 968 e-3</t>
  </si>
  <si>
    <t>0.000 020 e-3</t>
  </si>
  <si>
    <t>1.380 6504(24) e-23</t>
  </si>
  <si>
    <t>J K^{-1}</t>
  </si>
  <si>
    <t>longueur d'onde de Compton réduite du proton</t>
  </si>
  <si>
    <t xml:space="preserve"> 12.058 833 01 e-6</t>
  </si>
  <si>
    <t>0.000 000 80 e-6</t>
  </si>
  <si>
    <t>2.083 6644(36) e10</t>
  </si>
  <si>
    <t>Sackur-Tetrode constant (p0 = 100 kPa)</t>
  </si>
  <si>
    <t>Hz K^{-1}</t>
  </si>
  <si>
    <t>ProtonComptonWavelengthOver2Pi</t>
  </si>
  <si>
    <t>Sackur-Tetrode constant (p0 = 101 325 Pa)</t>
  </si>
  <si>
    <t>8.617 343(15) e-5</t>
  </si>
  <si>
    <t>eV K^{-1}</t>
  </si>
  <si>
    <t xml:space="preserve"> 11.734 441 03 e-15</t>
  </si>
  <si>
    <t>0.000 000 30 e-15</t>
  </si>
  <si>
    <t xml:space="preserve"> 1.867 594 294 e-15</t>
  </si>
  <si>
    <t>0.000 000 047 e-15</t>
  </si>
  <si>
    <t xml:space="preserve"> 206.768 2843</t>
  </si>
  <si>
    <t>c22ndrc</t>
  </si>
  <si>
    <t xml:space="preserve"> -4.490 448 07 e-26</t>
  </si>
  <si>
    <t>0.000 000 15 e-26</t>
  </si>
  <si>
    <t>gammahp</t>
  </si>
  <si>
    <t xml:space="preserve"> 1.165 920 91 e-3</t>
  </si>
  <si>
    <t xml:space="preserve"> -4.841 970 44 e-3</t>
  </si>
  <si>
    <t xml:space="preserve"> -8.890 596 97</t>
  </si>
  <si>
    <t>0.000 000 22</t>
  </si>
  <si>
    <t xml:space="preserve"> 1.883 531 475 e-28</t>
  </si>
  <si>
    <t>0.000 000 096 e-28</t>
  </si>
  <si>
    <t>shielded helion gyromagnetic ratio</t>
  </si>
  <si>
    <t xml:space="preserve"> 1.692 833 667 e-11</t>
  </si>
  <si>
    <t>0.000 000 086 e-11</t>
  </si>
  <si>
    <t xml:space="preserve"> 105.658 3715</t>
  </si>
  <si>
    <t>0.000 0035</t>
  </si>
  <si>
    <t>gammahpbar</t>
  </si>
  <si>
    <t xml:space="preserve"> 0.113 428 9267</t>
  </si>
  <si>
    <t>0.000 000 0029</t>
  </si>
  <si>
    <t xml:space="preserve"> 0.113 428 9267 e-3</t>
  </si>
  <si>
    <t>0.000 000 0029 e-3</t>
  </si>
  <si>
    <t>69.503 56(12)</t>
  </si>
  <si>
    <t>m^{-1} K^{-1}</t>
  </si>
  <si>
    <t xml:space="preserve"> 0.112 454 5177</t>
  </si>
  <si>
    <t>0.000 000 0028</t>
  </si>
  <si>
    <t>376.730 313 461...</t>
  </si>
  <si>
    <t>longueur d'onde de Compton réduite du neutron</t>
  </si>
  <si>
    <t xml:space="preserve"> -3.183 345 107</t>
  </si>
  <si>
    <t>shielded helion gyromagnetic ratio over 2 pi</t>
  </si>
  <si>
    <t>2.817 940 2894(58) e-15</t>
  </si>
  <si>
    <t>NeutronComptonWavelengthOver2Pi</t>
  </si>
  <si>
    <t xml:space="preserve"> 0.112 609 5272</t>
  </si>
  <si>
    <t>2.426 310 2175(33) e-12</t>
  </si>
  <si>
    <t>muhp</t>
  </si>
  <si>
    <t>386.159 264 59(53) e-15</t>
  </si>
  <si>
    <t>constante de Rydberg</t>
  </si>
  <si>
    <t>7.748 091 7004(53) e-5</t>
  </si>
  <si>
    <t>shielded helion magnetic moment</t>
  </si>
  <si>
    <t>Hz V^{-1}</t>
  </si>
  <si>
    <t xml:space="preserve"> 6.582 119 28 e-16</t>
  </si>
  <si>
    <t>0.000 000 15 e-16</t>
  </si>
  <si>
    <t>RydbergConstantTimesCInHz</t>
  </si>
  <si>
    <t>produit de la constante de Rydberg par la vitesse de la lumière dans le vide en Hz</t>
  </si>
  <si>
    <t>1.002 076 99(28) e-13</t>
  </si>
  <si>
    <t>0.857 438 2308(72)</t>
  </si>
  <si>
    <t>muhpsmub</t>
  </si>
  <si>
    <t>0.433 073 465(11) e-26</t>
  </si>
  <si>
    <t>RydbergConstantTimesHcInEV</t>
  </si>
  <si>
    <t>Rydberg Constant Times Hc In eV</t>
  </si>
  <si>
    <t>produit de la constante de Rydberg par la constante de Planck et par la vitesse de la lumière dans le vide en eV</t>
  </si>
  <si>
    <t>shielded helion magnetic moment to Bohr magneton ratio</t>
  </si>
  <si>
    <t>0.466 975 4556(39) e-3</t>
  </si>
  <si>
    <t xml:space="preserve"> 2.730 924 29 e-22</t>
  </si>
  <si>
    <t>0.000 000 12 e-22</t>
  </si>
  <si>
    <t>muhpsmun</t>
  </si>
  <si>
    <t>RydbergConstantTimesHcInJ</t>
  </si>
  <si>
    <t>3.343 583 20(17) e-27</t>
  </si>
  <si>
    <t>produit de la constante de Rydberg par la constante de Planck et par la vitesse de la lumière dans le vide en J</t>
  </si>
  <si>
    <t>3.005 062 72(15) e-10</t>
  </si>
  <si>
    <t xml:space="preserve"> 1.288 088 668 33 e-21</t>
  </si>
  <si>
    <t>0.000 000 000 83 e-21</t>
  </si>
  <si>
    <t>shielded helion magnetic moment to nuclear magneton ratio</t>
  </si>
  <si>
    <t>1875.612 793(47)</t>
  </si>
  <si>
    <t>2.013 553 212 724(78)</t>
  </si>
  <si>
    <t>Constante de Sackur-Tetrode  (1 K, 100 kPa)</t>
  </si>
  <si>
    <t>muhpsmup</t>
  </si>
  <si>
    <t>SackurTetrodeConstant1K100KPa</t>
  </si>
  <si>
    <t xml:space="preserve"> 1.319 590 9068 e-15</t>
  </si>
  <si>
    <t>0.000 000 0011 e-15</t>
  </si>
  <si>
    <t>2.013 553 212 724(78) e-3</t>
  </si>
  <si>
    <t xml:space="preserve"> 0.210 019 415 68 e-15</t>
  </si>
  <si>
    <t>0.000 000 000 17 e-15</t>
  </si>
  <si>
    <t>2.1402(28) e-15</t>
  </si>
  <si>
    <t>shielded helion to proton magnetic moment ratio</t>
  </si>
  <si>
    <t>-4.664 345 537(39) e-4</t>
  </si>
  <si>
    <t xml:space="preserve"> 1838.683 6605</t>
  </si>
  <si>
    <t>3670.482 9654(16)</t>
  </si>
  <si>
    <t>muhpsmupp</t>
  </si>
  <si>
    <t>-0.448 206 52(11)</t>
  </si>
  <si>
    <t xml:space="preserve"> 1.832 471 79 e8</t>
  </si>
  <si>
    <t>0.307 012 2070(24)</t>
  </si>
  <si>
    <t>shielded helion to shielded proton magnetic moment ratio</t>
  </si>
  <si>
    <t xml:space="preserve"> 29.164 6943</t>
  </si>
  <si>
    <t>1.999 007 501 08(22)</t>
  </si>
  <si>
    <t xml:space="preserve"> -0.966 236 47 e-26</t>
  </si>
  <si>
    <t>gammapp</t>
  </si>
  <si>
    <t>8.854 187 817... e-12</t>
  </si>
  <si>
    <t>SackurTetrodeConstant1K101KPa</t>
  </si>
  <si>
    <t>Sackur-Tetrode Constant (1 K, 101.325 KPa)</t>
  </si>
  <si>
    <t>Constante de Sackur-Tetrode (1 K, 101.325 kPa)</t>
  </si>
  <si>
    <t>-1.758 820 150(44) e11</t>
  </si>
  <si>
    <t>C kg^{-1}</t>
  </si>
  <si>
    <t xml:space="preserve"> -1.913 042 72</t>
  </si>
  <si>
    <t>shielded proton gyromagnetic ratio</t>
  </si>
  <si>
    <t xml:space="preserve"> 1.674 927 351 e-27</t>
  </si>
  <si>
    <t>0.000 000 074 e-27</t>
  </si>
  <si>
    <t>SackurTetrodeConstant1K101dot325KPa</t>
  </si>
  <si>
    <t>-2.002 319 304 3622(15)</t>
  </si>
  <si>
    <t xml:space="preserve"> 1.505 349 631 e-10</t>
  </si>
  <si>
    <t>1.760 859 770(44) e11</t>
  </si>
  <si>
    <t>s^{-1} T^{-1}</t>
  </si>
  <si>
    <t xml:space="preserve"> 939.565 379</t>
  </si>
  <si>
    <t>gammappbar</t>
  </si>
  <si>
    <t xml:space="preserve"> 1.008 664 916 00</t>
  </si>
  <si>
    <t>0.000 000 000 43</t>
  </si>
  <si>
    <t>28 024.953 64(70)</t>
  </si>
  <si>
    <t>MHz T^{-1}</t>
  </si>
  <si>
    <t>seconde constante radiative</t>
  </si>
  <si>
    <t xml:space="preserve"> 1.008 664 916 00 e-3</t>
  </si>
  <si>
    <t>0.000 000 000 43 e-3</t>
  </si>
  <si>
    <t>-928.476 377(23) e-26</t>
  </si>
  <si>
    <t xml:space="preserve"> 8.892 484 00</t>
  </si>
  <si>
    <t>rapport gyromagnétique de l'hélion écranté</t>
  </si>
  <si>
    <t xml:space="preserve"> 2.305 573 92 e-30</t>
  </si>
  <si>
    <t>0.000 000 76 e-30</t>
  </si>
  <si>
    <t>1.159 652 181 11(74) e-3</t>
  </si>
  <si>
    <t xml:space="preserve"> 2.072 146 50 e-13</t>
  </si>
  <si>
    <t>0.000 000 68 e-13</t>
  </si>
  <si>
    <t>ShieldedHelionGyromagneticRatioOver2Pi</t>
  </si>
  <si>
    <t>-1.001 159 652 181 11(74)</t>
  </si>
  <si>
    <t>rapport gyromagnétique réduit de l'hélion écranté</t>
  </si>
  <si>
    <t xml:space="preserve"> 1.293 332 17</t>
  </si>
  <si>
    <t>0.000 000 42</t>
  </si>
  <si>
    <t>shielded proton gyromagnetic ratio over 2 pi</t>
  </si>
  <si>
    <t>-1838.281 970 92(80)</t>
  </si>
  <si>
    <t xml:space="preserve"> 0.001 388 449 19</t>
  </si>
  <si>
    <t>mupp</t>
  </si>
  <si>
    <t xml:space="preserve"> 1.001 378 419 17</t>
  </si>
  <si>
    <t>8.187 104 38(41) e-14</t>
  </si>
  <si>
    <t>moment magnétique de l'hélion écranté</t>
  </si>
  <si>
    <t>0.510 998 910(13)</t>
  </si>
  <si>
    <t>shielded proton magnetic moment</t>
  </si>
  <si>
    <t>5.485 799 0943(23) e-4</t>
  </si>
  <si>
    <t>rapport du moment magnétique de l'hélion écranté au magnéton de Bohr électronique</t>
  </si>
  <si>
    <t>5.485 799 0943(23) e-7</t>
  </si>
  <si>
    <t>muppsmub</t>
  </si>
  <si>
    <t xml:space="preserve"> 6.673 84 e-11</t>
  </si>
  <si>
    <t>0.000 80 e-11</t>
  </si>
  <si>
    <t>1.370 933 555 70(58) e-4</t>
  </si>
  <si>
    <t>rapport du moment magnétique de l'hélion écranté au magnéton de Bohr nucléaire</t>
  </si>
  <si>
    <t xml:space="preserve"> 6.708 37 e-39</t>
  </si>
  <si>
    <t>0.000 80 e-39</t>
  </si>
  <si>
    <t>shielded proton magnetic moment to Bohr magneton ratio</t>
  </si>
  <si>
    <t xml:space="preserve"> 5.050 783 53 e-27</t>
  </si>
  <si>
    <t>0.000 000 11 e-27</t>
  </si>
  <si>
    <t xml:space="preserve"> 3.152 451 2605 e-8</t>
  </si>
  <si>
    <t>0.000 000 0022 e-8</t>
  </si>
  <si>
    <t>muppsmun</t>
  </si>
  <si>
    <t>rapport du moment magnétique de l'hélion écranté à celui du proton</t>
  </si>
  <si>
    <t xml:space="preserve"> 2.542 623 527 e-2</t>
  </si>
  <si>
    <t>0.000 000 056 e-2</t>
  </si>
  <si>
    <t>shielded proton magnetic moment to nuclear magneton ratio</t>
  </si>
  <si>
    <t xml:space="preserve"> 3.658 2682 e-4</t>
  </si>
  <si>
    <t>0.000 0033 e-4</t>
  </si>
  <si>
    <t xml:space="preserve"> 7.622 593 57</t>
  </si>
  <si>
    <t>rapport du moment magnétique de l'hélion écranté à celui du proton écranté</t>
  </si>
  <si>
    <t>864.058 257(10)</t>
  </si>
  <si>
    <t>sdp</t>
  </si>
  <si>
    <t>-658.227 5971(72)</t>
  </si>
  <si>
    <t>stp</t>
  </si>
  <si>
    <t>1.602 176 487(40) e-19</t>
  </si>
  <si>
    <t>rapport gyromagnétique du proton écranté</t>
  </si>
  <si>
    <t>1.073 544 188(27) e-9</t>
  </si>
  <si>
    <t>c</t>
  </si>
  <si>
    <t xml:space="preserve"> 197.326 9718</t>
  </si>
  <si>
    <t>0.000 0044</t>
  </si>
  <si>
    <t>gn</t>
  </si>
  <si>
    <t>ShieldedProtonGyromagneticRatioOver2Pi</t>
  </si>
  <si>
    <t>Shielded Proton Gyromagnetic Ratio In MHz/T</t>
  </si>
  <si>
    <t>shielded proton gyromagnetic ratio in MHz/T</t>
  </si>
  <si>
    <t>rapport gyromagnétique du proton écranté en MHz/T</t>
  </si>
  <si>
    <t xml:space="preserve"> 1.616 199 e-35</t>
  </si>
  <si>
    <t>0.000 097 e-35</t>
  </si>
  <si>
    <t xml:space="preserve"> 2.176 51 e-8</t>
  </si>
  <si>
    <t>0.000 13 e-8</t>
  </si>
  <si>
    <t>stdatm</t>
  </si>
  <si>
    <t xml:space="preserve"> 1.220 932 e19</t>
  </si>
  <si>
    <t>0.000 073 e19</t>
  </si>
  <si>
    <t>3.674 932 540(92) e-2</t>
  </si>
  <si>
    <t xml:space="preserve"> 1.416 833 e32</t>
  </si>
  <si>
    <t>0.000 085 e32</t>
  </si>
  <si>
    <t xml:space="preserve"> 5.391 06 e-44</t>
  </si>
  <si>
    <t>0.000 32 e-44</t>
  </si>
  <si>
    <t>moment magnétique du proton écranté</t>
  </si>
  <si>
    <t xml:space="preserve"> 9.578 833 58 e7</t>
  </si>
  <si>
    <t>0.000 000 21 e7</t>
  </si>
  <si>
    <t>stdspr</t>
  </si>
  <si>
    <t xml:space="preserve"> 1.321 409 856 23 e-15</t>
  </si>
  <si>
    <t xml:space="preserve"> 0.210 308 910 47 e-15</t>
  </si>
  <si>
    <t>0.000 000 000 15 e-15</t>
  </si>
  <si>
    <t xml:space="preserve"> 1836.152 672 45</t>
  </si>
  <si>
    <t>2.417 989 454(60) e14</t>
  </si>
  <si>
    <t>sigma</t>
  </si>
  <si>
    <t xml:space="preserve"> 5.585 694 713</t>
  </si>
  <si>
    <t>0.000 000 046</t>
  </si>
  <si>
    <t>rapport du moment magnétique du proton écranté au magnéton de Bohr électronique</t>
  </si>
  <si>
    <t xml:space="preserve"> 2.675 222 005 e8</t>
  </si>
  <si>
    <t>0.000 000 063 e8</t>
  </si>
  <si>
    <t xml:space="preserve"> 42.577 4806</t>
  </si>
  <si>
    <t>rapport du moment magnétique du proton écranté au magnéton de Bohr nucléaire</t>
  </si>
  <si>
    <t>tcomwl</t>
  </si>
  <si>
    <t xml:space="preserve"> 1.410 606 743 e-26</t>
  </si>
  <si>
    <t>0.000 000 033 e-26</t>
  </si>
  <si>
    <t xml:space="preserve"> 1.521 032 210 e-3</t>
  </si>
  <si>
    <t>0.000 000 012 e-3</t>
  </si>
  <si>
    <t>8.065 544 65(20) e5</t>
  </si>
  <si>
    <t xml:space="preserve"> 2.792 847 356</t>
  </si>
  <si>
    <t>différence de blindage entre d et p dans HD</t>
  </si>
  <si>
    <t>0.000 000 023</t>
  </si>
  <si>
    <t xml:space="preserve"> 25.694 e-6</t>
  </si>
  <si>
    <t>0.014 e-6</t>
  </si>
  <si>
    <t>mtauc2mev</t>
  </si>
  <si>
    <t xml:space="preserve"> 1.672 621 777 e-27</t>
  </si>
  <si>
    <t>1.160 4505(20) e4</t>
  </si>
  <si>
    <t xml:space="preserve"> 1.503 277 484 e-10</t>
  </si>
  <si>
    <t>mtau</t>
  </si>
  <si>
    <t xml:space="preserve"> 938.272 046</t>
  </si>
  <si>
    <t>différence de blindage entre t et p dans HD</t>
  </si>
  <si>
    <t xml:space="preserve"> 1.007 276 466 812</t>
  </si>
  <si>
    <t>0.000 000 000 090</t>
  </si>
  <si>
    <t>1.782 661 758(44) e-36</t>
  </si>
  <si>
    <t xml:space="preserve"> 1.007 276 466 812 e-3</t>
  </si>
  <si>
    <t>0.000 000 000 090 e-3</t>
  </si>
  <si>
    <t>mtauc2</t>
  </si>
  <si>
    <t>-2143.923 498(18)</t>
  </si>
  <si>
    <t xml:space="preserve"> 8.880 243 31</t>
  </si>
  <si>
    <t>2.724 437 1093(12) e-4</t>
  </si>
  <si>
    <t>vitesse de la lumière dans le vide</t>
  </si>
  <si>
    <t xml:space="preserve"> -1.459 898 06</t>
  </si>
  <si>
    <t>SpeedOfLight_Vacuum</t>
  </si>
  <si>
    <t>[c]</t>
  </si>
  <si>
    <t xml:space="preserve"> 0.998 623 478 26</t>
  </si>
  <si>
    <t xml:space="preserve"> 0.8775 e-15</t>
  </si>
  <si>
    <t>0.0051 e-15</t>
  </si>
  <si>
    <t>mtauu</t>
  </si>
  <si>
    <t>accélération de la gravité standard</t>
  </si>
  <si>
    <t xml:space="preserve"> 3.636 947 5520 e-4</t>
  </si>
  <si>
    <t>0.000 000 0024 e-4</t>
  </si>
  <si>
    <t>[g]</t>
  </si>
  <si>
    <t>mmtau</t>
  </si>
  <si>
    <t xml:space="preserve"> 7.273 895 1040 e-4</t>
  </si>
  <si>
    <t>0.000 000 0047 e-4</t>
  </si>
  <si>
    <t xml:space="preserve"> 10 973 731.568 539</t>
  </si>
  <si>
    <t>0.000 055</t>
  </si>
  <si>
    <t>mtausme</t>
  </si>
  <si>
    <t>atmosphere standard</t>
  </si>
  <si>
    <t xml:space="preserve"> 3.289 841 960 364 e15</t>
  </si>
  <si>
    <t>0.000 000 000 017 e15</t>
  </si>
  <si>
    <t>atm</t>
  </si>
  <si>
    <t xml:space="preserve"> 13.605 692 53</t>
  </si>
  <si>
    <t>0.000 000 30</t>
  </si>
  <si>
    <t xml:space="preserve"> 2.179 872 171 e-18</t>
  </si>
  <si>
    <t>0.000 000 096 e-18</t>
  </si>
  <si>
    <t>mtausmmu</t>
  </si>
  <si>
    <t xml:space="preserve"> -1.151 7078</t>
  </si>
  <si>
    <t>pression de l'état standard</t>
  </si>
  <si>
    <t xml:space="preserve"> -1.164 8708</t>
  </si>
  <si>
    <t>mtausmn</t>
  </si>
  <si>
    <t xml:space="preserve"> 2.037 894 659 e8</t>
  </si>
  <si>
    <t>0.000 000 051 e8</t>
  </si>
  <si>
    <t>constante de Stefan-Boltzmann</t>
  </si>
  <si>
    <t>mtausmp</t>
  </si>
  <si>
    <t xml:space="preserve"> 32.434 100 84</t>
  </si>
  <si>
    <t>0.000 000 81</t>
  </si>
  <si>
    <t xml:space="preserve"> -1.074 553 044 e-26</t>
  </si>
  <si>
    <t>sigmae</t>
  </si>
  <si>
    <t xml:space="preserve"> -2.127 497 718</t>
  </si>
  <si>
    <t>longueur d'onde de compton du tau</t>
  </si>
  <si>
    <t xml:space="preserve"> -0.761 766 558</t>
  </si>
  <si>
    <t>gtn</t>
  </si>
  <si>
    <t xml:space="preserve"> 2.675 153 268 e8</t>
  </si>
  <si>
    <t>0.000 000 066 e8</t>
  </si>
  <si>
    <t xml:space="preserve"> 42.576 3866</t>
  </si>
  <si>
    <t>mut</t>
  </si>
  <si>
    <t>206.766 9877(52)</t>
  </si>
  <si>
    <t xml:space="preserve"> 1.410 570 499 e-26</t>
  </si>
  <si>
    <t>0.000 000 035 e-26</t>
  </si>
  <si>
    <t>triton magnetic moment</t>
  </si>
  <si>
    <t>4.836 331 71(12) e-3</t>
  </si>
  <si>
    <t xml:space="preserve"> 2.792 775 598</t>
  </si>
  <si>
    <t>960.920 50(23)</t>
  </si>
  <si>
    <t>mutsmub</t>
  </si>
  <si>
    <t>longueur d'onde de Compton réduite du tau</t>
  </si>
  <si>
    <t>TauComptonWavelengthOver2Pi</t>
  </si>
  <si>
    <t>triton magnetic moment to Bohr magneton ratio</t>
  </si>
  <si>
    <t xml:space="preserve"> 5.670 373 e-8</t>
  </si>
  <si>
    <t>0.000 021 e-8</t>
  </si>
  <si>
    <t>mutsmun</t>
  </si>
  <si>
    <t>tau - electron mass ratio</t>
  </si>
  <si>
    <t>rapport de la masse du tau à celle de l'électron</t>
  </si>
  <si>
    <t>triton magnetic moment to nuclear magneton ratio</t>
  </si>
  <si>
    <t>masse du tau</t>
  </si>
  <si>
    <t>mt</t>
  </si>
  <si>
    <t>énergie de masse du tau</t>
  </si>
  <si>
    <t>mtc2</t>
  </si>
  <si>
    <t>5.438 673 4459(33) e-4</t>
  </si>
  <si>
    <t>TauMassEnergyEquivalentInMeV</t>
  </si>
  <si>
    <t>Tau Mass Energy Equivalent In MeV</t>
  </si>
  <si>
    <t>énergie de masse du tau en MeV</t>
  </si>
  <si>
    <t>mtc2mev</t>
  </si>
  <si>
    <t>-658.210 6848(54)</t>
  </si>
  <si>
    <t>mtu</t>
  </si>
  <si>
    <t>5.446 170 2177(24) e-4</t>
  </si>
  <si>
    <t>TauMassInAtomicMassUnit</t>
  </si>
  <si>
    <t>masse du tau en u</t>
  </si>
  <si>
    <t>2.875 64(47) e-4</t>
  </si>
  <si>
    <t>mmt</t>
  </si>
  <si>
    <t>A J^{-1}</t>
  </si>
  <si>
    <t>art</t>
  </si>
  <si>
    <t>masse molaire du tau</t>
  </si>
  <si>
    <t>96 485.3399(24)</t>
  </si>
  <si>
    <t>C mol^{-1}</t>
  </si>
  <si>
    <t>mutsmup</t>
  </si>
  <si>
    <t>tau - muon mass ratio</t>
  </si>
  <si>
    <t>rapport de la masse du tau à celle du muon</t>
  </si>
  <si>
    <t>96 485.3401(48)</t>
  </si>
  <si>
    <t>C_{90} mol^{-1}</t>
  </si>
  <si>
    <t>triton to proton magnetic moment ratio</t>
  </si>
  <si>
    <t>1.166 37(1) e-5</t>
  </si>
  <si>
    <t>GeV^{-2}</t>
  </si>
  <si>
    <t>tau - neutron mass ratio</t>
  </si>
  <si>
    <t xml:space="preserve"> 0.665 245 8734 e-28</t>
  </si>
  <si>
    <t>0.000 000 0013 e-28</t>
  </si>
  <si>
    <t>triton-electron magnetic moment ratio</t>
  </si>
  <si>
    <t>mutsmuem</t>
  </si>
  <si>
    <t>rapport de la masse du tau à celle du neutron</t>
  </si>
  <si>
    <t>7.297 352 5376(50) e-3</t>
  </si>
  <si>
    <t xml:space="preserve"> 5496.921 5267</t>
  </si>
  <si>
    <t>3.741 771 18(19) e-16</t>
  </si>
  <si>
    <t>W m^{2}</t>
  </si>
  <si>
    <t>mtsme</t>
  </si>
  <si>
    <t xml:space="preserve"> 5.957 924 896</t>
  </si>
  <si>
    <t>0.000 000 076</t>
  </si>
  <si>
    <t>1.191 042 759(59) e-16</t>
  </si>
  <si>
    <t>W m^{2} sr^{-1}</t>
  </si>
  <si>
    <t xml:space="preserve"> 1.504 609 447 e-26</t>
  </si>
  <si>
    <t>0.000 000 038 e-26</t>
  </si>
  <si>
    <t>tau - proton mass ratio</t>
  </si>
  <si>
    <t>rapport de la masse du tau à celle du proton</t>
  </si>
  <si>
    <t xml:space="preserve"> 1.622 393 657 e-3</t>
  </si>
  <si>
    <t>0.000 000 021 e-3</t>
  </si>
  <si>
    <t xml:space="preserve"> 2.978 962 448</t>
  </si>
  <si>
    <t>0.000 000 038</t>
  </si>
  <si>
    <t>triton-neutron magnetic moment ratio</t>
  </si>
  <si>
    <t>mutsmunn</t>
  </si>
  <si>
    <t xml:space="preserve"> 5.007 356 30 e-27</t>
  </si>
  <si>
    <t>2.921 262 2986(42) e-8</t>
  </si>
  <si>
    <t xml:space="preserve"> 4.500 387 41 e-10</t>
  </si>
  <si>
    <t>mtsmp</t>
  </si>
  <si>
    <t xml:space="preserve"> 2808.921 005</t>
  </si>
  <si>
    <t>section efficace de Thomson</t>
  </si>
  <si>
    <t>ukg</t>
  </si>
  <si>
    <t>6.579 683 920 722(44) e15</t>
  </si>
  <si>
    <t xml:space="preserve"> 3.015 500 7134</t>
  </si>
  <si>
    <t>triton - electron magnetic moment ratio</t>
  </si>
  <si>
    <t>2.194 746 313 705(15) e7</t>
  </si>
  <si>
    <t>rapport du moment magnétique du triton à celui de l'électron</t>
  </si>
  <si>
    <t/>
  </si>
  <si>
    <t xml:space="preserve"> 3.015 500 7134 e-3</t>
  </si>
  <si>
    <t xml:space="preserve"> 2.993 717 0308</t>
  </si>
  <si>
    <t>triton - electron mass ratio</t>
  </si>
  <si>
    <t>rapport de la masse du triton à celle de l'électron</t>
  </si>
  <si>
    <t>3.157 7465(55) e5</t>
  </si>
  <si>
    <t xml:space="preserve"> 25 812.807 4434</t>
  </si>
  <si>
    <t>0.000 0084</t>
  </si>
  <si>
    <t>rk</t>
  </si>
  <si>
    <t>facteur de Landé du triton</t>
  </si>
  <si>
    <t>4.850 869 34(24) e-35</t>
  </si>
  <si>
    <t xml:space="preserve"> 5.878 9254 e10</t>
  </si>
  <si>
    <t>0.000 0053 e10</t>
  </si>
  <si>
    <t>rmwmz</t>
  </si>
  <si>
    <t>5.006 411 92(25) e-27</t>
  </si>
  <si>
    <t xml:space="preserve"> 2.897 7721 e-3</t>
  </si>
  <si>
    <t>0.000 0026 e-3</t>
  </si>
  <si>
    <t>moment magnétique du triton</t>
  </si>
  <si>
    <t>sin2th</t>
  </si>
  <si>
    <t>Wien displacement law constant</t>
  </si>
  <si>
    <t>bwien</t>
  </si>
  <si>
    <t>bpwien</t>
  </si>
  <si>
    <t>6.644 6565(11) e-27</t>
  </si>
  <si>
    <t>4.499 538 64(22) e-10</t>
  </si>
  <si>
    <t>5.971 9194(10) e-10</t>
  </si>
  <si>
    <t>2808.391 383(70)</t>
  </si>
  <si>
    <t>rapport du moment magnétique du triton au magnéton de Bohr électronique</t>
  </si>
  <si>
    <t>3727.379 17(32)</t>
  </si>
  <si>
    <t>3.014 932 2473(26)</t>
  </si>
  <si>
    <t>4.001 506 179 149(56)</t>
  </si>
  <si>
    <t>3.014 932 2473(26) e-3</t>
  </si>
  <si>
    <t>rapport du moment magnétique du triton au magnéton de Bohr nucléaire</t>
  </si>
  <si>
    <t>6.644 655 98(52) e-27</t>
  </si>
  <si>
    <t>4.001 506 179 149(56) e-3</t>
  </si>
  <si>
    <t>7294.299 5363(32)</t>
  </si>
  <si>
    <t>3.972 599 689 07(52)</t>
  </si>
  <si>
    <t>masse du triton</t>
  </si>
  <si>
    <t>1.000 015 09(90) e-10</t>
  </si>
  <si>
    <t>1.660 538 86(28) e-27</t>
  </si>
  <si>
    <t>1.492 417 90(26) e-10</t>
  </si>
  <si>
    <t>énergie de masse du triton</t>
  </si>
  <si>
    <t>5495.885 2765(52)</t>
  </si>
  <si>
    <t>931.494 043(80)</t>
  </si>
  <si>
    <t>931.494 043(80) e6</t>
  </si>
  <si>
    <t>5.971 918 97(47) e-10</t>
  </si>
  <si>
    <t>3.423 177 686(23) e7</t>
  </si>
  <si>
    <t>3 727.379 04(15)</t>
  </si>
  <si>
    <t>2.993 152 6713(26)</t>
  </si>
  <si>
    <t>TritonMassEnergyEquivalentInMeV</t>
  </si>
  <si>
    <t>Triton Mass Energy Equivalent In MeV</t>
  </si>
  <si>
    <t>énergie de masse du triton en MeV</t>
  </si>
  <si>
    <t>2.252 342 718(15) e23</t>
  </si>
  <si>
    <t>4.439 821 6294(64) e-24</t>
  </si>
  <si>
    <t>4.001 506 1747(10)</t>
  </si>
  <si>
    <t>7.513 006 608(50) e14</t>
  </si>
  <si>
    <t>4.135 667 33(10) e-15</t>
  </si>
  <si>
    <t>4.001 506 1747(10) e-3</t>
  </si>
  <si>
    <t>TritonMassInAtomicMassUnit</t>
  </si>
  <si>
    <t>1.519 829 846 006(10) e-16</t>
  </si>
  <si>
    <t>masse du triton en u</t>
  </si>
  <si>
    <t>7 294.299 508(16)</t>
  </si>
  <si>
    <t>3.335 640 951... e-9</t>
  </si>
  <si>
    <t>3.972 599 6846(11)</t>
  </si>
  <si>
    <t>1.000 015 01(90) e-10</t>
  </si>
  <si>
    <t>masse molaire du triton</t>
  </si>
  <si>
    <t>1.660 538 73(13) e-27</t>
  </si>
  <si>
    <t>3.206 361 51(28) e-53</t>
  </si>
  <si>
    <t>6.235 3808(11) e-65</t>
  </si>
  <si>
    <t>1.492 417 78(12) e-10</t>
  </si>
  <si>
    <t>triton - neutron magnetic moment ratio</t>
  </si>
  <si>
    <t>rapport du moment magnétique du triton à celui du neutron</t>
  </si>
  <si>
    <t>1.054 571 68(18) e-34</t>
  </si>
  <si>
    <t>931.494 013(37)</t>
  </si>
  <si>
    <t>1.081 202 317(93) e12</t>
  </si>
  <si>
    <t>931.494 013(37) e6</t>
  </si>
  <si>
    <t>3.423 177 709(26) e7</t>
  </si>
  <si>
    <t>6.623 617 82(57) e-3</t>
  </si>
  <si>
    <t>6.626 068 96(33) e-34</t>
  </si>
  <si>
    <t>triton - proton mass ratio</t>
  </si>
  <si>
    <t>rapport de la masse du triton à celle du proton</t>
  </si>
  <si>
    <t>8.478 353 09(73) e-30</t>
  </si>
  <si>
    <t>2.252 342 733(17) e23</t>
  </si>
  <si>
    <t>5.142 206 42(44) e11</t>
  </si>
  <si>
    <t>4.799 2374(84) e-11</t>
  </si>
  <si>
    <t>7.513 006 658(57) e14</t>
  </si>
  <si>
    <t>9.717 361 82(83) e21</t>
  </si>
  <si>
    <t>7.372 496 00(37) e-51</t>
  </si>
  <si>
    <t>1.648 777 274(16) e-41</t>
  </si>
  <si>
    <t>masse atomique relative du triton</t>
  </si>
  <si>
    <t>137.035 999 679(94)</t>
  </si>
  <si>
    <t>1.080 9528(19) e13</t>
  </si>
  <si>
    <t>27.211 3845(23)</t>
  </si>
  <si>
    <t>4.486 551 24(39) e-40</t>
  </si>
  <si>
    <t>rapport du moment magnétique du triton à celui du proton</t>
  </si>
  <si>
    <t>3.206 361 57(14) e-53</t>
  </si>
  <si>
    <t>6.235 381 12(51) e-65</t>
  </si>
  <si>
    <t>4.359 744 17(75) e-18</t>
  </si>
  <si>
    <t>unité de masse atomique unifiée</t>
  </si>
  <si>
    <t>1.054 571 596(82) e-34</t>
  </si>
  <si>
    <t>1.081 202 285(43) e12</t>
  </si>
  <si>
    <t>6.623 617 53(26) e-3</t>
  </si>
  <si>
    <t>1.331 025 0394(19) e-15</t>
  </si>
  <si>
    <t>permittivité électrique du vide</t>
  </si>
  <si>
    <t>8.478 352 67(33) e-30</t>
  </si>
  <si>
    <t>[eps_0]</t>
  </si>
  <si>
    <t>1.239 841 875(31) e-6</t>
  </si>
  <si>
    <t>5.142 206 24(20) e11</t>
  </si>
  <si>
    <t>4.556 335 252 760(30) e-8</t>
  </si>
  <si>
    <t>vacuum magnetic permeability</t>
  </si>
  <si>
    <t>perméabilité magnétique du vide</t>
  </si>
  <si>
    <t>8.238 7225(14) e-8</t>
  </si>
  <si>
    <t>9.717 361 53(39) e21</t>
  </si>
  <si>
    <t>[mu_0]</t>
  </si>
  <si>
    <t>1.648 777 251(18) e-41</t>
  </si>
  <si>
    <t>0.529 177 2108(18) e-10</t>
  </si>
  <si>
    <t>1.986 445 501(99) e-25</t>
  </si>
  <si>
    <t>Von Klitzing constant</t>
  </si>
  <si>
    <t>constante de Von Klitzing</t>
  </si>
  <si>
    <t>1.854 801 90(16) e-23</t>
  </si>
  <si>
    <t>1.438 7752(25) e-2</t>
  </si>
  <si>
    <t>2.210 218 70(11) e-42</t>
  </si>
  <si>
    <t>2.350 517 42(20) e5</t>
  </si>
  <si>
    <t>27.211 3834(11)</t>
  </si>
  <si>
    <t>7.891 036 60(13) e-29</t>
  </si>
  <si>
    <t>4.486 551 00(18) e-40</t>
  </si>
  <si>
    <t>4.359 743 81(34) e-18</t>
  </si>
  <si>
    <t>8.238 721 81(64) e-8</t>
  </si>
  <si>
    <t>0.529 177 2083(19) e-10</t>
  </si>
  <si>
    <t>1.854 801 799(75) e-23</t>
  </si>
  <si>
    <t>2.350 517 349(94) e5</t>
  </si>
  <si>
    <t>7.891 036 41(14) e-29</t>
  </si>
  <si>
    <t>12 906.403 7787(88)</t>
  </si>
  <si>
    <t>9.109 381 88(72) e-31</t>
  </si>
  <si>
    <t>1.992 851 51(16) e-24</t>
  </si>
  <si>
    <t>2.418 884 326 500(18) e-17</t>
  </si>
  <si>
    <t>483 597.891(12) e9</t>
  </si>
  <si>
    <t>l'angle de mélange faible</t>
  </si>
  <si>
    <t>2.187 691 2529(80) e6</t>
  </si>
  <si>
    <t>6.700 536 41(33) e9</t>
  </si>
  <si>
    <t>6.022 141 99(47) e23</t>
  </si>
  <si>
    <t>9.109 3826(16) e-31</t>
  </si>
  <si>
    <t>constante de Wien de décalage en fréquence</t>
  </si>
  <si>
    <t>1.992 851 66(34) e-24</t>
  </si>
  <si>
    <t>927.400 899(37) e-26</t>
  </si>
  <si>
    <t>13.996 246 24(56) e9</t>
  </si>
  <si>
    <t>constante de Wien de décalage en longueur d'onde</t>
  </si>
  <si>
    <t>2.187 691 2633(73) e6</t>
  </si>
  <si>
    <t>rapport de la masse de W à la masse de Z</t>
  </si>
  <si>
    <t>5.788 381 749(43) e-5</t>
  </si>
  <si>
    <t>6.022 1415(10) e23</t>
  </si>
  <si>
    <t>46.686 4521(19)</t>
  </si>
  <si>
    <t>927.400 949(80) e-26</t>
  </si>
  <si>
    <t>1.380 6503(24) e-23</t>
  </si>
  <si>
    <t>8.617 342(15) e-5</t>
  </si>
  <si>
    <t>13.996 2458(12) e9</t>
  </si>
  <si>
    <t>2.817 940 285(31) e-15</t>
  </si>
  <si>
    <t>2.426 310 215(18) e-12</t>
  </si>
  <si>
    <t>6.241 509 65(16) e18</t>
  </si>
  <si>
    <t>386.159 2642(28) e-15</t>
  </si>
  <si>
    <t>5.788 381 804(39) e-5</t>
  </si>
  <si>
    <t>7.748 091 696(28) e-5</t>
  </si>
  <si>
    <t>2.293 712 69(11) e17</t>
  </si>
  <si>
    <t>46.686 4507(40)</t>
  </si>
  <si>
    <t>483 597 900 000 000.0</t>
  </si>
  <si>
    <t>GHz V^{-1}</t>
  </si>
  <si>
    <t>1.509 190 450(75) e33</t>
  </si>
  <si>
    <t>1.002 077 03(28) e-13</t>
  </si>
  <si>
    <t>0.433 073 457(18) e-26</t>
  </si>
  <si>
    <t>0.466 975 4556(50) e-3</t>
  </si>
  <si>
    <t>5.034 117 47(25) e24</t>
  </si>
  <si>
    <t>7.242 963(13) e22</t>
  </si>
  <si>
    <t>0.857 438 2284(94)</t>
  </si>
  <si>
    <t>3.343 583 09(26) e-27</t>
  </si>
  <si>
    <t>2.817 940 325(28) e-15</t>
  </si>
  <si>
    <t>2.426 310 238(16) e-12</t>
  </si>
  <si>
    <t>386.159 2678(26) e-15</t>
  </si>
  <si>
    <t>3.005 062 62(24) e-10</t>
  </si>
  <si>
    <t>7.748 091 733(26) e-5</t>
  </si>
  <si>
    <t>1 875.612 762(75)</t>
  </si>
  <si>
    <t>1.002 077 10(29) e-13</t>
  </si>
  <si>
    <t>0.433 073 482(38) e-26</t>
  </si>
  <si>
    <t>2.013 553 212 71(35)</t>
  </si>
  <si>
    <t>0.466 975 4567(50) e-3</t>
  </si>
  <si>
    <t>0.857 438 2329(92)</t>
  </si>
  <si>
    <t>3.343 583 35(57) e-27</t>
  </si>
  <si>
    <t>2.013 553 212 71(35) e-3</t>
  </si>
  <si>
    <t>3.005 062 85(51) e-10</t>
  </si>
  <si>
    <t>-4.664 345 537(50) e-4</t>
  </si>
  <si>
    <t>1875.612 82(16)</t>
  </si>
  <si>
    <t>2.013 553 212 70(35)</t>
  </si>
  <si>
    <t>3 670.482 9550(78)</t>
  </si>
  <si>
    <t>2.013 553 212 70(35) e-3</t>
  </si>
  <si>
    <t>2.1394(28) e-15</t>
  </si>
  <si>
    <t>-4.664 345 548(50) e-4</t>
  </si>
  <si>
    <t>0.307 012 2083(45)</t>
  </si>
  <si>
    <t>3670.482 9652(18)</t>
  </si>
  <si>
    <t>1.999 007 500 83(41)</t>
  </si>
  <si>
    <t>0.307 012 2084(45)</t>
  </si>
  <si>
    <t>1.999 007 500 82(41)</t>
  </si>
  <si>
    <t>-1.758 820 174(71) e11</t>
  </si>
  <si>
    <t>-1.758 820 12(15) e11</t>
  </si>
  <si>
    <t>1.112 650 056... e-17</t>
  </si>
  <si>
    <t>-2.002 319 304 3737(82)</t>
  </si>
  <si>
    <t>-2.002 319 304 3718(75)</t>
  </si>
  <si>
    <t>1.760 859 74(15) e11</t>
  </si>
  <si>
    <t>1.760 859 794(71) e11</t>
  </si>
  <si>
    <t>9.251 098(16) e-14</t>
  </si>
  <si>
    <t>28 024.9532(24)</t>
  </si>
  <si>
    <t>28 024.9540(11)</t>
  </si>
  <si>
    <t>-928.476 411(80) e-26</t>
  </si>
  <si>
    <t>-928.476 362(37) e-26</t>
  </si>
  <si>
    <t>1.159 652 1859(38) e-3</t>
  </si>
  <si>
    <t>1.159 652 1869(41) e-3</t>
  </si>
  <si>
    <t>-1.001 159 652 1859(38)</t>
  </si>
  <si>
    <t>3.166 8153(55) e-6</t>
  </si>
  <si>
    <t>-1838.281 971 07(85)</t>
  </si>
  <si>
    <t>-1.001 159 652 1869(41)</t>
  </si>
  <si>
    <t>-1 838.281 9660(39)</t>
  </si>
  <si>
    <t>8.187 1047(14) e-14</t>
  </si>
  <si>
    <t>0.510 998 918(44)</t>
  </si>
  <si>
    <t>8.187 104 14(64) e-14</t>
  </si>
  <si>
    <t>5.485 799 0945(24) e-4</t>
  </si>
  <si>
    <t>0.510 998 902(21)</t>
  </si>
  <si>
    <t>5.485 799 0945(24) e-7</t>
  </si>
  <si>
    <t>1.536 1807(27) e-40</t>
  </si>
  <si>
    <t>1.370 933 555 75(61) e-4</t>
  </si>
  <si>
    <t>5.485 799 110(12) e-4</t>
  </si>
  <si>
    <t>6.022 141 79(30) e26</t>
  </si>
  <si>
    <t>864.058 255(10)</t>
  </si>
  <si>
    <t>5.485 799 110(12) e-7</t>
  </si>
  <si>
    <t>-658.227 5956(71)</t>
  </si>
  <si>
    <t>5.609 589 12(14) e35</t>
  </si>
  <si>
    <t>1.370 933 5611(29) e-4</t>
  </si>
  <si>
    <t>1.602 176 53(14) e-19</t>
  </si>
  <si>
    <t>1.073 544 171(92) e-9</t>
  </si>
  <si>
    <t>3.674 932 45(31) e-2</t>
  </si>
  <si>
    <t>2.061 486 16(10) e34</t>
  </si>
  <si>
    <t>2.417 989 40(21) e14</t>
  </si>
  <si>
    <t>8.065 544 45(69) e5</t>
  </si>
  <si>
    <t>1.356 392 733(68) e50</t>
  </si>
  <si>
    <t>4.524 439 15(23) e41</t>
  </si>
  <si>
    <t>1.782 661 81(15) e-36</t>
  </si>
  <si>
    <t>8.987 551 787... e16</t>
  </si>
  <si>
    <t>-2143.923 493(23)</t>
  </si>
  <si>
    <t>6.509 651(11) e39</t>
  </si>
  <si>
    <t>2.724 437 1095(13) e-4</t>
  </si>
  <si>
    <t>206.766 9894(54)</t>
  </si>
  <si>
    <t>543.102 064(14) e-12</t>
  </si>
  <si>
    <t>4.836 331 67(13) e-3</t>
  </si>
  <si>
    <t>- 658.227 5954(71)</t>
  </si>
  <si>
    <t>192.015 5762(50) e-12</t>
  </si>
  <si>
    <t>1.602 176 462(63) e-19</t>
  </si>
  <si>
    <t>5.438 673 4481(38) e-4</t>
  </si>
  <si>
    <t>2.686 7774(47) e25</t>
  </si>
  <si>
    <t>m^{-3}</t>
  </si>
  <si>
    <t>-658.210 6862(66)</t>
  </si>
  <si>
    <t>5.446 170 2173(25) e-4</t>
  </si>
  <si>
    <t>12.566 370 614... e-7</t>
  </si>
  <si>
    <t>N A^{-2}</t>
  </si>
  <si>
    <t>1.073 544 206(43) e-9</t>
  </si>
  <si>
    <t>2.067 833 667(52) e-15</t>
  </si>
  <si>
    <t>1.002 099 55(53) e-13</t>
  </si>
  <si>
    <t>3.674 932 60(14) e-2</t>
  </si>
  <si>
    <t>96 485.3383(83)</t>
  </si>
  <si>
    <t>3.990 312 6821(57) e-10</t>
  </si>
  <si>
    <t>J s mol^{-1}</t>
  </si>
  <si>
    <t>96 485.336(16)</t>
  </si>
  <si>
    <t>2.417 989 491(95) e14</t>
  </si>
  <si>
    <t>0.119 626 564 72(17)</t>
  </si>
  <si>
    <t>J m mol^{-1}</t>
  </si>
  <si>
    <t>1.166 39(1) e-5</t>
  </si>
  <si>
    <t>8.065 544 77(32) e5</t>
  </si>
  <si>
    <t>7.297 352 568(24) e-3</t>
  </si>
  <si>
    <t>8.314 472(15)</t>
  </si>
  <si>
    <t>J mol^{-1} K^{-1}</t>
  </si>
  <si>
    <t>3.741 771 38(64) e-16</t>
  </si>
  <si>
    <t>1 e-3</t>
  </si>
  <si>
    <t>1.191 042 82(20) e-16</t>
  </si>
  <si>
    <t>12 e-3</t>
  </si>
  <si>
    <t>22.710 981(40) e-3</t>
  </si>
  <si>
    <t>m^{3} mol^{-1}</t>
  </si>
  <si>
    <t>1.160 4506(20) e4</t>
  </si>
  <si>
    <t>22.413 996(39) e-3</t>
  </si>
  <si>
    <t>2.921 262 323(19) e-8</t>
  </si>
  <si>
    <t>1.782 661 731(70) e-36</t>
  </si>
  <si>
    <t>12.058 8349(11) e-6</t>
  </si>
  <si>
    <t>-2 143.923 498(23)</t>
  </si>
  <si>
    <t>6.579 683 920 721(44) e15</t>
  </si>
  <si>
    <t>11.734 441 04(30) e-15</t>
  </si>
  <si>
    <t>2.724 437 1170(58) e-4</t>
  </si>
  <si>
    <t>1.867 594 295(47) e-15</t>
  </si>
  <si>
    <t>-2.002 331 8414(12)</t>
  </si>
  <si>
    <t>-4.490 447 86(16) e-26</t>
  </si>
  <si>
    <t>206.766 9720(63)</t>
  </si>
  <si>
    <t>4.850 869 60(83) e-35</t>
  </si>
  <si>
    <t>1.165 920 69(60) e-3</t>
  </si>
  <si>
    <t>4.836 332 10(15) e-3</t>
  </si>
  <si>
    <t>-4.841 970 49(12) e-3</t>
  </si>
  <si>
    <t>5.006 412 14(86) e-27</t>
  </si>
  <si>
    <t>-8.890 597 05(23)</t>
  </si>
  <si>
    <t>4.499 538 84(77) e-10</t>
  </si>
  <si>
    <t>1.883 531 30(11) e-28</t>
  </si>
  <si>
    <t>2808.391 42(24)</t>
  </si>
  <si>
    <t>1.692 833 510(95) e-11</t>
  </si>
  <si>
    <t>5.438 673 462(12) e-4</t>
  </si>
  <si>
    <t>105.658 3668(38)</t>
  </si>
  <si>
    <t>3.014 932 2434(58)</t>
  </si>
  <si>
    <t>- 658.210 6875(66)</t>
  </si>
  <si>
    <t>0.113 428 9256(29)</t>
  </si>
  <si>
    <t>3.014 932 2434(58) e-3</t>
  </si>
  <si>
    <t>0.113 428 9256(29) e-3</t>
  </si>
  <si>
    <t>5.446 170 232(12) e-4</t>
  </si>
  <si>
    <t>5495.885 269(11)</t>
  </si>
  <si>
    <t>206.768 2823(52)</t>
  </si>
  <si>
    <t>2.875 55(47) e-4</t>
  </si>
  <si>
    <t>2.993 152 6671(58)</t>
  </si>
  <si>
    <t>0.112 454 5167(29)</t>
  </si>
  <si>
    <t>-3.183 345 137(85)</t>
  </si>
  <si>
    <t>4.439 821 667(30) e-24</t>
  </si>
  <si>
    <t>0.112 609 5261(29)</t>
  </si>
  <si>
    <t>4.135 667 43(35) e-15</t>
  </si>
  <si>
    <t>5.945 92(97) e-2</t>
  </si>
  <si>
    <t>96 485.3415(39)</t>
  </si>
  <si>
    <t>6.582 118 99(16) e-16</t>
  </si>
  <si>
    <t>96 485.3432(76)</t>
  </si>
  <si>
    <t>6.626 0693(11) e-34</t>
  </si>
  <si>
    <t>7.372 4964(13) e-51</t>
  </si>
  <si>
    <t>7.297 352 533(27) e-3</t>
  </si>
  <si>
    <t>137.035 999 11(46)</t>
  </si>
  <si>
    <t>2.730 924 06(14) e-22</t>
  </si>
  <si>
    <t>1.331 025 0506(89) e-15</t>
  </si>
  <si>
    <t>1.288 088 6570(18) e-21</t>
  </si>
  <si>
    <t>1.239 841 91(11) e-6</t>
  </si>
  <si>
    <t>3.741 771 07(29) e-16</t>
  </si>
  <si>
    <t>1.319 590 8951(20) e-15</t>
  </si>
  <si>
    <t>0.210 019 413 82(31) e-15</t>
  </si>
  <si>
    <t>1.191 042 722(93) e-16</t>
  </si>
  <si>
    <t>-3.826 085 45(90)</t>
  </si>
  <si>
    <t>1.986 445 61(34) e-25</t>
  </si>
  <si>
    <t>1.832 471 85(43) e8</t>
  </si>
  <si>
    <t>29.164 6954(69)</t>
  </si>
  <si>
    <t>-0.966 236 41(23) e-26</t>
  </si>
  <si>
    <t>2.210 218 81(38) e-42</t>
  </si>
  <si>
    <t>-1.041 875 63(25) e-3</t>
  </si>
  <si>
    <t>12 906.403 725(43)</t>
  </si>
  <si>
    <t>-1.913 042 73(45)</t>
  </si>
  <si>
    <t>2.921 262 304(22) e-8</t>
  </si>
  <si>
    <t>483 597.879(41) e9</t>
  </si>
  <si>
    <t>1.674 927 211(84) e-27</t>
  </si>
  <si>
    <t>6.700 5361(11) e9</t>
  </si>
  <si>
    <t>1.505 349 505(75) e-10</t>
  </si>
  <si>
    <t>6.241 509 47(53) e18</t>
  </si>
  <si>
    <t>939.565 346(23)</t>
  </si>
  <si>
    <t>2.293 712 57(39) e17</t>
  </si>
  <si>
    <t>1.008 664 915 97(43)</t>
  </si>
  <si>
    <t>1.008 664 915 97(43) e-3</t>
  </si>
  <si>
    <t>6.579 683 920 735(50) e15</t>
  </si>
  <si>
    <t>-0.684 996 94(16)</t>
  </si>
  <si>
    <t>2.194 746 313 710(17) e7</t>
  </si>
  <si>
    <t>1.040 668 82(25) e-3</t>
  </si>
  <si>
    <t>1838.683 6605(11)</t>
  </si>
  <si>
    <t>4.850 869 19(38) e-35</t>
  </si>
  <si>
    <t>1.509 190 37(26) e33</t>
  </si>
  <si>
    <t>5.006 411 74(39) e-27</t>
  </si>
  <si>
    <t>5.034 117 21(86) e24</t>
  </si>
  <si>
    <t>4.499 538 48(35) e-10</t>
  </si>
  <si>
    <t>8.892 484 09(23)</t>
  </si>
  <si>
    <t>2 808.391 32(11)</t>
  </si>
  <si>
    <t>-0.684 979 34(16)</t>
  </si>
  <si>
    <t>3.014 932 234 69(86)</t>
  </si>
  <si>
    <t>1.001 378 419 18(46)</t>
  </si>
  <si>
    <t>0.528 740(86)</t>
  </si>
  <si>
    <t>3.014 932 234 69(86) e-3</t>
  </si>
  <si>
    <t>6.674 28(67) e-11</t>
  </si>
  <si>
    <t>m^3 kg^{-1} s^{-2}</t>
  </si>
  <si>
    <t>5 495.885 238(12)</t>
  </si>
  <si>
    <t>6.708 81(67) e-39</t>
  </si>
  <si>
    <t>(GeV/c^2)^{-2}</t>
  </si>
  <si>
    <t>2.993 152 658 50(93)</t>
  </si>
  <si>
    <t>5.050 783 24(13) e-27</t>
  </si>
  <si>
    <t>4.439 821 637(34) e-24</t>
  </si>
  <si>
    <t>4.135 667 27(16) e-15</t>
  </si>
  <si>
    <t>3.658 2637(64) e-4</t>
  </si>
  <si>
    <t>1.519 829 846 003(12) e-16</t>
  </si>
  <si>
    <t>7.622 593 84(19)</t>
  </si>
  <si>
    <t>3.335 640 952 e-9</t>
  </si>
  <si>
    <t>3.152 451 2326(45) e-8</t>
  </si>
  <si>
    <t>1.536 1808(27) e-40</t>
  </si>
  <si>
    <t>6.022 1415(10) e26</t>
  </si>
  <si>
    <t>6.626 068 76(52) e-34</t>
  </si>
  <si>
    <t>2.542 623 616(64) e-2</t>
  </si>
  <si>
    <t>5.609 588 96(48) e35</t>
  </si>
  <si>
    <t>2.061 486 05(35) e34</t>
  </si>
  <si>
    <t>7.372 495 78(58) e-51</t>
  </si>
  <si>
    <t>1.356 392 66(23) e50</t>
  </si>
  <si>
    <t>137.035 999 76(50)</t>
  </si>
  <si>
    <t>4.524 438 91(77) e41</t>
  </si>
  <si>
    <t>1.331 025 042(10) e-15</t>
  </si>
  <si>
    <t>197.326 9631(49)</t>
  </si>
  <si>
    <t>1.239 841 857(49) e-6</t>
  </si>
  <si>
    <t>6.509 650(11) e39</t>
  </si>
  <si>
    <t>1.616 252(81) e-35</t>
  </si>
  <si>
    <t>543.102 122(20) e-12</t>
  </si>
  <si>
    <t>4.556 335 252 750(35) e-8</t>
  </si>
  <si>
    <t>2.176 44(11) e-8</t>
  </si>
  <si>
    <t>1.220 892(61) e19</t>
  </si>
  <si>
    <t>192.015 5965(70) e-12</t>
  </si>
  <si>
    <t>2.686 7773(47) e25</t>
  </si>
  <si>
    <t>1.416 785(71) e32</t>
  </si>
  <si>
    <t>5.391 24(27) e-44</t>
  </si>
  <si>
    <t>1.986 445 44(16) e-25</t>
  </si>
  <si>
    <t>2.067 833 72(18) e-15</t>
  </si>
  <si>
    <t>1.321 409 8446(19) e-15</t>
  </si>
  <si>
    <t>1.002 099 66(53) e-13</t>
  </si>
  <si>
    <t>0.210 308 908 61(30) e-15</t>
  </si>
  <si>
    <t>2.210 218 63(17) e-42</t>
  </si>
  <si>
    <t>3.990 312 716(27) e-10</t>
  </si>
  <si>
    <t>9.578 833 92(24) e7</t>
  </si>
  <si>
    <t>0.119 626 565 72(80)</t>
  </si>
  <si>
    <t>5.585 694 713(46)</t>
  </si>
  <si>
    <t>12 906.403 786(47)</t>
  </si>
  <si>
    <t>483 597.898(19) e9</t>
  </si>
  <si>
    <t>2.675 222 099(70) e8</t>
  </si>
  <si>
    <t>6.700 536 62(53) e9</t>
  </si>
  <si>
    <t>6.241 509 74(24) e18</t>
  </si>
  <si>
    <t>2.293 712 76(18) e17</t>
  </si>
  <si>
    <t>1.509 190 50(12) e33</t>
  </si>
  <si>
    <t>42.577 4821(11)</t>
  </si>
  <si>
    <t>12.058 8382(24) e-6</t>
  </si>
  <si>
    <t>1.410 606 662(37) e-26</t>
  </si>
  <si>
    <t>5.034 117 62(39) e24</t>
  </si>
  <si>
    <t>11.734 441 05(30) e-15</t>
  </si>
  <si>
    <t>1.521 032 209(12) e-3</t>
  </si>
  <si>
    <t>7.242 964(13) e22</t>
  </si>
  <si>
    <t>2.792 847 356(23)</t>
  </si>
  <si>
    <t>1.867 594 298(47) e-15</t>
  </si>
  <si>
    <t>25.694(14) e-6</t>
  </si>
  <si>
    <t>-2.002 331 8396(12)</t>
  </si>
  <si>
    <t>1.672 621 637(83) e-27</t>
  </si>
  <si>
    <t>-4.490 447 99(40) e-26</t>
  </si>
  <si>
    <t>1.503 277 359(75) e-10</t>
  </si>
  <si>
    <t>1.165 919 81(62) e-3</t>
  </si>
  <si>
    <t>938.272 013(23)</t>
  </si>
  <si>
    <t>-4.841 970 45(13) e-3</t>
  </si>
  <si>
    <t>1.007 276 466 77(10)</t>
  </si>
  <si>
    <t>-8.890 596 98(23)</t>
  </si>
  <si>
    <t>1.007 276 466 77(10) e-3</t>
  </si>
  <si>
    <t>1.883 531 40(33) e-28</t>
  </si>
  <si>
    <t>1.692 833 60(29) e-11</t>
  </si>
  <si>
    <t>0.8768(69) e-15</t>
  </si>
  <si>
    <t>105.658 3692(94)</t>
  </si>
  <si>
    <t>1836.152 672 47(80)</t>
  </si>
  <si>
    <t>0.113 428 9264(30)</t>
  </si>
  <si>
    <t>8.880 243 39(23)</t>
  </si>
  <si>
    <t>-1.459 898 06(34)</t>
  </si>
  <si>
    <t>0.113 428 9264(30) e-3</t>
  </si>
  <si>
    <t>0.998 623 478 24(46)</t>
  </si>
  <si>
    <t>206.768 2838(54)</t>
  </si>
  <si>
    <t>6.022 141 99(47) e26</t>
  </si>
  <si>
    <t>0.528 012(86)</t>
  </si>
  <si>
    <t>0.112 454 5175(29)</t>
  </si>
  <si>
    <t>5.609 589 21(22) e35</t>
  </si>
  <si>
    <t>3.636 947 5199(50) e-4</t>
  </si>
  <si>
    <t>m^2 s^{-1}</t>
  </si>
  <si>
    <t>-3.183 345 118(89)</t>
  </si>
  <si>
    <t>7.273 895 040(10) e-4</t>
  </si>
  <si>
    <t>2.061 486 22(16) e34</t>
  </si>
  <si>
    <t>0.112 609 5269(29)</t>
  </si>
  <si>
    <t>10 973 731.568 527(73)</t>
  </si>
  <si>
    <t>1.356 392 77(11) e50</t>
  </si>
  <si>
    <t>3.289 841 960 361(22) e15</t>
  </si>
  <si>
    <t>2.179 871 97(11) e-18</t>
  </si>
  <si>
    <t>13.605 691 93(34)</t>
  </si>
  <si>
    <t>4.524 439 29(35) e41</t>
  </si>
  <si>
    <t>-1.151 7047(44)</t>
  </si>
  <si>
    <t>6.582 119 15(56) e-16</t>
  </si>
  <si>
    <t>-1.164 8677(44)</t>
  </si>
  <si>
    <t>2.037 894 730(56) e8</t>
  </si>
  <si>
    <t>543.102 088(16) e-12</t>
  </si>
  <si>
    <t>32.434 101 98(90)</t>
  </si>
  <si>
    <t>192.015 5845(56) e-12</t>
  </si>
  <si>
    <t>-1.074 552 982(30) e-26</t>
  </si>
  <si>
    <t>2.730 924 19(47) e-22</t>
  </si>
  <si>
    <t>2.686 7775(47) e25</t>
  </si>
  <si>
    <t>-1.158 671 471(14) e-3</t>
  </si>
  <si>
    <t>-2.127 497 718(25)</t>
  </si>
  <si>
    <t>1 256 637.061 435 917...</t>
  </si>
  <si>
    <t>-0.761 766 558(11)</t>
  </si>
  <si>
    <t>1.288 088 6677(86) e-21</t>
  </si>
  <si>
    <t>2.067 833 636(81) e-15</t>
  </si>
  <si>
    <t>-0.761 786 1313(33)</t>
  </si>
  <si>
    <t>1.002 099 59(53) e-13</t>
  </si>
  <si>
    <t>2.675 153 362(73) e8</t>
  </si>
  <si>
    <t>1.319 590 9067(88) e-15</t>
  </si>
  <si>
    <t>3.990 312 689(30) e-10</t>
  </si>
  <si>
    <t>42.576 3881(12)</t>
  </si>
  <si>
    <t>0.210 019 4157(14) e-15</t>
  </si>
  <si>
    <t>1.410 570 419(38) e-26</t>
  </si>
  <si>
    <t>-3.826 085 46(90)</t>
  </si>
  <si>
    <t>0.119 626 564 92(91)</t>
  </si>
  <si>
    <t>1.520 993 128(17) e-3</t>
  </si>
  <si>
    <t>1.832 471 83(46) e8</t>
  </si>
  <si>
    <t>2.792 775 598(30)</t>
  </si>
  <si>
    <t>29.164 6950(73)</t>
  </si>
  <si>
    <t>-0.966 236 45(24) e-26</t>
  </si>
  <si>
    <t>m s^{-2}</t>
  </si>
  <si>
    <t>5.670 400(40) e-8</t>
  </si>
  <si>
    <t>W m^{-2} K^{-4}</t>
  </si>
  <si>
    <t>1.674 927 28(29) e-27</t>
  </si>
  <si>
    <t>0.697 72(11) e-15</t>
  </si>
  <si>
    <t>12.058 8369(14) e-6</t>
  </si>
  <si>
    <t>m^{3}mol^{-1}</t>
  </si>
  <si>
    <t>0.111 046(18) e-15</t>
  </si>
  <si>
    <t>11.734 441 97(35) e-15</t>
  </si>
  <si>
    <t>1.505 349 57(26) e-10</t>
  </si>
  <si>
    <t>1776.99(29)</t>
  </si>
  <si>
    <t>1.867 594 444(55) e-15</t>
  </si>
  <si>
    <t>939.565 360(81)</t>
  </si>
  <si>
    <t>3.167 77(52) e-27</t>
  </si>
  <si>
    <t>-2.002 331 8320(13)</t>
  </si>
  <si>
    <t>1.008 664 915 60(55)</t>
  </si>
  <si>
    <t>2.847 05(46) e-10</t>
  </si>
  <si>
    <t>-4.490 448 13(22) e-26</t>
  </si>
  <si>
    <t>1.008 664 915 60(55) e-3</t>
  </si>
  <si>
    <t>1.907 68(31)</t>
  </si>
  <si>
    <t>1.165 916 02(64) e-3</t>
  </si>
  <si>
    <t>1.907 68(31) e-3</t>
  </si>
  <si>
    <t>-4.841 970 85(15) e-3</t>
  </si>
  <si>
    <t>-8.890 597 70(27)</t>
  </si>
  <si>
    <t>3477.48(57)</t>
  </si>
  <si>
    <t>1838.683 6598(13)</t>
  </si>
  <si>
    <t>1.883 531 09(16) e-28</t>
  </si>
  <si>
    <t>8.892 484 02(23)</t>
  </si>
  <si>
    <t>1.692 833 32(14) e-11</t>
  </si>
  <si>
    <t>16.8183(27)</t>
  </si>
  <si>
    <t>105.658 3568(52)</t>
  </si>
  <si>
    <t>1.891 29(31)</t>
  </si>
  <si>
    <t>1.001 378 418 70(58)</t>
  </si>
  <si>
    <t>0.113 428 9168(34)</t>
  </si>
  <si>
    <t>1.893 90(31)</t>
  </si>
  <si>
    <t>0.665 245 8558(27) e-28</t>
  </si>
  <si>
    <t>6.6742(10) e-11</t>
  </si>
  <si>
    <t>5.957 924 896(76)</t>
  </si>
  <si>
    <t>6.7087(10) e-39</t>
  </si>
  <si>
    <t>0.113 428 9168(34) e-3</t>
  </si>
  <si>
    <t>1.504 609 361(42) e-26</t>
  </si>
  <si>
    <t>5.050 783 43(43) e-27</t>
  </si>
  <si>
    <t>1.622 393 657(21) e-3</t>
  </si>
  <si>
    <t>206.768 2657(63)</t>
  </si>
  <si>
    <t>2.978 962 448(38)</t>
  </si>
  <si>
    <t>0.112 454 5079(34)</t>
  </si>
  <si>
    <t>7.622 593 71(65)</t>
  </si>
  <si>
    <t>5.007 355 88(25) e-27</t>
  </si>
  <si>
    <t>-3.183 345 39(10)</t>
  </si>
  <si>
    <t>3.152 451 259(21) e-8</t>
  </si>
  <si>
    <t>4.500 387 03(22) e-10</t>
  </si>
  <si>
    <t>0.112 609 5173(34)</t>
  </si>
  <si>
    <t>2808.920 906(70)</t>
  </si>
  <si>
    <t>5.945 72(97) e-2</t>
  </si>
  <si>
    <t>2.542 623 58(22) e-2</t>
  </si>
  <si>
    <t>3.015 500 7134(25)</t>
  </si>
  <si>
    <t>3.015 500 7134(25) e-3</t>
  </si>
  <si>
    <t>6.582 118 89(26) e-16</t>
  </si>
  <si>
    <t>1.066 639 908(10)</t>
  </si>
  <si>
    <t>197.326 968(17)</t>
  </si>
  <si>
    <t>-1.620 514 423(21) e-3</t>
  </si>
  <si>
    <t>1.616 24(12) e-35</t>
  </si>
  <si>
    <t>5496.921 5269(51)</t>
  </si>
  <si>
    <t>2.730 923 98(21) e-22</t>
  </si>
  <si>
    <t>2.176 45(16) e-8</t>
  </si>
  <si>
    <t>-1.557 185 53(37)</t>
  </si>
  <si>
    <t>1.416 79(11) e32</t>
  </si>
  <si>
    <t>2.993 717 0309(25)</t>
  </si>
  <si>
    <t>1.288 088 6555(95) e-21</t>
  </si>
  <si>
    <t>5.391 21(40) e-44</t>
  </si>
  <si>
    <t>25 812.807 557(18)</t>
  </si>
  <si>
    <t>1.319 590 898(10) e-15</t>
  </si>
  <si>
    <t>1.321 409 8555(88) e-15</t>
  </si>
  <si>
    <t>0.222 55(56)</t>
  </si>
  <si>
    <t>0.210 019 4142(16) e-15</t>
  </si>
  <si>
    <t>0.210 308 9104(14) e-15</t>
  </si>
  <si>
    <t>5.878 933(10) e10</t>
  </si>
  <si>
    <t>9.578 833 77(82) e7</t>
  </si>
  <si>
    <t>2.897 7685(51) e-3</t>
  </si>
  <si>
    <t>1.832 471 88(44) e8</t>
  </si>
  <si>
    <t>5.585 694 701(56)</t>
  </si>
  <si>
    <t>29.164 6958(70)</t>
  </si>
  <si>
    <t>2.675 222 05(23) e8</t>
  </si>
  <si>
    <t>-0.966 236 40(23) e-26</t>
  </si>
  <si>
    <t>42.577 4813(37)</t>
  </si>
  <si>
    <t>1.410 606 71(12) e-26</t>
  </si>
  <si>
    <t>-1.913 042 72(45)</t>
  </si>
  <si>
    <t>1.521 032 206(15) e-3</t>
  </si>
  <si>
    <t>1.674 927 16(13) e-27</t>
  </si>
  <si>
    <t>2.792 847 351(28)</t>
  </si>
  <si>
    <t>1.505 349 46(12) e-10</t>
  </si>
  <si>
    <t>25.689(15) e-6</t>
  </si>
  <si>
    <t>939.565 330(38)</t>
  </si>
  <si>
    <t>1.672 621 71(29) e-27</t>
  </si>
  <si>
    <t>1.008 664 915 78(55)</t>
  </si>
  <si>
    <t>1.503 277 43(26) e-10</t>
  </si>
  <si>
    <t>1.008 664 915 78(55) e-3</t>
  </si>
  <si>
    <t>938.272 028(80)</t>
  </si>
  <si>
    <t>1.007 276 466 88(13)</t>
  </si>
  <si>
    <t>1.007 276 466 88(13) e-3</t>
  </si>
  <si>
    <t>1 838.683 6550(40)</t>
  </si>
  <si>
    <t>0.8750(68) e-15</t>
  </si>
  <si>
    <t>8.892 484 78(27)</t>
  </si>
  <si>
    <t>1836.152 672 61(85)</t>
  </si>
  <si>
    <t>8.880 243 33(23)</t>
  </si>
  <si>
    <t>1.001 378 418 87(58)</t>
  </si>
  <si>
    <t>-1.459 898 05(34)</t>
  </si>
  <si>
    <t>0.528 722(86)</t>
  </si>
  <si>
    <t>0.998 623 478 72(58)</t>
  </si>
  <si>
    <t>6.673(10) e-11</t>
  </si>
  <si>
    <t>6.707(10) e-39</t>
  </si>
  <si>
    <t>3.636 947 550(24) e-4</t>
  </si>
  <si>
    <t>5.050 783 17(20) e-27</t>
  </si>
  <si>
    <t>7.273 895 101(48) e-4</t>
  </si>
  <si>
    <t>3.658 2638(64) e-4</t>
  </si>
  <si>
    <t>10 973 731.568 525(73)</t>
  </si>
  <si>
    <t>7.622 593 96(31)</t>
  </si>
  <si>
    <t>3.289 841 960 360(22) e15</t>
  </si>
  <si>
    <t>3.152 451 238(24) e-8</t>
  </si>
  <si>
    <t>2.179 872 09(37) e-18</t>
  </si>
  <si>
    <t>2.542 623 66(10) e-2</t>
  </si>
  <si>
    <t>13.605 6923(12)</t>
  </si>
  <si>
    <t>1.6160(12) e-35</t>
  </si>
  <si>
    <t>2.037 894 70(18) e8</t>
  </si>
  <si>
    <t>32.434 1015(28)</t>
  </si>
  <si>
    <t>2.1767(16) e-8</t>
  </si>
  <si>
    <t>-1.074 553 024(93) e-26</t>
  </si>
  <si>
    <t>-1.158 671 474(14) e-3</t>
  </si>
  <si>
    <t>-2.127 497 723(25)</t>
  </si>
  <si>
    <t>-0.761 766 562(12)</t>
  </si>
  <si>
    <t>5.3906(40) e-44</t>
  </si>
  <si>
    <t>2.675 153 33(23) e8</t>
  </si>
  <si>
    <t>1.321 409 847(10) e-15</t>
  </si>
  <si>
    <t>0.210 308 9089(16) e-15</t>
  </si>
  <si>
    <t>42.576 3875(37)</t>
  </si>
  <si>
    <t>9.578 834 08(38) e7</t>
  </si>
  <si>
    <t>1.410 570 47(12) e-26</t>
  </si>
  <si>
    <t>5.585 694 675(57)</t>
  </si>
  <si>
    <t>2.675 222 12(11) e8</t>
  </si>
  <si>
    <t>42.577 4825(18)</t>
  </si>
  <si>
    <t>1.410 606 633(58) e-26</t>
  </si>
  <si>
    <t>1.521 032 203(15) e-3</t>
  </si>
  <si>
    <t>1.520 993 132(16) e-3</t>
  </si>
  <si>
    <t>2.792 847 337(29)</t>
  </si>
  <si>
    <t>2.792 775 604(30)</t>
  </si>
  <si>
    <t>25.687(15) e-6</t>
  </si>
  <si>
    <t>1.672 621 58(13) e-27</t>
  </si>
  <si>
    <t>1.503 277 31(12) e-10</t>
  </si>
  <si>
    <t>938.271 998(38)</t>
  </si>
  <si>
    <t>1 836.152 6675(39)</t>
  </si>
  <si>
    <t>8.880 244 08(27)</t>
  </si>
  <si>
    <t>0.998 623 478 55(58)</t>
  </si>
  <si>
    <t>0.527 994(86)</t>
  </si>
  <si>
    <t>3.636 947 516(27) e-4</t>
  </si>
  <si>
    <t>7.273 895 032(53) e-4</t>
  </si>
  <si>
    <t>10 973 731.568 549(83)</t>
  </si>
  <si>
    <t>3.289 841 960 368(25) e15</t>
  </si>
  <si>
    <t>2.179 871 90(17) e-18</t>
  </si>
  <si>
    <t>13.605 691 72(53)</t>
  </si>
  <si>
    <t>-1.151 7048(44)</t>
  </si>
  <si>
    <t>-1.164 8678(44)</t>
  </si>
  <si>
    <t>0.665 245 873(13) e-28</t>
  </si>
  <si>
    <t>2.037 894 764(85) e8</t>
  </si>
  <si>
    <t>25 812.807 449(86)</t>
  </si>
  <si>
    <t>32.434 1025(14)</t>
  </si>
  <si>
    <t>0.222 15(76)</t>
  </si>
  <si>
    <t>-1.074 552 967(45) e-26</t>
  </si>
  <si>
    <t>2.897 7686(51) e-3</t>
  </si>
  <si>
    <t>-0.761 766 563(12)</t>
  </si>
  <si>
    <t>2.675 153 41(11) e8</t>
  </si>
  <si>
    <t>42.576 3888(18)</t>
  </si>
  <si>
    <t>1.410 570 399(59) e-26</t>
  </si>
  <si>
    <t>2.792 775 597(31)</t>
  </si>
  <si>
    <t>0.697 70(11) e-15</t>
  </si>
  <si>
    <t>0.111 042(18) e-15</t>
  </si>
  <si>
    <t>1 777.05(29)</t>
  </si>
  <si>
    <t>3.167 88(52) e-27</t>
  </si>
  <si>
    <t>2.847 15(46) e-10</t>
  </si>
  <si>
    <t>1.907 74(31)</t>
  </si>
  <si>
    <t>1.907 74(31) e-3</t>
  </si>
  <si>
    <t>3 477.60(57)</t>
  </si>
  <si>
    <t>16.8188(27)</t>
  </si>
  <si>
    <t>1.891 35(31)</t>
  </si>
  <si>
    <t>1.893 96(31)</t>
  </si>
  <si>
    <t>0.665 245 854(15) e-28</t>
  </si>
  <si>
    <t>25 812.807 572(95)</t>
  </si>
  <si>
    <t>0.2224(19)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</si>
</sst>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E+00"/>
    <numFmt numFmtId="166" formatCode="0.000000000000E+00"/>
  </numFmts>
  <fonts count="2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999999"/>
      <name val="Arial"/>
      <scheme val="minor"/>
    </font>
    <font>
      <b/>
      <color rgb="FF000000"/>
      <name val="Arial"/>
      <scheme val="minor"/>
    </font>
    <font>
      <color rgb="FF999999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666666"/>
      <name val="Arial"/>
      <scheme val="minor"/>
    </font>
    <font>
      <u/>
      <color rgb="FF0000FF"/>
    </font>
    <font>
      <color theme="1"/>
      <name val="Arial"/>
    </font>
    <font>
      <color rgb="FF0000FF"/>
      <name val="Arial"/>
    </font>
    <font>
      <u/>
      <color rgb="FF1155CC"/>
      <name val="Arial"/>
    </font>
    <font>
      <color rgb="FF0000FF"/>
      <name val="Arial"/>
      <scheme val="minor"/>
    </font>
    <font/>
    <font>
      <i/>
      <color rgb="FF000000"/>
      <name val="Arial"/>
      <scheme val="minor"/>
    </font>
    <font>
      <i/>
      <u/>
      <color rgb="FF0000FF"/>
    </font>
    <font>
      <u/>
      <color rgb="FF0000FF"/>
    </font>
    <font>
      <b/>
      <color rgb="FF666666"/>
      <name val="Arial"/>
      <scheme val="minor"/>
    </font>
    <font>
      <i/>
      <color theme="1"/>
      <name val="Arial"/>
      <scheme val="minor"/>
    </font>
    <font>
      <i/>
      <color rgb="FF999999"/>
      <name val="Arial"/>
      <scheme val="minor"/>
    </font>
    <font>
      <i/>
      <color rgb="FF666666"/>
      <name val="Arial"/>
      <scheme val="minor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1" numFmtId="0" xfId="0" applyFont="1"/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vertical="top" wrapText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7" numFmtId="0" xfId="0" applyAlignment="1" applyFont="1">
      <alignment horizontal="center" readingOrder="0" shrinkToFit="0" vertical="top" wrapText="0"/>
    </xf>
    <xf borderId="0" fillId="0" fontId="8" numFmtId="0" xfId="0" applyAlignment="1" applyFont="1">
      <alignment readingOrder="0"/>
    </xf>
    <xf borderId="0" fillId="0" fontId="5" numFmtId="0" xfId="0" applyAlignment="1" applyFont="1">
      <alignment vertical="top"/>
    </xf>
    <xf borderId="0" fillId="0" fontId="5" numFmtId="0" xfId="0" applyAlignment="1" applyFont="1">
      <alignment horizontal="center"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shrinkToFit="0" vertical="top" wrapText="0"/>
    </xf>
    <xf borderId="0" fillId="0" fontId="6" numFmtId="0" xfId="0" applyFont="1"/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14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15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6" numFmtId="0" xfId="0" applyFont="1"/>
    <xf borderId="0" fillId="0" fontId="17" numFmtId="0" xfId="0" applyAlignment="1" applyFont="1">
      <alignment readingOrder="0"/>
    </xf>
    <xf borderId="0" fillId="0" fontId="18" numFmtId="0" xfId="0" applyFont="1"/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49" xfId="0" applyFont="1" applyNumberFormat="1"/>
    <xf borderId="0" fillId="0" fontId="6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readingOrder="0"/>
    </xf>
    <xf borderId="0" fillId="0" fontId="20" numFmtId="165" xfId="0" applyAlignment="1" applyFont="1" applyNumberFormat="1">
      <alignment readingOrder="0"/>
    </xf>
    <xf borderId="0" fillId="0" fontId="10" numFmtId="0" xfId="0" applyFont="1"/>
    <xf borderId="0" fillId="0" fontId="10" numFmtId="0" xfId="0" applyAlignment="1" applyFont="1">
      <alignment horizontal="center"/>
    </xf>
    <xf borderId="0" fillId="0" fontId="10" numFmtId="166" xfId="0" applyFont="1" applyNumberFormat="1"/>
    <xf borderId="0" fillId="0" fontId="10" numFmtId="165" xfId="0" applyFont="1" applyNumberFormat="1"/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0" fillId="0" fontId="15" numFmtId="0" xfId="0" applyAlignment="1" applyFont="1">
      <alignment horizontal="center" readingOrder="0" vertical="top"/>
    </xf>
    <xf borderId="0" fillId="0" fontId="6" numFmtId="0" xfId="0" applyAlignment="1" applyFont="1">
      <alignment readingOrder="0" vertical="top"/>
    </xf>
    <xf borderId="0" fillId="0" fontId="12" numFmtId="0" xfId="0" applyAlignment="1" applyFont="1">
      <alignment vertical="bottom"/>
    </xf>
    <xf borderId="0" fillId="0" fontId="21" numFmtId="0" xfId="0" applyAlignment="1" applyFont="1">
      <alignment readingOrder="0"/>
    </xf>
    <xf borderId="0" fillId="0" fontId="21" numFmtId="0" xfId="0" applyFont="1"/>
    <xf borderId="0" fillId="0" fontId="22" numFmtId="0" xfId="0" applyAlignment="1" applyFont="1">
      <alignment horizontal="center" readingOrder="0"/>
    </xf>
    <xf borderId="0" fillId="0" fontId="23" numFmtId="0" xfId="0" applyAlignment="1" applyFont="1">
      <alignment readingOrder="0"/>
    </xf>
    <xf borderId="0" fillId="0" fontId="21" numFmtId="0" xfId="0" applyAlignment="1" applyFont="1">
      <alignment horizontal="center" readingOrder="0"/>
    </xf>
    <xf borderId="0" fillId="0" fontId="12" numFmtId="0" xfId="0" applyAlignment="1" applyFont="1">
      <alignment horizontal="center" vertical="bottom"/>
    </xf>
    <xf borderId="0" fillId="0" fontId="15" numFmtId="0" xfId="0" applyFont="1"/>
    <xf borderId="0" fillId="0" fontId="24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Hartre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4.0"/>
    <col customWidth="1" min="2" max="2" width="47.25"/>
    <col customWidth="1" min="3" max="4" width="9.75"/>
    <col customWidth="1" min="5" max="5" width="12.75"/>
    <col customWidth="1" min="6" max="6" width="6.63"/>
    <col customWidth="1" min="7" max="7" width="15.38"/>
    <col customWidth="1" min="8" max="8" width="43.13"/>
    <col customWidth="1" min="9" max="9" width="22.63"/>
    <col customWidth="1" min="10" max="10" width="29.88"/>
    <col customWidth="1" min="11" max="11" width="17.38"/>
    <col customWidth="1" min="12" max="12" width="10.88"/>
    <col customWidth="1" min="13" max="13" width="10.0"/>
    <col customWidth="1" min="14" max="14" width="10.63"/>
    <col customWidth="1" min="15" max="15" width="63.75"/>
    <col customWidth="1" min="16" max="17" width="35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 t="s">
        <v>14</v>
      </c>
      <c r="P1" s="1" t="s">
        <v>15</v>
      </c>
      <c r="Q1" s="1" t="s">
        <v>16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>
      <c r="A2" s="6" t="s">
        <v>17</v>
      </c>
      <c r="B2" s="6" t="s">
        <v>17</v>
      </c>
      <c r="C2" s="9">
        <f>countif(Quantities!A:A,A2)</f>
        <v>0</v>
      </c>
      <c r="D2" s="9" t="b">
        <f>IFERROR(__xludf.DUMMYFUNCTION("REGEXMATCH(A2,""(?i)ratio"")"),TRUE)</f>
        <v>1</v>
      </c>
      <c r="E2" s="9" t="b">
        <f>IFERROR(__xludf.DUMMYFUNCTION("REGEXMATCH(A2,""(?i)relationship"")"),FALSE)</f>
        <v>0</v>
      </c>
      <c r="F2" s="6"/>
      <c r="G2" s="6"/>
      <c r="H2" s="6"/>
      <c r="I2" s="12"/>
      <c r="J2" s="12"/>
      <c r="K2" s="12"/>
      <c r="L2" s="12"/>
      <c r="M2" s="13"/>
      <c r="N2" s="13"/>
      <c r="O2" s="14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>
      <c r="A3" s="16" t="s">
        <v>43</v>
      </c>
      <c r="B3" s="6" t="s">
        <v>43</v>
      </c>
      <c r="C3" s="9">
        <f>countif(Quantities!A:A,A3)</f>
        <v>0</v>
      </c>
      <c r="D3" s="9" t="b">
        <f>IFERROR(__xludf.DUMMYFUNCTION("REGEXMATCH(A3,""(?i)ratio"")"),FALSE)</f>
        <v>0</v>
      </c>
      <c r="E3" s="9" t="b">
        <f>IFERROR(__xludf.DUMMYFUNCTION("REGEXMATCH(A3,""(?i)relationship"")"),FALSE)</f>
        <v>0</v>
      </c>
      <c r="F3" s="6"/>
      <c r="G3" s="12"/>
      <c r="H3" s="12"/>
      <c r="I3" s="12"/>
      <c r="J3" s="12"/>
      <c r="K3" s="12"/>
      <c r="L3" s="12"/>
      <c r="M3" s="13"/>
      <c r="N3" s="13" t="str">
        <f t="shared" ref="N3:N11" si="1">if(isblank(M3),"",hyperlink("https://www.wikidata.org/wiki/"&amp;M3,M3))</f>
        <v/>
      </c>
      <c r="O3" s="20" t="s">
        <v>46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</row>
    <row r="4">
      <c r="A4" s="6" t="s">
        <v>50</v>
      </c>
      <c r="B4" s="6" t="s">
        <v>51</v>
      </c>
      <c r="C4" s="9">
        <f>countif(Quantities!A:A,A4)</f>
        <v>0</v>
      </c>
      <c r="D4" s="9" t="b">
        <f>IFERROR(__xludf.DUMMYFUNCTION("REGEXMATCH(A4,""(?i)ratio"")"),FALSE)</f>
        <v>0</v>
      </c>
      <c r="E4" s="9" t="b">
        <f>IFERROR(__xludf.DUMMYFUNCTION("REGEXMATCH(A4,""(?i)relationship"")"),FALSE)</f>
        <v>0</v>
      </c>
      <c r="F4" s="6"/>
      <c r="G4" s="6" t="s">
        <v>57</v>
      </c>
      <c r="H4" s="6"/>
      <c r="I4" s="12"/>
      <c r="J4" s="12"/>
      <c r="K4" s="12"/>
      <c r="L4" s="12"/>
      <c r="M4" s="13" t="s">
        <v>61</v>
      </c>
      <c r="N4" s="25" t="str">
        <f t="shared" si="1"/>
        <v>Q103517</v>
      </c>
      <c r="O4" s="14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>
      <c r="A5" s="22" t="s">
        <v>45</v>
      </c>
      <c r="B5" s="27" t="str">
        <f>VLOOKUP(A5,Quantities!A:B,2,false)</f>
        <v>Alpha Particle - Electron Mass Ratio</v>
      </c>
      <c r="C5" s="9">
        <f>countif(Quantities!A:A,A5)</f>
        <v>1</v>
      </c>
      <c r="D5" s="9" t="b">
        <f>IFERROR(__xludf.DUMMYFUNCTION("REGEXMATCH(A5,""(?i)ratio"")"),TRUE)</f>
        <v>1</v>
      </c>
      <c r="E5" s="9" t="b">
        <f>IFERROR(__xludf.DUMMYFUNCTION("REGEXMATCH(A5,""(?i)relationship"")"),FALSE)</f>
        <v>0</v>
      </c>
      <c r="F5" s="12"/>
      <c r="G5" s="17"/>
      <c r="H5" s="17" t="s">
        <v>62</v>
      </c>
      <c r="I5" s="31"/>
      <c r="J5" s="31"/>
      <c r="K5" s="12"/>
      <c r="L5" s="12"/>
      <c r="M5" s="32"/>
      <c r="N5" s="13" t="str">
        <f t="shared" si="1"/>
        <v/>
      </c>
      <c r="O5" s="14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>
      <c r="A6" s="33" t="s">
        <v>63</v>
      </c>
      <c r="B6" s="27" t="str">
        <f>VLOOKUP(A6,Quantities!A:B,2,false)</f>
        <v>Alpha Particle Mass</v>
      </c>
      <c r="C6" s="9">
        <f>countif(Quantities!A:A,A6)</f>
        <v>1</v>
      </c>
      <c r="D6" s="9" t="b">
        <f>IFERROR(__xludf.DUMMYFUNCTION("REGEXMATCH(A6,""(?i)ratio"")"),FALSE)</f>
        <v>0</v>
      </c>
      <c r="E6" s="9" t="b">
        <f>IFERROR(__xludf.DUMMYFUNCTION("REGEXMATCH(A6,""(?i)relationship"")"),FALSE)</f>
        <v>0</v>
      </c>
      <c r="F6" s="12"/>
      <c r="G6" s="17"/>
      <c r="H6" s="17" t="s">
        <v>66</v>
      </c>
      <c r="I6" s="31"/>
      <c r="J6" s="31"/>
      <c r="K6" s="12"/>
      <c r="L6" s="12"/>
      <c r="M6" s="32"/>
      <c r="N6" s="13" t="str">
        <f t="shared" si="1"/>
        <v/>
      </c>
      <c r="O6" s="14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>
      <c r="A7" s="17" t="s">
        <v>68</v>
      </c>
      <c r="B7" s="27" t="str">
        <f>VLOOKUP(A7,Quantities!A:B,2,false)</f>
        <v>Alpha Particle Mass Energy Equivalent</v>
      </c>
      <c r="C7" s="9">
        <f>countif(Quantities!A:A,A7)</f>
        <v>1</v>
      </c>
      <c r="D7" s="9" t="b">
        <f>IFERROR(__xludf.DUMMYFUNCTION("REGEXMATCH(A7,""(?i)ratio"")"),FALSE)</f>
        <v>0</v>
      </c>
      <c r="E7" s="9" t="b">
        <f>IFERROR(__xludf.DUMMYFUNCTION("REGEXMATCH(A7,""(?i)relationship"")"),FALSE)</f>
        <v>0</v>
      </c>
      <c r="F7" s="12"/>
      <c r="G7" s="17"/>
      <c r="H7" s="17" t="s">
        <v>73</v>
      </c>
      <c r="I7" s="31"/>
      <c r="J7" s="31"/>
      <c r="K7" s="12"/>
      <c r="L7" s="12"/>
      <c r="M7" s="32"/>
      <c r="N7" s="13" t="str">
        <f t="shared" si="1"/>
        <v/>
      </c>
      <c r="O7" s="14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>
      <c r="A8" s="33" t="s">
        <v>74</v>
      </c>
      <c r="B8" s="27" t="str">
        <f>VLOOKUP(A8,Quantities!A:B,2,false)</f>
        <v>Alpha Particle Molar Mass</v>
      </c>
      <c r="C8" s="9">
        <f>countif(Quantities!A:A,A8)</f>
        <v>1</v>
      </c>
      <c r="D8" s="9" t="b">
        <f>IFERROR(__xludf.DUMMYFUNCTION("REGEXMATCH(A8,""(?i)ratio"")"),FALSE)</f>
        <v>0</v>
      </c>
      <c r="E8" s="9" t="b">
        <f>IFERROR(__xludf.DUMMYFUNCTION("REGEXMATCH(A8,""(?i)relationship"")"),FALSE)</f>
        <v>0</v>
      </c>
      <c r="F8" s="12"/>
      <c r="G8" s="17"/>
      <c r="H8" s="17" t="s">
        <v>78</v>
      </c>
      <c r="I8" s="31"/>
      <c r="J8" s="31"/>
      <c r="K8" s="12"/>
      <c r="L8" s="12"/>
      <c r="M8" s="32"/>
      <c r="N8" s="13" t="str">
        <f t="shared" si="1"/>
        <v/>
      </c>
      <c r="O8" s="1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>
      <c r="A9" s="33" t="s">
        <v>79</v>
      </c>
      <c r="B9" s="27" t="str">
        <f>VLOOKUP(A9,Quantities!A:B,2,false)</f>
        <v>Alpha Particle - Proton Mass Ratio</v>
      </c>
      <c r="C9" s="9">
        <f>countif(Quantities!A:A,A9)</f>
        <v>1</v>
      </c>
      <c r="D9" s="9" t="b">
        <f>IFERROR(__xludf.DUMMYFUNCTION("REGEXMATCH(A9,""(?i)ratio"")"),TRUE)</f>
        <v>1</v>
      </c>
      <c r="E9" s="9" t="b">
        <f>IFERROR(__xludf.DUMMYFUNCTION("REGEXMATCH(A9,""(?i)relationship"")"),FALSE)</f>
        <v>0</v>
      </c>
      <c r="F9" s="12"/>
      <c r="G9" s="17"/>
      <c r="H9" s="17" t="s">
        <v>88</v>
      </c>
      <c r="I9" s="31"/>
      <c r="J9" s="31"/>
      <c r="K9" s="12"/>
      <c r="L9" s="12"/>
      <c r="M9" s="32"/>
      <c r="N9" s="13" t="str">
        <f t="shared" si="1"/>
        <v/>
      </c>
      <c r="O9" s="1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>
      <c r="A10" s="33" t="s">
        <v>83</v>
      </c>
      <c r="B10" s="27" t="str">
        <f>VLOOKUP(A10,Quantities!A:B,2,false)</f>
        <v>Alpha Particle Relative Atomic Mass</v>
      </c>
      <c r="C10" s="9">
        <f>countif(Quantities!A:A,A10)</f>
        <v>1</v>
      </c>
      <c r="D10" s="9" t="b">
        <f>IFERROR(__xludf.DUMMYFUNCTION("REGEXMATCH(A10,""(?i)ratio"")"),FALSE)</f>
        <v>0</v>
      </c>
      <c r="E10" s="9" t="b">
        <f>IFERROR(__xludf.DUMMYFUNCTION("REGEXMATCH(A10,""(?i)relationship"")"),FALSE)</f>
        <v>0</v>
      </c>
      <c r="F10" s="12"/>
      <c r="G10" s="17"/>
      <c r="H10" s="17" t="s">
        <v>99</v>
      </c>
      <c r="I10" s="31"/>
      <c r="J10" s="31"/>
      <c r="K10" s="12"/>
      <c r="L10" s="12"/>
      <c r="M10" s="32"/>
      <c r="N10" s="13" t="str">
        <f t="shared" si="1"/>
        <v/>
      </c>
      <c r="O10" s="14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>
      <c r="A11" s="22" t="s">
        <v>87</v>
      </c>
      <c r="B11" s="27" t="str">
        <f>VLOOKUP(A11,Quantities!A:B,2,false)</f>
        <v>Alpha Particle Rms Charge Radius</v>
      </c>
      <c r="C11" s="9">
        <f>countif(Quantities!A:A,A11)</f>
        <v>1</v>
      </c>
      <c r="D11" s="9" t="b">
        <f>IFERROR(__xludf.DUMMYFUNCTION("REGEXMATCH(A11,""(?i)ratio"")"),FALSE)</f>
        <v>0</v>
      </c>
      <c r="E11" s="9" t="b">
        <f>IFERROR(__xludf.DUMMYFUNCTION("REGEXMATCH(A11,""(?i)relationship"")"),FALSE)</f>
        <v>0</v>
      </c>
      <c r="F11" s="12"/>
      <c r="G11" s="17"/>
      <c r="H11" s="17" t="s">
        <v>106</v>
      </c>
      <c r="I11" s="31"/>
      <c r="J11" s="31"/>
      <c r="K11" s="12"/>
      <c r="L11" s="12"/>
      <c r="M11" s="32"/>
      <c r="N11" s="13" t="str">
        <f t="shared" si="1"/>
        <v/>
      </c>
      <c r="O11" s="14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>
      <c r="A12" s="6" t="s">
        <v>109</v>
      </c>
      <c r="B12" s="6" t="s">
        <v>109</v>
      </c>
      <c r="C12" s="9">
        <f>countif(Quantities!A:A,A12)</f>
        <v>0</v>
      </c>
      <c r="D12" s="9" t="b">
        <f>IFERROR(__xludf.DUMMYFUNCTION("REGEXMATCH(A12,""(?i)ratio"")"),FALSE)</f>
        <v>0</v>
      </c>
      <c r="E12" s="9" t="b">
        <f>IFERROR(__xludf.DUMMYFUNCTION("REGEXMATCH(A12,""(?i)relationship"")"),FALSE)</f>
        <v>0</v>
      </c>
      <c r="F12" s="6"/>
      <c r="G12" s="12"/>
      <c r="H12" s="12"/>
      <c r="I12" s="12"/>
      <c r="J12" s="12"/>
      <c r="K12" s="12"/>
      <c r="L12" s="12"/>
      <c r="M12" s="13"/>
      <c r="N12" s="13"/>
      <c r="O12" s="20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>
      <c r="A13" s="33" t="s">
        <v>93</v>
      </c>
      <c r="B13" s="27" t="str">
        <f>VLOOKUP(A13,Quantities!A:B,2,false)</f>
        <v>Angstrom Star</v>
      </c>
      <c r="C13" s="9">
        <f>countif(Quantities!A:A,A13)</f>
        <v>1</v>
      </c>
      <c r="D13" s="9" t="b">
        <f>IFERROR(__xludf.DUMMYFUNCTION("REGEXMATCH(A13,""(?i)ratio"")"),FALSE)</f>
        <v>0</v>
      </c>
      <c r="E13" s="9" t="b">
        <f>IFERROR(__xludf.DUMMYFUNCTION("REGEXMATCH(A13,""(?i)relationship"")"),FALSE)</f>
        <v>0</v>
      </c>
      <c r="F13" s="12"/>
      <c r="G13" s="17"/>
      <c r="I13" s="31"/>
      <c r="J13" s="31"/>
      <c r="K13" s="12"/>
      <c r="L13" s="12"/>
      <c r="M13" s="32"/>
      <c r="N13" s="13" t="str">
        <f t="shared" ref="N13:N16" si="2">if(isblank(M13),"",hyperlink("https://www.wikidata.org/wiki/"&amp;M13,M13))</f>
        <v/>
      </c>
      <c r="O13" s="14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>
      <c r="A14" s="6" t="s">
        <v>120</v>
      </c>
      <c r="B14" s="6" t="s">
        <v>121</v>
      </c>
      <c r="C14" s="9">
        <f>countif(Quantities!A:A,A14)</f>
        <v>0</v>
      </c>
      <c r="D14" s="9" t="b">
        <f>IFERROR(__xludf.DUMMYFUNCTION("REGEXMATCH(A14,""(?i)ratio"")"),FALSE)</f>
        <v>0</v>
      </c>
      <c r="E14" s="9" t="b">
        <f>IFERROR(__xludf.DUMMYFUNCTION("REGEXMATCH(A14,""(?i)relationship"")"),FALSE)</f>
        <v>0</v>
      </c>
      <c r="F14" s="6"/>
      <c r="G14" s="12"/>
      <c r="H14" s="12"/>
      <c r="I14" s="12"/>
      <c r="J14" s="12"/>
      <c r="K14" s="12"/>
      <c r="L14" s="12"/>
      <c r="M14" s="32"/>
      <c r="N14" s="13" t="str">
        <f t="shared" si="2"/>
        <v/>
      </c>
      <c r="O14" s="14"/>
      <c r="P14" s="6"/>
      <c r="Q14" s="6"/>
      <c r="R14" s="6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>
      <c r="A15" s="33" t="s">
        <v>102</v>
      </c>
      <c r="B15" s="27" t="str">
        <f>VLOOKUP(A15,Quantities!A:B,2,false)</f>
        <v>Atomic Mass Constant</v>
      </c>
      <c r="C15" s="9">
        <f>countif(Quantities!A:A,A15)</f>
        <v>1</v>
      </c>
      <c r="D15" s="9" t="b">
        <f>IFERROR(__xludf.DUMMYFUNCTION("REGEXMATCH(A15,""(?i)ratio"")"),FALSE)</f>
        <v>0</v>
      </c>
      <c r="E15" s="9" t="b">
        <f>IFERROR(__xludf.DUMMYFUNCTION("REGEXMATCH(A15,""(?i)relationship"")"),FALSE)</f>
        <v>0</v>
      </c>
      <c r="F15" s="12"/>
      <c r="G15" s="17"/>
      <c r="H15" s="17" t="s">
        <v>120</v>
      </c>
      <c r="I15" s="31"/>
      <c r="J15" s="31"/>
      <c r="K15" s="12"/>
      <c r="L15" s="12"/>
      <c r="M15" s="32"/>
      <c r="N15" s="13" t="str">
        <f t="shared" si="2"/>
        <v/>
      </c>
      <c r="O15" s="14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>
      <c r="A16" s="17" t="s">
        <v>104</v>
      </c>
      <c r="B16" s="27" t="str">
        <f>VLOOKUP(A16,Quantities!A:B,2,false)</f>
        <v>Atomic Mass Constant Energy Equivalent</v>
      </c>
      <c r="C16" s="9">
        <f>countif(Quantities!A:A,A16)</f>
        <v>1</v>
      </c>
      <c r="D16" s="9" t="b">
        <f>IFERROR(__xludf.DUMMYFUNCTION("REGEXMATCH(A16,""(?i)ratio"")"),FALSE)</f>
        <v>0</v>
      </c>
      <c r="E16" s="9" t="b">
        <f>IFERROR(__xludf.DUMMYFUNCTION("REGEXMATCH(A16,""(?i)relationship"")"),FALSE)</f>
        <v>0</v>
      </c>
      <c r="F16" s="12"/>
      <c r="G16" s="17"/>
      <c r="H16" s="17" t="s">
        <v>137</v>
      </c>
      <c r="I16" s="31"/>
      <c r="J16" s="31"/>
      <c r="K16" s="12"/>
      <c r="L16" s="12"/>
      <c r="M16" s="32"/>
      <c r="N16" s="13" t="str">
        <f t="shared" si="2"/>
        <v/>
      </c>
      <c r="O16" s="14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>
      <c r="A17" s="22" t="s">
        <v>140</v>
      </c>
      <c r="B17" s="22" t="s">
        <v>140</v>
      </c>
      <c r="C17" s="9">
        <f>countif(Quantities!A:A,A17)</f>
        <v>0</v>
      </c>
      <c r="D17" s="9" t="b">
        <f>IFERROR(__xludf.DUMMYFUNCTION("REGEXMATCH(A17,""(?i)ratio"")"),FALSE)</f>
        <v>0</v>
      </c>
      <c r="E17" s="9" t="b">
        <f>IFERROR(__xludf.DUMMYFUNCTION("REGEXMATCH(A17,""(?i)relationship"")"),FALSE)</f>
        <v>0</v>
      </c>
      <c r="F17" s="12"/>
      <c r="G17" s="17"/>
      <c r="H17" s="17"/>
      <c r="I17" s="31"/>
      <c r="J17" s="31"/>
      <c r="K17" s="12"/>
      <c r="L17" s="12"/>
      <c r="M17" s="32"/>
      <c r="N17" s="13"/>
      <c r="O17" s="14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>
      <c r="A18" s="33" t="s">
        <v>107</v>
      </c>
      <c r="B18" s="27" t="str">
        <f>VLOOKUP(A18,Quantities!A:B,2,false)</f>
        <v>Atomic Mass Unit - Electronvolt Relationship</v>
      </c>
      <c r="C18" s="9">
        <f>countif(Quantities!A:A,A18)</f>
        <v>1</v>
      </c>
      <c r="D18" s="9" t="b">
        <f>IFERROR(__xludf.DUMMYFUNCTION("REGEXMATCH(A18,""(?i)ratio"")"),FALSE)</f>
        <v>0</v>
      </c>
      <c r="E18" s="9" t="b">
        <f>IFERROR(__xludf.DUMMYFUNCTION("REGEXMATCH(A18,""(?i)relationship"")"),TRUE)</f>
        <v>1</v>
      </c>
      <c r="F18" s="12"/>
      <c r="G18" s="17"/>
      <c r="H18" s="17" t="s">
        <v>151</v>
      </c>
      <c r="I18" s="31"/>
      <c r="J18" s="31"/>
      <c r="K18" s="12"/>
      <c r="L18" s="12"/>
      <c r="M18" s="32"/>
      <c r="N18" s="13" t="str">
        <f t="shared" ref="N18:N48" si="3">if(isblank(M18),"",hyperlink("https://www.wikidata.org/wiki/"&amp;M18,M18))</f>
        <v/>
      </c>
      <c r="O18" s="14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>
      <c r="A19" s="33" t="s">
        <v>110</v>
      </c>
      <c r="B19" s="27" t="str">
        <f>VLOOKUP(A19,Quantities!A:B,2,false)</f>
        <v>Atomic Mass Unit - Hartree Relationship</v>
      </c>
      <c r="C19" s="9">
        <f>countif(Quantities!A:A,A19)</f>
        <v>1</v>
      </c>
      <c r="D19" s="9" t="b">
        <f>IFERROR(__xludf.DUMMYFUNCTION("REGEXMATCH(A19,""(?i)ratio"")"),FALSE)</f>
        <v>0</v>
      </c>
      <c r="E19" s="9" t="b">
        <f>IFERROR(__xludf.DUMMYFUNCTION("REGEXMATCH(A19,""(?i)relationship"")"),TRUE)</f>
        <v>1</v>
      </c>
      <c r="F19" s="12"/>
      <c r="G19" s="17"/>
      <c r="H19" s="17" t="s">
        <v>164</v>
      </c>
      <c r="I19" s="31"/>
      <c r="J19" s="31"/>
      <c r="K19" s="12"/>
      <c r="L19" s="12"/>
      <c r="M19" s="32"/>
      <c r="N19" s="13" t="str">
        <f t="shared" si="3"/>
        <v/>
      </c>
      <c r="O19" s="14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>
      <c r="A20" s="33" t="s">
        <v>114</v>
      </c>
      <c r="B20" s="27" t="str">
        <f>VLOOKUP(A20,Quantities!A:B,2,false)</f>
        <v>Atomic Mass Unit - Hertz Relationship</v>
      </c>
      <c r="C20" s="9">
        <f>countif(Quantities!A:A,A20)</f>
        <v>1</v>
      </c>
      <c r="D20" s="9" t="b">
        <f>IFERROR(__xludf.DUMMYFUNCTION("REGEXMATCH(A20,""(?i)ratio"")"),FALSE)</f>
        <v>0</v>
      </c>
      <c r="E20" s="9" t="b">
        <f>IFERROR(__xludf.DUMMYFUNCTION("REGEXMATCH(A20,""(?i)relationship"")"),TRUE)</f>
        <v>1</v>
      </c>
      <c r="F20" s="12"/>
      <c r="G20" s="17"/>
      <c r="H20" s="17" t="s">
        <v>175</v>
      </c>
      <c r="I20" s="31"/>
      <c r="J20" s="31"/>
      <c r="K20" s="12"/>
      <c r="L20" s="12"/>
      <c r="M20" s="32"/>
      <c r="N20" s="13" t="str">
        <f t="shared" si="3"/>
        <v/>
      </c>
      <c r="O20" s="14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>
      <c r="A21" s="33" t="s">
        <v>116</v>
      </c>
      <c r="B21" s="27" t="str">
        <f>VLOOKUP(A21,Quantities!A:B,2,false)</f>
        <v>Atomic Mass Unit - Inverse Meter Relationship</v>
      </c>
      <c r="C21" s="9">
        <f>countif(Quantities!A:A,A21)</f>
        <v>1</v>
      </c>
      <c r="D21" s="9" t="b">
        <f>IFERROR(__xludf.DUMMYFUNCTION("REGEXMATCH(A21,""(?i)ratio"")"),FALSE)</f>
        <v>0</v>
      </c>
      <c r="E21" s="9" t="b">
        <f>IFERROR(__xludf.DUMMYFUNCTION("REGEXMATCH(A21,""(?i)relationship"")"),TRUE)</f>
        <v>1</v>
      </c>
      <c r="F21" s="12"/>
      <c r="G21" s="17"/>
      <c r="H21" s="17" t="s">
        <v>180</v>
      </c>
      <c r="I21" s="31"/>
      <c r="J21" s="31"/>
      <c r="K21" s="12"/>
      <c r="L21" s="12"/>
      <c r="M21" s="32"/>
      <c r="N21" s="13" t="str">
        <f t="shared" si="3"/>
        <v/>
      </c>
      <c r="O21" s="14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>
      <c r="A22" s="33" t="s">
        <v>118</v>
      </c>
      <c r="B22" s="27" t="str">
        <f>VLOOKUP(A22,Quantities!A:B,2,false)</f>
        <v>Atomic Mass Unit - Joule Relationship</v>
      </c>
      <c r="C22" s="9">
        <f>countif(Quantities!A:A,A22)</f>
        <v>1</v>
      </c>
      <c r="D22" s="9" t="b">
        <f>IFERROR(__xludf.DUMMYFUNCTION("REGEXMATCH(A22,""(?i)ratio"")"),FALSE)</f>
        <v>0</v>
      </c>
      <c r="E22" s="9" t="b">
        <f>IFERROR(__xludf.DUMMYFUNCTION("REGEXMATCH(A22,""(?i)relationship"")"),TRUE)</f>
        <v>1</v>
      </c>
      <c r="F22" s="12"/>
      <c r="G22" s="17"/>
      <c r="H22" s="17" t="s">
        <v>185</v>
      </c>
      <c r="I22" s="31"/>
      <c r="J22" s="31"/>
      <c r="K22" s="12"/>
      <c r="L22" s="12"/>
      <c r="M22" s="32"/>
      <c r="N22" s="13" t="str">
        <f t="shared" si="3"/>
        <v/>
      </c>
      <c r="O22" s="14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>
      <c r="A23" s="33" t="s">
        <v>122</v>
      </c>
      <c r="B23" s="27" t="str">
        <f>VLOOKUP(A23,Quantities!A:B,2,false)</f>
        <v>Atomic Mass Unit - Kelvin Relationship</v>
      </c>
      <c r="C23" s="9">
        <f>countif(Quantities!A:A,A23)</f>
        <v>1</v>
      </c>
      <c r="D23" s="9" t="b">
        <f>IFERROR(__xludf.DUMMYFUNCTION("REGEXMATCH(A23,""(?i)ratio"")"),FALSE)</f>
        <v>0</v>
      </c>
      <c r="E23" s="9" t="b">
        <f>IFERROR(__xludf.DUMMYFUNCTION("REGEXMATCH(A23,""(?i)relationship"")"),TRUE)</f>
        <v>1</v>
      </c>
      <c r="F23" s="12"/>
      <c r="G23" s="17"/>
      <c r="H23" s="17" t="s">
        <v>198</v>
      </c>
      <c r="I23" s="31"/>
      <c r="J23" s="31"/>
      <c r="K23" s="12"/>
      <c r="L23" s="12"/>
      <c r="M23" s="32"/>
      <c r="N23" s="13" t="str">
        <f t="shared" si="3"/>
        <v/>
      </c>
      <c r="O23" s="14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>
      <c r="A24" s="33" t="s">
        <v>124</v>
      </c>
      <c r="B24" s="27" t="str">
        <f>VLOOKUP(A24,Quantities!A:B,2,false)</f>
        <v>Atomic Mass Unit - Kilogram Relationship</v>
      </c>
      <c r="C24" s="9">
        <f>countif(Quantities!A:A,A24)</f>
        <v>1</v>
      </c>
      <c r="D24" s="9" t="b">
        <f>IFERROR(__xludf.DUMMYFUNCTION("REGEXMATCH(A24,""(?i)ratio"")"),FALSE)</f>
        <v>0</v>
      </c>
      <c r="E24" s="9" t="b">
        <f>IFERROR(__xludf.DUMMYFUNCTION("REGEXMATCH(A24,""(?i)relationship"")"),TRUE)</f>
        <v>1</v>
      </c>
      <c r="F24" s="12"/>
      <c r="G24" s="17"/>
      <c r="H24" s="17" t="s">
        <v>207</v>
      </c>
      <c r="I24" s="31"/>
      <c r="J24" s="31"/>
      <c r="K24" s="12"/>
      <c r="L24" s="12"/>
      <c r="M24" s="32"/>
      <c r="N24" s="13" t="str">
        <f t="shared" si="3"/>
        <v/>
      </c>
      <c r="O24" s="14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>
      <c r="A25" s="6" t="s">
        <v>212</v>
      </c>
      <c r="B25" s="6" t="s">
        <v>213</v>
      </c>
      <c r="C25" s="9">
        <f>countif(Quantities!A:A,A25)</f>
        <v>0</v>
      </c>
      <c r="D25" s="9" t="b">
        <f>IFERROR(__xludf.DUMMYFUNCTION("REGEXMATCH(A25,""(?i)ratio"")"),FALSE)</f>
        <v>0</v>
      </c>
      <c r="E25" s="9" t="b">
        <f>IFERROR(__xludf.DUMMYFUNCTION("REGEXMATCH(A25,""(?i)relationship"")"),FALSE)</f>
        <v>0</v>
      </c>
      <c r="F25" s="12"/>
      <c r="G25" s="12"/>
      <c r="H25" s="12"/>
      <c r="I25" s="12"/>
      <c r="J25" s="12"/>
      <c r="K25" s="12"/>
      <c r="L25" s="12"/>
      <c r="M25" s="13"/>
      <c r="N25" s="13" t="str">
        <f t="shared" si="3"/>
        <v/>
      </c>
      <c r="O25" s="20" t="s">
        <v>221</v>
      </c>
      <c r="P25" s="6"/>
      <c r="Q25" s="6"/>
      <c r="R25" s="6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>
      <c r="A26" s="22" t="s">
        <v>129</v>
      </c>
      <c r="B26" s="27" t="str">
        <f>VLOOKUP(A26,Quantities!A:B,2,false)</f>
        <v>Atomic Unit Of First Hyperpolarizability</v>
      </c>
      <c r="C26" s="9">
        <f>countif(Quantities!A:A,A26)</f>
        <v>1</v>
      </c>
      <c r="D26" s="9" t="b">
        <f>IFERROR(__xludf.DUMMYFUNCTION("REGEXMATCH(A26,""(?i)ratio"")"),FALSE)</f>
        <v>0</v>
      </c>
      <c r="E26" s="9" t="b">
        <f>IFERROR(__xludf.DUMMYFUNCTION("REGEXMATCH(A26,""(?i)relationship"")"),FALSE)</f>
        <v>0</v>
      </c>
      <c r="F26" s="12"/>
      <c r="G26" s="17"/>
      <c r="H26" s="17" t="s">
        <v>229</v>
      </c>
      <c r="I26" s="31"/>
      <c r="J26" s="31"/>
      <c r="K26" s="12"/>
      <c r="L26" s="12"/>
      <c r="M26" s="32"/>
      <c r="N26" s="13" t="str">
        <f t="shared" si="3"/>
        <v/>
      </c>
      <c r="O26" s="14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>
      <c r="A27" s="22" t="s">
        <v>132</v>
      </c>
      <c r="B27" s="27" t="str">
        <f>VLOOKUP(A27,Quantities!A:B,2,false)</f>
        <v>Atomic Unit Of Second Hyperpolarizability</v>
      </c>
      <c r="C27" s="9">
        <f>countif(Quantities!A:A,A27)</f>
        <v>1</v>
      </c>
      <c r="D27" s="9" t="b">
        <f>IFERROR(__xludf.DUMMYFUNCTION("REGEXMATCH(A27,""(?i)ratio"")"),FALSE)</f>
        <v>0</v>
      </c>
      <c r="E27" s="9" t="b">
        <f>IFERROR(__xludf.DUMMYFUNCTION("REGEXMATCH(A27,""(?i)relationship"")"),FALSE)</f>
        <v>0</v>
      </c>
      <c r="F27" s="12"/>
      <c r="G27" s="17"/>
      <c r="H27" s="17" t="s">
        <v>229</v>
      </c>
      <c r="I27" s="31"/>
      <c r="J27" s="31"/>
      <c r="K27" s="12"/>
      <c r="L27" s="12"/>
      <c r="M27" s="32"/>
      <c r="N27" s="13" t="str">
        <f t="shared" si="3"/>
        <v/>
      </c>
      <c r="O27" s="14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>
      <c r="A28" s="33" t="s">
        <v>138</v>
      </c>
      <c r="B28" s="27" t="str">
        <f>VLOOKUP(A28,Quantities!A:B,2,false)</f>
        <v>Atomic Unit Of Action</v>
      </c>
      <c r="C28" s="9">
        <f>countif(Quantities!A:A,A28)</f>
        <v>1</v>
      </c>
      <c r="D28" s="9" t="b">
        <f>IFERROR(__xludf.DUMMYFUNCTION("REGEXMATCH(A28,""(?i)ratio"")"),FALSE)</f>
        <v>0</v>
      </c>
      <c r="E28" s="9" t="b">
        <f>IFERROR(__xludf.DUMMYFUNCTION("REGEXMATCH(A28,""(?i)relationship"")"),FALSE)</f>
        <v>0</v>
      </c>
      <c r="F28" s="12"/>
      <c r="G28" s="17"/>
      <c r="H28" s="17" t="s">
        <v>238</v>
      </c>
      <c r="I28" s="31"/>
      <c r="J28" s="31"/>
      <c r="K28" s="12"/>
      <c r="L28" s="12"/>
      <c r="M28" s="32"/>
      <c r="N28" s="13" t="str">
        <f t="shared" si="3"/>
        <v/>
      </c>
      <c r="O28" s="14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>
      <c r="A29" s="33" t="s">
        <v>143</v>
      </c>
      <c r="B29" s="27" t="str">
        <f>VLOOKUP(A29,Quantities!A:B,2,false)</f>
        <v>Atomic Unit Of Charge</v>
      </c>
      <c r="C29" s="9">
        <f>countif(Quantities!A:A,A29)</f>
        <v>1</v>
      </c>
      <c r="D29" s="9" t="b">
        <f>IFERROR(__xludf.DUMMYFUNCTION("REGEXMATCH(A29,""(?i)ratio"")"),FALSE)</f>
        <v>0</v>
      </c>
      <c r="E29" s="9" t="b">
        <f>IFERROR(__xludf.DUMMYFUNCTION("REGEXMATCH(A29,""(?i)relationship"")"),FALSE)</f>
        <v>0</v>
      </c>
      <c r="F29" s="12"/>
      <c r="G29" s="17"/>
      <c r="H29" s="17" t="s">
        <v>252</v>
      </c>
      <c r="I29" s="31"/>
      <c r="J29" s="31"/>
      <c r="K29" s="12"/>
      <c r="L29" s="12"/>
      <c r="M29" s="32"/>
      <c r="N29" s="13" t="str">
        <f t="shared" si="3"/>
        <v/>
      </c>
      <c r="O29" s="14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>
      <c r="A30" s="33" t="s">
        <v>146</v>
      </c>
      <c r="B30" s="27" t="str">
        <f>VLOOKUP(A30,Quantities!A:B,2,false)</f>
        <v>Atomic Unit Of Charge Density</v>
      </c>
      <c r="C30" s="9">
        <f>countif(Quantities!A:A,A30)</f>
        <v>1</v>
      </c>
      <c r="D30" s="9" t="b">
        <f>IFERROR(__xludf.DUMMYFUNCTION("REGEXMATCH(A30,""(?i)ratio"")"),FALSE)</f>
        <v>0</v>
      </c>
      <c r="E30" s="9" t="b">
        <f>IFERROR(__xludf.DUMMYFUNCTION("REGEXMATCH(A30,""(?i)relationship"")"),FALSE)</f>
        <v>0</v>
      </c>
      <c r="F30" s="12"/>
      <c r="G30" s="17"/>
      <c r="H30" s="17" t="s">
        <v>263</v>
      </c>
      <c r="I30" s="31"/>
      <c r="J30" s="31"/>
      <c r="K30" s="12"/>
      <c r="L30" s="12"/>
      <c r="M30" s="32"/>
      <c r="N30" s="13" t="str">
        <f t="shared" si="3"/>
        <v/>
      </c>
      <c r="O30" s="14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>
      <c r="A31" s="33" t="s">
        <v>153</v>
      </c>
      <c r="B31" s="27" t="str">
        <f>VLOOKUP(A31,Quantities!A:B,2,false)</f>
        <v>Atomic Unit Of Current</v>
      </c>
      <c r="C31" s="9">
        <f>countif(Quantities!A:A,A31)</f>
        <v>1</v>
      </c>
      <c r="D31" s="9" t="b">
        <f>IFERROR(__xludf.DUMMYFUNCTION("REGEXMATCH(A31,""(?i)ratio"")"),FALSE)</f>
        <v>0</v>
      </c>
      <c r="E31" s="9" t="b">
        <f>IFERROR(__xludf.DUMMYFUNCTION("REGEXMATCH(A31,""(?i)relationship"")"),FALSE)</f>
        <v>0</v>
      </c>
      <c r="F31" s="12"/>
      <c r="G31" s="17"/>
      <c r="H31" s="17" t="s">
        <v>270</v>
      </c>
      <c r="I31" s="31"/>
      <c r="J31" s="31"/>
      <c r="K31" s="12"/>
      <c r="L31" s="12"/>
      <c r="M31" s="32"/>
      <c r="N31" s="13" t="str">
        <f t="shared" si="3"/>
        <v/>
      </c>
      <c r="O31" s="14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>
      <c r="A32" s="33" t="s">
        <v>159</v>
      </c>
      <c r="B32" s="27" t="str">
        <f>VLOOKUP(A32,Quantities!A:B,2,false)</f>
        <v>Atomic Unit Of Electric Dipole Moment</v>
      </c>
      <c r="C32" s="9">
        <f>countif(Quantities!A:A,A32)</f>
        <v>1</v>
      </c>
      <c r="D32" s="9" t="b">
        <f>IFERROR(__xludf.DUMMYFUNCTION("REGEXMATCH(A32,""(?i)ratio"")"),FALSE)</f>
        <v>0</v>
      </c>
      <c r="E32" s="9" t="b">
        <f>IFERROR(__xludf.DUMMYFUNCTION("REGEXMATCH(A32,""(?i)relationship"")"),FALSE)</f>
        <v>0</v>
      </c>
      <c r="F32" s="12"/>
      <c r="G32" s="17"/>
      <c r="H32" s="17" t="s">
        <v>283</v>
      </c>
      <c r="I32" s="31"/>
      <c r="J32" s="31"/>
      <c r="K32" s="12"/>
      <c r="L32" s="12"/>
      <c r="M32" s="32"/>
      <c r="N32" s="13" t="str">
        <f t="shared" si="3"/>
        <v/>
      </c>
      <c r="O32" s="14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>
      <c r="A33" s="33" t="s">
        <v>165</v>
      </c>
      <c r="B33" s="27" t="str">
        <f>VLOOKUP(A33,Quantities!A:B,2,false)</f>
        <v>Atomic Unit Of Electric Field</v>
      </c>
      <c r="C33" s="9">
        <f>countif(Quantities!A:A,A33)</f>
        <v>1</v>
      </c>
      <c r="D33" s="9" t="b">
        <f>IFERROR(__xludf.DUMMYFUNCTION("REGEXMATCH(A33,""(?i)ratio"")"),FALSE)</f>
        <v>0</v>
      </c>
      <c r="E33" s="9" t="b">
        <f>IFERROR(__xludf.DUMMYFUNCTION("REGEXMATCH(A33,""(?i)relationship"")"),FALSE)</f>
        <v>0</v>
      </c>
      <c r="F33" s="12"/>
      <c r="G33" s="17"/>
      <c r="H33" s="17" t="s">
        <v>289</v>
      </c>
      <c r="I33" s="31"/>
      <c r="J33" s="31"/>
      <c r="K33" s="12"/>
      <c r="L33" s="12"/>
      <c r="M33" s="32"/>
      <c r="N33" s="13" t="str">
        <f t="shared" si="3"/>
        <v/>
      </c>
      <c r="O33" s="14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>
      <c r="A34" s="33" t="s">
        <v>192</v>
      </c>
      <c r="B34" s="27" t="str">
        <f>VLOOKUP(A34,Quantities!A:B,2,false)</f>
        <v>Atomic Unit Of Electric Field Gradient</v>
      </c>
      <c r="C34" s="9">
        <f>countif(Quantities!A:A,A34)</f>
        <v>1</v>
      </c>
      <c r="D34" s="9" t="b">
        <f>IFERROR(__xludf.DUMMYFUNCTION("REGEXMATCH(A34,""(?i)ratio"")"),FALSE)</f>
        <v>0</v>
      </c>
      <c r="E34" s="9" t="b">
        <f>IFERROR(__xludf.DUMMYFUNCTION("REGEXMATCH(A34,""(?i)relationship"")"),FALSE)</f>
        <v>0</v>
      </c>
      <c r="F34" s="12"/>
      <c r="G34" s="17"/>
      <c r="H34" s="17" t="s">
        <v>300</v>
      </c>
      <c r="I34" s="31"/>
      <c r="J34" s="31"/>
      <c r="K34" s="12"/>
      <c r="L34" s="12"/>
      <c r="M34" s="32"/>
      <c r="N34" s="13" t="str">
        <f t="shared" si="3"/>
        <v/>
      </c>
      <c r="O34" s="14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>
      <c r="A35" s="22" t="s">
        <v>203</v>
      </c>
      <c r="B35" s="27" t="str">
        <f>VLOOKUP(A35,Quantities!A:B,2,false)</f>
        <v>Atomic Unit Of Electric Polarizability</v>
      </c>
      <c r="C35" s="9">
        <f>countif(Quantities!A:A,A35)</f>
        <v>1</v>
      </c>
      <c r="D35" s="9" t="b">
        <f>IFERROR(__xludf.DUMMYFUNCTION("REGEXMATCH(A35,""(?i)ratio"")"),FALSE)</f>
        <v>0</v>
      </c>
      <c r="E35" s="9" t="b">
        <f>IFERROR(__xludf.DUMMYFUNCTION("REGEXMATCH(A35,""(?i)relationship"")"),FALSE)</f>
        <v>0</v>
      </c>
      <c r="F35" s="12"/>
      <c r="G35" s="17"/>
      <c r="H35" s="17" t="s">
        <v>307</v>
      </c>
      <c r="I35" s="31"/>
      <c r="J35" s="31"/>
      <c r="K35" s="12"/>
      <c r="L35" s="12"/>
      <c r="M35" s="32"/>
      <c r="N35" s="13" t="str">
        <f t="shared" si="3"/>
        <v/>
      </c>
      <c r="O35" s="14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>
      <c r="A36" s="33" t="s">
        <v>208</v>
      </c>
      <c r="B36" s="27" t="str">
        <f>VLOOKUP(A36,Quantities!A:B,2,false)</f>
        <v>Atomic Unit Of Electric Potential</v>
      </c>
      <c r="C36" s="9">
        <f>countif(Quantities!A:A,A36)</f>
        <v>1</v>
      </c>
      <c r="D36" s="9" t="b">
        <f>IFERROR(__xludf.DUMMYFUNCTION("REGEXMATCH(A36,""(?i)ratio"")"),FALSE)</f>
        <v>0</v>
      </c>
      <c r="E36" s="9" t="b">
        <f>IFERROR(__xludf.DUMMYFUNCTION("REGEXMATCH(A36,""(?i)relationship"")"),FALSE)</f>
        <v>0</v>
      </c>
      <c r="F36" s="12"/>
      <c r="G36" s="17"/>
      <c r="H36" s="17" t="s">
        <v>317</v>
      </c>
      <c r="I36" s="31"/>
      <c r="J36" s="31"/>
      <c r="K36" s="12"/>
      <c r="L36" s="12"/>
      <c r="M36" s="32"/>
      <c r="N36" s="13" t="str">
        <f t="shared" si="3"/>
        <v/>
      </c>
      <c r="O36" s="14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>
      <c r="A37" s="33" t="s">
        <v>217</v>
      </c>
      <c r="B37" s="27" t="str">
        <f>VLOOKUP(A37,Quantities!A:B,2,false)</f>
        <v>Atomic Unit Of Electric Quadrupole Moment</v>
      </c>
      <c r="C37" s="9">
        <f>countif(Quantities!A:A,A37)</f>
        <v>1</v>
      </c>
      <c r="D37" s="9" t="b">
        <f>IFERROR(__xludf.DUMMYFUNCTION("REGEXMATCH(A37,""(?i)ratio"")"),FALSE)</f>
        <v>0</v>
      </c>
      <c r="E37" s="9" t="b">
        <f>IFERROR(__xludf.DUMMYFUNCTION("REGEXMATCH(A37,""(?i)relationship"")"),FALSE)</f>
        <v>0</v>
      </c>
      <c r="F37" s="12"/>
      <c r="G37" s="17"/>
      <c r="H37" s="17" t="s">
        <v>357</v>
      </c>
      <c r="I37" s="31"/>
      <c r="J37" s="31"/>
      <c r="K37" s="12"/>
      <c r="L37" s="12"/>
      <c r="M37" s="32"/>
      <c r="N37" s="13" t="str">
        <f t="shared" si="3"/>
        <v/>
      </c>
      <c r="O37" s="14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>
      <c r="A38" s="33" t="s">
        <v>226</v>
      </c>
      <c r="B38" s="27" t="str">
        <f>VLOOKUP(A38,Quantities!A:B,2,false)</f>
        <v>Atomic Unit Of Energy</v>
      </c>
      <c r="C38" s="9">
        <f>countif(Quantities!A:A,A38)</f>
        <v>1</v>
      </c>
      <c r="D38" s="9" t="b">
        <f>IFERROR(__xludf.DUMMYFUNCTION("REGEXMATCH(A38,""(?i)ratio"")"),FALSE)</f>
        <v>0</v>
      </c>
      <c r="E38" s="9" t="b">
        <f>IFERROR(__xludf.DUMMYFUNCTION("REGEXMATCH(A38,""(?i)relationship"")"),FALSE)</f>
        <v>0</v>
      </c>
      <c r="F38" s="12"/>
      <c r="G38" s="17"/>
      <c r="H38" s="17" t="s">
        <v>365</v>
      </c>
      <c r="I38" s="31"/>
      <c r="J38" s="31"/>
      <c r="K38" s="12"/>
      <c r="L38" s="12"/>
      <c r="M38" s="32"/>
      <c r="N38" s="13" t="str">
        <f t="shared" si="3"/>
        <v/>
      </c>
      <c r="O38" s="14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>
      <c r="A39" s="33" t="s">
        <v>230</v>
      </c>
      <c r="B39" s="27" t="str">
        <f>VLOOKUP(A39,Quantities!A:B,2,false)</f>
        <v>Atomic Unit Of Force</v>
      </c>
      <c r="C39" s="9">
        <f>countif(Quantities!A:A,A39)</f>
        <v>1</v>
      </c>
      <c r="D39" s="9" t="b">
        <f>IFERROR(__xludf.DUMMYFUNCTION("REGEXMATCH(A39,""(?i)ratio"")"),FALSE)</f>
        <v>0</v>
      </c>
      <c r="E39" s="9" t="b">
        <f>IFERROR(__xludf.DUMMYFUNCTION("REGEXMATCH(A39,""(?i)relationship"")"),FALSE)</f>
        <v>0</v>
      </c>
      <c r="F39" s="12"/>
      <c r="G39" s="17"/>
      <c r="H39" s="17" t="s">
        <v>383</v>
      </c>
      <c r="I39" s="31"/>
      <c r="J39" s="31"/>
      <c r="K39" s="12"/>
      <c r="L39" s="12"/>
      <c r="M39" s="32"/>
      <c r="N39" s="13" t="str">
        <f t="shared" si="3"/>
        <v/>
      </c>
      <c r="O39" s="14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>
      <c r="A40" s="33" t="s">
        <v>232</v>
      </c>
      <c r="B40" s="27" t="str">
        <f>VLOOKUP(A40,Quantities!A:B,2,false)</f>
        <v>Atomic Unit Of Length</v>
      </c>
      <c r="C40" s="9">
        <f>countif(Quantities!A:A,A40)</f>
        <v>1</v>
      </c>
      <c r="D40" s="9" t="b">
        <f>IFERROR(__xludf.DUMMYFUNCTION("REGEXMATCH(A40,""(?i)ratio"")"),FALSE)</f>
        <v>0</v>
      </c>
      <c r="E40" s="9" t="b">
        <f>IFERROR(__xludf.DUMMYFUNCTION("REGEXMATCH(A40,""(?i)relationship"")"),FALSE)</f>
        <v>0</v>
      </c>
      <c r="F40" s="12"/>
      <c r="G40" s="17"/>
      <c r="H40" s="17" t="s">
        <v>385</v>
      </c>
      <c r="I40" s="31"/>
      <c r="J40" s="31"/>
      <c r="K40" s="12"/>
      <c r="L40" s="12"/>
      <c r="M40" s="32"/>
      <c r="N40" s="13" t="str">
        <f t="shared" si="3"/>
        <v/>
      </c>
      <c r="O40" s="14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>
      <c r="A41" s="33" t="s">
        <v>236</v>
      </c>
      <c r="B41" s="27" t="str">
        <f>VLOOKUP(A41,Quantities!A:B,2,false)</f>
        <v>Atomic Unit Of Magnetic Dipole Moment</v>
      </c>
      <c r="C41" s="9">
        <f>countif(Quantities!A:A,A41)</f>
        <v>1</v>
      </c>
      <c r="D41" s="9" t="b">
        <f>IFERROR(__xludf.DUMMYFUNCTION("REGEXMATCH(A41,""(?i)ratio"")"),FALSE)</f>
        <v>0</v>
      </c>
      <c r="E41" s="9" t="b">
        <f>IFERROR(__xludf.DUMMYFUNCTION("REGEXMATCH(A41,""(?i)relationship"")"),FALSE)</f>
        <v>0</v>
      </c>
      <c r="F41" s="12"/>
      <c r="G41" s="17"/>
      <c r="H41" s="17" t="s">
        <v>393</v>
      </c>
      <c r="I41" s="31"/>
      <c r="J41" s="31"/>
      <c r="K41" s="12"/>
      <c r="L41" s="12"/>
      <c r="M41" s="32"/>
      <c r="N41" s="13" t="str">
        <f t="shared" si="3"/>
        <v/>
      </c>
      <c r="O41" s="14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>
      <c r="A42" s="33" t="s">
        <v>239</v>
      </c>
      <c r="B42" s="27" t="str">
        <f>VLOOKUP(A42,Quantities!A:B,2,false)</f>
        <v>Atomic Unit Of Mag. Flux Density</v>
      </c>
      <c r="C42" s="9">
        <f>countif(Quantities!A:A,A42)</f>
        <v>1</v>
      </c>
      <c r="D42" s="9" t="b">
        <f>IFERROR(__xludf.DUMMYFUNCTION("REGEXMATCH(A42,""(?i)ratio"")"),FALSE)</f>
        <v>0</v>
      </c>
      <c r="E42" s="9" t="b">
        <f>IFERROR(__xludf.DUMMYFUNCTION("REGEXMATCH(A42,""(?i)relationship"")"),FALSE)</f>
        <v>0</v>
      </c>
      <c r="F42" s="12"/>
      <c r="G42" s="17"/>
      <c r="H42" s="17" t="s">
        <v>403</v>
      </c>
      <c r="I42" s="31"/>
      <c r="J42" s="31"/>
      <c r="K42" s="12"/>
      <c r="L42" s="12"/>
      <c r="M42" s="32"/>
      <c r="N42" s="13" t="str">
        <f t="shared" si="3"/>
        <v/>
      </c>
      <c r="O42" s="14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>
      <c r="A43" s="33" t="s">
        <v>247</v>
      </c>
      <c r="B43" s="27" t="str">
        <f>VLOOKUP(A43,Quantities!A:B,2,false)</f>
        <v>Atomic Unit Of Magnetizability</v>
      </c>
      <c r="C43" s="9">
        <f>countif(Quantities!A:A,A43)</f>
        <v>1</v>
      </c>
      <c r="D43" s="9" t="b">
        <f>IFERROR(__xludf.DUMMYFUNCTION("REGEXMATCH(A43,""(?i)ratio"")"),FALSE)</f>
        <v>0</v>
      </c>
      <c r="E43" s="9" t="b">
        <f>IFERROR(__xludf.DUMMYFUNCTION("REGEXMATCH(A43,""(?i)relationship"")"),FALSE)</f>
        <v>0</v>
      </c>
      <c r="F43" s="12"/>
      <c r="G43" s="17"/>
      <c r="H43" s="17" t="s">
        <v>409</v>
      </c>
      <c r="I43" s="31"/>
      <c r="J43" s="31"/>
      <c r="K43" s="12"/>
      <c r="L43" s="12"/>
      <c r="M43" s="32"/>
      <c r="N43" s="13" t="str">
        <f t="shared" si="3"/>
        <v/>
      </c>
      <c r="O43" s="14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>
      <c r="A44" s="33" t="s">
        <v>255</v>
      </c>
      <c r="B44" s="27" t="str">
        <f>VLOOKUP(A44,Quantities!A:B,2,false)</f>
        <v>Atomic Unit Of Mass</v>
      </c>
      <c r="C44" s="9">
        <f>countif(Quantities!A:A,A44)</f>
        <v>1</v>
      </c>
      <c r="D44" s="9" t="b">
        <f>IFERROR(__xludf.DUMMYFUNCTION("REGEXMATCH(A44,""(?i)ratio"")"),FALSE)</f>
        <v>0</v>
      </c>
      <c r="E44" s="9" t="b">
        <f>IFERROR(__xludf.DUMMYFUNCTION("REGEXMATCH(A44,""(?i)relationship"")"),FALSE)</f>
        <v>0</v>
      </c>
      <c r="F44" s="12"/>
      <c r="G44" s="17"/>
      <c r="H44" s="17" t="s">
        <v>419</v>
      </c>
      <c r="I44" s="31"/>
      <c r="J44" s="31"/>
      <c r="K44" s="12"/>
      <c r="L44" s="12"/>
      <c r="M44" s="32"/>
      <c r="N44" s="13" t="str">
        <f t="shared" si="3"/>
        <v/>
      </c>
      <c r="O44" s="14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>
      <c r="A45" s="33" t="s">
        <v>259</v>
      </c>
      <c r="B45" s="27" t="str">
        <f>VLOOKUP(A45,Quantities!A:B,2,false)</f>
        <v>Atomic Unit Of Momentum</v>
      </c>
      <c r="C45" s="9">
        <f>countif(Quantities!A:A,A45)</f>
        <v>1</v>
      </c>
      <c r="D45" s="9" t="b">
        <f>IFERROR(__xludf.DUMMYFUNCTION("REGEXMATCH(A45,""(?i)ratio"")"),FALSE)</f>
        <v>0</v>
      </c>
      <c r="E45" s="9" t="b">
        <f>IFERROR(__xludf.DUMMYFUNCTION("REGEXMATCH(A45,""(?i)relationship"")"),FALSE)</f>
        <v>0</v>
      </c>
      <c r="F45" s="12"/>
      <c r="G45" s="17"/>
      <c r="H45" s="17" t="s">
        <v>427</v>
      </c>
      <c r="I45" s="31"/>
      <c r="J45" s="31"/>
      <c r="K45" s="12"/>
      <c r="L45" s="12"/>
      <c r="M45" s="32"/>
      <c r="N45" s="13" t="str">
        <f t="shared" si="3"/>
        <v/>
      </c>
      <c r="O45" s="14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>
      <c r="A46" s="33" t="s">
        <v>261</v>
      </c>
      <c r="B46" s="27" t="str">
        <f>VLOOKUP(A46,Quantities!A:B,2,false)</f>
        <v>Atomic Unit Of Permittivity</v>
      </c>
      <c r="C46" s="9">
        <f>countif(Quantities!A:A,A46)</f>
        <v>1</v>
      </c>
      <c r="D46" s="9" t="b">
        <f>IFERROR(__xludf.DUMMYFUNCTION("REGEXMATCH(A46,""(?i)ratio"")"),FALSE)</f>
        <v>0</v>
      </c>
      <c r="E46" s="9" t="b">
        <f>IFERROR(__xludf.DUMMYFUNCTION("REGEXMATCH(A46,""(?i)relationship"")"),FALSE)</f>
        <v>0</v>
      </c>
      <c r="F46" s="12"/>
      <c r="G46" s="17"/>
      <c r="H46" s="17" t="s">
        <v>462</v>
      </c>
      <c r="I46" s="31"/>
      <c r="J46" s="31"/>
      <c r="K46" s="12"/>
      <c r="L46" s="12"/>
      <c r="M46" s="32"/>
      <c r="N46" s="13" t="str">
        <f t="shared" si="3"/>
        <v/>
      </c>
      <c r="O46" s="14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>
      <c r="A47" s="33" t="s">
        <v>264</v>
      </c>
      <c r="B47" s="27" t="str">
        <f>VLOOKUP(A47,Quantities!A:B,2,false)</f>
        <v>Atomic Unit Of Time</v>
      </c>
      <c r="C47" s="9">
        <f>countif(Quantities!A:A,A47)</f>
        <v>1</v>
      </c>
      <c r="D47" s="9" t="b">
        <f>IFERROR(__xludf.DUMMYFUNCTION("REGEXMATCH(A47,""(?i)ratio"")"),FALSE)</f>
        <v>0</v>
      </c>
      <c r="E47" s="9" t="b">
        <f>IFERROR(__xludf.DUMMYFUNCTION("REGEXMATCH(A47,""(?i)relationship"")"),FALSE)</f>
        <v>0</v>
      </c>
      <c r="F47" s="12"/>
      <c r="G47" s="17"/>
      <c r="H47" s="17" t="s">
        <v>472</v>
      </c>
      <c r="I47" s="31"/>
      <c r="J47" s="31"/>
      <c r="K47" s="12"/>
      <c r="L47" s="12"/>
      <c r="M47" s="32"/>
      <c r="N47" s="13" t="str">
        <f t="shared" si="3"/>
        <v/>
      </c>
      <c r="O47" s="14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>
      <c r="A48" s="33" t="s">
        <v>273</v>
      </c>
      <c r="B48" s="27" t="str">
        <f>VLOOKUP(A48,Quantities!A:B,2,false)</f>
        <v>Atomic Unit Of Velocity</v>
      </c>
      <c r="C48" s="9">
        <f>countif(Quantities!A:A,A48)</f>
        <v>1</v>
      </c>
      <c r="D48" s="9" t="b">
        <f>IFERROR(__xludf.DUMMYFUNCTION("REGEXMATCH(A48,""(?i)ratio"")"),FALSE)</f>
        <v>0</v>
      </c>
      <c r="E48" s="9" t="b">
        <f>IFERROR(__xludf.DUMMYFUNCTION("REGEXMATCH(A48,""(?i)relationship"")"),FALSE)</f>
        <v>0</v>
      </c>
      <c r="F48" s="12"/>
      <c r="G48" s="17"/>
      <c r="H48" s="17" t="s">
        <v>481</v>
      </c>
      <c r="I48" s="31"/>
      <c r="J48" s="31"/>
      <c r="K48" s="12"/>
      <c r="L48" s="12"/>
      <c r="M48" s="32"/>
      <c r="N48" s="13" t="str">
        <f t="shared" si="3"/>
        <v/>
      </c>
      <c r="O48" s="14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>
      <c r="A49" s="6" t="s">
        <v>485</v>
      </c>
      <c r="B49" s="6" t="s">
        <v>485</v>
      </c>
      <c r="C49" s="9">
        <f>countif(Quantities!A:A,A49)</f>
        <v>0</v>
      </c>
      <c r="D49" s="9" t="b">
        <f>IFERROR(__xludf.DUMMYFUNCTION("REGEXMATCH(A49,""(?i)ratio"")"),FALSE)</f>
        <v>0</v>
      </c>
      <c r="E49" s="9" t="b">
        <f>IFERROR(__xludf.DUMMYFUNCTION("REGEXMATCH(A49,""(?i)relationship"")"),FALSE)</f>
        <v>0</v>
      </c>
      <c r="F49" s="6"/>
      <c r="G49" s="6"/>
      <c r="H49" s="6"/>
      <c r="I49" s="12"/>
      <c r="J49" s="12"/>
      <c r="K49" s="12"/>
      <c r="L49" s="12"/>
      <c r="M49" s="13"/>
      <c r="N49" s="13"/>
      <c r="O49" s="14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ht="15.0" customHeight="1">
      <c r="A50" s="33" t="s">
        <v>280</v>
      </c>
      <c r="B50" s="27" t="str">
        <f>VLOOKUP(A50,Quantities!A:B,2,false)</f>
        <v>Avogadro Constant</v>
      </c>
      <c r="C50" s="9">
        <f>countif(Quantities!A:A,A50)</f>
        <v>1</v>
      </c>
      <c r="D50" s="9" t="b">
        <f>IFERROR(__xludf.DUMMYFUNCTION("REGEXMATCH(A50,""(?i)ratio"")"),FALSE)</f>
        <v>0</v>
      </c>
      <c r="E50" s="9" t="b">
        <f>IFERROR(__xludf.DUMMYFUNCTION("REGEXMATCH(A50,""(?i)relationship"")"),FALSE)</f>
        <v>0</v>
      </c>
      <c r="F50" s="12"/>
      <c r="G50" s="17" t="s">
        <v>494</v>
      </c>
      <c r="H50" s="17" t="s">
        <v>485</v>
      </c>
      <c r="I50" s="31"/>
      <c r="J50" s="31"/>
      <c r="K50" s="12"/>
      <c r="L50" s="12"/>
      <c r="M50" s="32"/>
      <c r="N50" s="13" t="str">
        <f t="shared" ref="N50:N51" si="4">if(isblank(M50),"",hyperlink("https://www.wikidata.org/wiki/"&amp;M50,M50))</f>
        <v/>
      </c>
      <c r="O50" s="14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ht="15.0" customHeight="1">
      <c r="A51" s="6" t="s">
        <v>497</v>
      </c>
      <c r="B51" s="6" t="s">
        <v>498</v>
      </c>
      <c r="C51" s="9">
        <f>countif(Quantities!A:A,A51)</f>
        <v>0</v>
      </c>
      <c r="D51" s="9" t="b">
        <f>IFERROR(__xludf.DUMMYFUNCTION("REGEXMATCH(A51,""(?i)ratio"")"),FALSE)</f>
        <v>0</v>
      </c>
      <c r="E51" s="9" t="b">
        <f>IFERROR(__xludf.DUMMYFUNCTION("REGEXMATCH(A51,""(?i)relationship"")"),FALSE)</f>
        <v>0</v>
      </c>
      <c r="F51" s="6"/>
      <c r="G51" s="12"/>
      <c r="H51" s="12"/>
      <c r="I51" s="12"/>
      <c r="J51" s="12"/>
      <c r="K51" s="12"/>
      <c r="L51" s="12"/>
      <c r="M51" s="32"/>
      <c r="N51" s="13" t="str">
        <f t="shared" si="4"/>
        <v/>
      </c>
      <c r="O51" s="14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>
      <c r="A52" s="6" t="s">
        <v>507</v>
      </c>
      <c r="B52" s="6" t="s">
        <v>507</v>
      </c>
      <c r="C52" s="9">
        <f>countif(Quantities!A:A,A52)</f>
        <v>0</v>
      </c>
      <c r="D52" s="9" t="b">
        <f>IFERROR(__xludf.DUMMYFUNCTION("REGEXMATCH(A52,""(?i)ratio"")"),FALSE)</f>
        <v>0</v>
      </c>
      <c r="E52" s="9" t="b">
        <f>IFERROR(__xludf.DUMMYFUNCTION("REGEXMATCH(A52,""(?i)relationship"")"),FALSE)</f>
        <v>0</v>
      </c>
      <c r="F52" s="6"/>
      <c r="G52" s="6"/>
      <c r="H52" s="6"/>
      <c r="I52" s="12"/>
      <c r="J52" s="12"/>
      <c r="K52" s="12"/>
      <c r="L52" s="12"/>
      <c r="M52" s="13"/>
      <c r="N52" s="13"/>
      <c r="O52" s="14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>
      <c r="A53" s="33" t="s">
        <v>287</v>
      </c>
      <c r="B53" s="27" t="str">
        <f>VLOOKUP(A53,Quantities!A:B,2,false)</f>
        <v>Bohr Magneton</v>
      </c>
      <c r="C53" s="9">
        <f>countif(Quantities!A:A,A53)</f>
        <v>1</v>
      </c>
      <c r="D53" s="9" t="b">
        <f>IFERROR(__xludf.DUMMYFUNCTION("REGEXMATCH(A53,""(?i)ratio"")"),FALSE)</f>
        <v>0</v>
      </c>
      <c r="E53" s="9" t="b">
        <f>IFERROR(__xludf.DUMMYFUNCTION("REGEXMATCH(A53,""(?i)relationship"")"),FALSE)</f>
        <v>0</v>
      </c>
      <c r="F53" s="12"/>
      <c r="G53" s="17"/>
      <c r="H53" s="17" t="s">
        <v>507</v>
      </c>
      <c r="I53" s="31"/>
      <c r="J53" s="31"/>
      <c r="K53" s="12"/>
      <c r="L53" s="12"/>
      <c r="M53" s="32"/>
      <c r="N53" s="13" t="str">
        <f t="shared" ref="N53:N54" si="5">if(isblank(M53),"",hyperlink("https://www.wikidata.org/wiki/"&amp;M53,M53))</f>
        <v/>
      </c>
      <c r="O53" s="14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>
      <c r="A54" s="33" t="s">
        <v>290</v>
      </c>
      <c r="B54" s="27" t="str">
        <f>VLOOKUP(A54,Quantities!A:B,2,false)</f>
        <v>Bohr Radius</v>
      </c>
      <c r="C54" s="9">
        <f>countif(Quantities!A:A,A54)</f>
        <v>1</v>
      </c>
      <c r="D54" s="9" t="b">
        <f>IFERROR(__xludf.DUMMYFUNCTION("REGEXMATCH(A54,""(?i)ratio"")"),FALSE)</f>
        <v>0</v>
      </c>
      <c r="E54" s="9" t="b">
        <f>IFERROR(__xludf.DUMMYFUNCTION("REGEXMATCH(A54,""(?i)relationship"")"),FALSE)</f>
        <v>0</v>
      </c>
      <c r="F54" s="12"/>
      <c r="G54" s="17"/>
      <c r="H54" s="17" t="s">
        <v>518</v>
      </c>
      <c r="I54" s="31"/>
      <c r="J54" s="31"/>
      <c r="K54" s="12"/>
      <c r="L54" s="12"/>
      <c r="M54" s="32"/>
      <c r="N54" s="13" t="str">
        <f t="shared" si="5"/>
        <v/>
      </c>
      <c r="O54" s="14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>
      <c r="A55" s="6" t="s">
        <v>519</v>
      </c>
      <c r="B55" s="6" t="s">
        <v>519</v>
      </c>
      <c r="C55" s="9">
        <f>countif(Quantities!A:A,A55)</f>
        <v>0</v>
      </c>
      <c r="D55" s="9" t="b">
        <f>IFERROR(__xludf.DUMMYFUNCTION("REGEXMATCH(A55,""(?i)ratio"")"),FALSE)</f>
        <v>0</v>
      </c>
      <c r="E55" s="9" t="b">
        <f>IFERROR(__xludf.DUMMYFUNCTION("REGEXMATCH(A55,""(?i)relationship"")"),FALSE)</f>
        <v>0</v>
      </c>
      <c r="F55" s="6"/>
      <c r="G55" s="6"/>
      <c r="H55" s="6"/>
      <c r="I55" s="12"/>
      <c r="J55" s="12"/>
      <c r="K55" s="12"/>
      <c r="L55" s="12"/>
      <c r="M55" s="13"/>
      <c r="N55" s="13"/>
      <c r="O55" s="14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>
      <c r="A56" s="33" t="s">
        <v>292</v>
      </c>
      <c r="B56" s="27" t="str">
        <f>VLOOKUP(A56,Quantities!A:B,2,false)</f>
        <v>Boltzmann Constant</v>
      </c>
      <c r="C56" s="9">
        <f>countif(Quantities!A:A,A56)</f>
        <v>1</v>
      </c>
      <c r="D56" s="9" t="b">
        <f>IFERROR(__xludf.DUMMYFUNCTION("REGEXMATCH(A56,""(?i)ratio"")"),FALSE)</f>
        <v>0</v>
      </c>
      <c r="E56" s="9" t="b">
        <f>IFERROR(__xludf.DUMMYFUNCTION("REGEXMATCH(A56,""(?i)relationship"")"),FALSE)</f>
        <v>0</v>
      </c>
      <c r="F56" s="12"/>
      <c r="G56" s="17" t="s">
        <v>494</v>
      </c>
      <c r="H56" s="17" t="s">
        <v>519</v>
      </c>
      <c r="I56" s="31"/>
      <c r="J56" s="31"/>
      <c r="K56" s="12"/>
      <c r="L56" s="12"/>
      <c r="M56" s="32"/>
      <c r="N56" s="13" t="str">
        <f>if(isblank(M56),"",hyperlink("https://www.wikidata.org/wiki/"&amp;M56,M56))</f>
        <v/>
      </c>
      <c r="O56" s="14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>
      <c r="A57" s="6" t="s">
        <v>536</v>
      </c>
      <c r="B57" s="6" t="s">
        <v>536</v>
      </c>
      <c r="C57" s="9">
        <f>countif(Quantities!A:A,A57)</f>
        <v>0</v>
      </c>
      <c r="D57" s="9" t="b">
        <f>IFERROR(__xludf.DUMMYFUNCTION("REGEXMATCH(A57,""(?i)ratio"")"),FALSE)</f>
        <v>0</v>
      </c>
      <c r="E57" s="9" t="b">
        <f>IFERROR(__xludf.DUMMYFUNCTION("REGEXMATCH(A57,""(?i)relationship"")"),FALSE)</f>
        <v>0</v>
      </c>
      <c r="F57" s="6"/>
      <c r="G57" s="12"/>
      <c r="H57" s="12"/>
      <c r="I57" s="12"/>
      <c r="J57" s="12"/>
      <c r="K57" s="12"/>
      <c r="L57" s="12"/>
      <c r="M57" s="13" t="s">
        <v>538</v>
      </c>
      <c r="N57" s="13"/>
      <c r="O57" s="20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>
      <c r="A58" s="6" t="s">
        <v>544</v>
      </c>
      <c r="B58" s="6" t="s">
        <v>545</v>
      </c>
      <c r="C58" s="9">
        <f>countif(Quantities!A:A,A58)</f>
        <v>0</v>
      </c>
      <c r="D58" s="9" t="b">
        <f>IFERROR(__xludf.DUMMYFUNCTION("REGEXMATCH(A58,""(?i)ratio"")"),FALSE)</f>
        <v>0</v>
      </c>
      <c r="E58" s="9" t="b">
        <f>IFERROR(__xludf.DUMMYFUNCTION("REGEXMATCH(A58,""(?i)relationship"")"),FALSE)</f>
        <v>0</v>
      </c>
      <c r="F58" s="6"/>
      <c r="G58" s="12"/>
      <c r="H58" s="6" t="s">
        <v>536</v>
      </c>
      <c r="I58" s="12"/>
      <c r="J58" s="12"/>
      <c r="K58" s="12"/>
      <c r="L58" s="12"/>
      <c r="M58" s="13" t="s">
        <v>547</v>
      </c>
      <c r="N58" s="13"/>
      <c r="O58" s="20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>
      <c r="A59" s="22" t="s">
        <v>550</v>
      </c>
      <c r="B59" s="22" t="s">
        <v>550</v>
      </c>
      <c r="C59" s="9">
        <f>countif(Quantities!A:A,A59)</f>
        <v>0</v>
      </c>
      <c r="D59" s="9" t="b">
        <f>IFERROR(__xludf.DUMMYFUNCTION("REGEXMATCH(A59,""(?i)ratio"")"),FALSE)</f>
        <v>0</v>
      </c>
      <c r="E59" s="9" t="b">
        <f>IFERROR(__xludf.DUMMYFUNCTION("REGEXMATCH(A59,""(?i)relationship"")"),FALSE)</f>
        <v>0</v>
      </c>
      <c r="F59" s="12"/>
      <c r="G59" s="17"/>
      <c r="H59" s="17"/>
      <c r="I59" s="31"/>
      <c r="J59" s="31"/>
      <c r="K59" s="12"/>
      <c r="L59" s="12"/>
      <c r="M59" s="13" t="s">
        <v>554</v>
      </c>
      <c r="N59" s="13"/>
      <c r="O59" s="14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>
      <c r="A60" s="22" t="s">
        <v>558</v>
      </c>
      <c r="B60" s="22" t="s">
        <v>558</v>
      </c>
      <c r="C60" s="9">
        <f>countif(Quantities!A:A,A60)</f>
        <v>0</v>
      </c>
      <c r="D60" s="9" t="b">
        <f>IFERROR(__xludf.DUMMYFUNCTION("REGEXMATCH(A60,""(?i)ratio"")"),FALSE)</f>
        <v>0</v>
      </c>
      <c r="E60" s="9" t="b">
        <f>IFERROR(__xludf.DUMMYFUNCTION("REGEXMATCH(A60,""(?i)relationship"")"),FALSE)</f>
        <v>0</v>
      </c>
      <c r="F60" s="12"/>
      <c r="G60" s="17"/>
      <c r="H60" s="17" t="s">
        <v>550</v>
      </c>
      <c r="I60" s="31"/>
      <c r="J60" s="31"/>
      <c r="K60" s="12"/>
      <c r="L60" s="12"/>
      <c r="M60" s="13" t="s">
        <v>566</v>
      </c>
      <c r="N60" s="13"/>
      <c r="O60" s="14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>
      <c r="A61" s="33" t="s">
        <v>296</v>
      </c>
      <c r="B61" s="27" t="str">
        <f>VLOOKUP(A61,Quantities!A:B,2,false)</f>
        <v>Characteristic Impedance Of Vacuum</v>
      </c>
      <c r="C61" s="9">
        <f>countif(Quantities!A:A,A61)</f>
        <v>1</v>
      </c>
      <c r="D61" s="9" t="b">
        <f>IFERROR(__xludf.DUMMYFUNCTION("REGEXMATCH(A61,""(?i)ratio"")"),FALSE)</f>
        <v>0</v>
      </c>
      <c r="E61" s="9" t="b">
        <f>IFERROR(__xludf.DUMMYFUNCTION("REGEXMATCH(A61,""(?i)relationship"")"),FALSE)</f>
        <v>0</v>
      </c>
      <c r="F61" s="12"/>
      <c r="G61" s="17"/>
      <c r="H61" s="17" t="s">
        <v>571</v>
      </c>
      <c r="I61" s="31"/>
      <c r="J61" s="31"/>
      <c r="K61" s="12"/>
      <c r="L61" s="12"/>
      <c r="M61" s="32"/>
      <c r="N61" s="13" t="str">
        <f t="shared" ref="N61:N64" si="6">if(isblank(M61),"",hyperlink("https://www.wikidata.org/wiki/"&amp;M61,M61))</f>
        <v/>
      </c>
      <c r="O61" s="14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>
      <c r="A62" s="16" t="s">
        <v>581</v>
      </c>
      <c r="B62" s="6" t="s">
        <v>581</v>
      </c>
      <c r="C62" s="9">
        <f>countif(Quantities!A:A,A62)</f>
        <v>0</v>
      </c>
      <c r="D62" s="9" t="b">
        <f>IFERROR(__xludf.DUMMYFUNCTION("REGEXMATCH(A62,""(?i)ratio"")"),FALSE)</f>
        <v>0</v>
      </c>
      <c r="E62" s="9" t="b">
        <f>IFERROR(__xludf.DUMMYFUNCTION("REGEXMATCH(A62,""(?i)relationship"")"),FALSE)</f>
        <v>0</v>
      </c>
      <c r="F62" s="6"/>
      <c r="G62" s="12"/>
      <c r="H62" s="12"/>
      <c r="I62" s="12"/>
      <c r="J62" s="12"/>
      <c r="K62" s="12"/>
      <c r="L62" s="12"/>
      <c r="M62" s="13"/>
      <c r="N62" s="13" t="str">
        <f t="shared" si="6"/>
        <v/>
      </c>
      <c r="O62" s="20" t="s">
        <v>586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>
      <c r="A63" s="16" t="s">
        <v>588</v>
      </c>
      <c r="B63" s="6" t="s">
        <v>589</v>
      </c>
      <c r="C63" s="9">
        <f>countif(Quantities!A:A,A63)</f>
        <v>0</v>
      </c>
      <c r="D63" s="9" t="b">
        <f>IFERROR(__xludf.DUMMYFUNCTION("REGEXMATCH(A63,""(?i)ratio"")"),FALSE)</f>
        <v>0</v>
      </c>
      <c r="E63" s="9" t="b">
        <f>IFERROR(__xludf.DUMMYFUNCTION("REGEXMATCH(A63,""(?i)relationship"")"),FALSE)</f>
        <v>0</v>
      </c>
      <c r="F63" s="6"/>
      <c r="G63" s="12"/>
      <c r="H63" s="6" t="s">
        <v>590</v>
      </c>
      <c r="I63" s="12"/>
      <c r="J63" s="12"/>
      <c r="K63" s="12"/>
      <c r="L63" s="12"/>
      <c r="M63" s="13"/>
      <c r="N63" s="13" t="str">
        <f t="shared" si="6"/>
        <v/>
      </c>
      <c r="O63" s="20" t="s">
        <v>591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>
      <c r="A64" s="33" t="s">
        <v>303</v>
      </c>
      <c r="B64" s="27" t="str">
        <f>VLOOKUP(A64,Quantities!A:B,2,false)</f>
        <v>Classical Electron Radius</v>
      </c>
      <c r="C64" s="9">
        <f>countif(Quantities!A:A,A64)</f>
        <v>1</v>
      </c>
      <c r="D64" s="9" t="b">
        <f>IFERROR(__xludf.DUMMYFUNCTION("REGEXMATCH(A64,""(?i)ratio"")"),FALSE)</f>
        <v>0</v>
      </c>
      <c r="E64" s="9" t="b">
        <f>IFERROR(__xludf.DUMMYFUNCTION("REGEXMATCH(A64,""(?i)relationship"")"),FALSE)</f>
        <v>0</v>
      </c>
      <c r="F64" s="12"/>
      <c r="G64" s="17"/>
      <c r="H64" s="17" t="s">
        <v>598</v>
      </c>
      <c r="I64" s="31"/>
      <c r="J64" s="31"/>
      <c r="K64" s="12"/>
      <c r="L64" s="12"/>
      <c r="M64" s="32"/>
      <c r="N64" s="13" t="str">
        <f t="shared" si="6"/>
        <v/>
      </c>
      <c r="O64" s="14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>
      <c r="A65" s="6" t="s">
        <v>602</v>
      </c>
      <c r="B65" s="6" t="s">
        <v>602</v>
      </c>
      <c r="C65" s="9">
        <f>countif(Quantities!A:A,A65)</f>
        <v>0</v>
      </c>
      <c r="D65" s="9" t="b">
        <f>IFERROR(__xludf.DUMMYFUNCTION("REGEXMATCH(A65,""(?i)ratio"")"),FALSE)</f>
        <v>0</v>
      </c>
      <c r="E65" s="9" t="b">
        <f>IFERROR(__xludf.DUMMYFUNCTION("REGEXMATCH(A65,""(?i)relationship"")"),FALSE)</f>
        <v>0</v>
      </c>
      <c r="F65" s="6"/>
      <c r="G65" s="6"/>
      <c r="H65" s="6"/>
      <c r="I65" s="12"/>
      <c r="J65" s="12"/>
      <c r="K65" s="12"/>
      <c r="L65" s="12"/>
      <c r="M65" s="13"/>
      <c r="N65" s="13"/>
      <c r="O65" s="14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>
      <c r="A66" s="33" t="s">
        <v>319</v>
      </c>
      <c r="B66" s="27" t="str">
        <f>VLOOKUP(A66,Quantities!A:B,2,false)</f>
        <v>Compton Wavelength</v>
      </c>
      <c r="C66" s="9">
        <f>countif(Quantities!A:A,A66)</f>
        <v>1</v>
      </c>
      <c r="D66" s="9" t="b">
        <f>IFERROR(__xludf.DUMMYFUNCTION("REGEXMATCH(A66,""(?i)ratio"")"),FALSE)</f>
        <v>0</v>
      </c>
      <c r="E66" s="9" t="b">
        <f>IFERROR(__xludf.DUMMYFUNCTION("REGEXMATCH(A66,""(?i)relationship"")"),FALSE)</f>
        <v>0</v>
      </c>
      <c r="F66" s="12"/>
      <c r="G66" s="17"/>
      <c r="H66" s="17" t="s">
        <v>606</v>
      </c>
      <c r="I66" s="31"/>
      <c r="J66" s="31"/>
      <c r="K66" s="12"/>
      <c r="L66" s="12"/>
      <c r="M66" s="32"/>
      <c r="N66" s="13" t="str">
        <f>if(isblank(M66),"",hyperlink("https://www.wikidata.org/wiki/"&amp;M66,M66))</f>
        <v/>
      </c>
      <c r="O66" s="14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>
      <c r="A67" s="6" t="s">
        <v>612</v>
      </c>
      <c r="B67" s="6" t="s">
        <v>612</v>
      </c>
      <c r="C67" s="9">
        <f>countif(Quantities!A:A,A67)</f>
        <v>0</v>
      </c>
      <c r="D67" s="9" t="b">
        <f>IFERROR(__xludf.DUMMYFUNCTION("REGEXMATCH(A67,""(?i)ratio"")"),FALSE)</f>
        <v>0</v>
      </c>
      <c r="E67" s="9" t="b">
        <f>IFERROR(__xludf.DUMMYFUNCTION("REGEXMATCH(A67,""(?i)relationship"")"),FALSE)</f>
        <v>0</v>
      </c>
      <c r="F67" s="6"/>
      <c r="G67" s="12"/>
      <c r="H67" s="12"/>
      <c r="I67" s="12"/>
      <c r="J67" s="12"/>
      <c r="K67" s="12"/>
      <c r="L67" s="12"/>
      <c r="M67" s="13"/>
      <c r="N67" s="13"/>
      <c r="O67" s="20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>
      <c r="A68" s="33" t="s">
        <v>322</v>
      </c>
      <c r="B68" s="27" t="str">
        <f>VLOOKUP(A68,Quantities!A:B,2,false)</f>
        <v>Conductance Quantum</v>
      </c>
      <c r="C68" s="9">
        <f>countif(Quantities!A:A,A68)</f>
        <v>1</v>
      </c>
      <c r="D68" s="9" t="b">
        <f>IFERROR(__xludf.DUMMYFUNCTION("REGEXMATCH(A68,""(?i)ratio"")"),FALSE)</f>
        <v>0</v>
      </c>
      <c r="E68" s="9" t="b">
        <f>IFERROR(__xludf.DUMMYFUNCTION("REGEXMATCH(A68,""(?i)relationship"")"),FALSE)</f>
        <v>0</v>
      </c>
      <c r="F68" s="12"/>
      <c r="G68" s="17"/>
      <c r="H68" s="17" t="s">
        <v>612</v>
      </c>
      <c r="I68" s="31"/>
      <c r="J68" s="31"/>
      <c r="K68" s="12"/>
      <c r="L68" s="12"/>
      <c r="M68" s="32"/>
      <c r="N68" s="13" t="str">
        <f t="shared" ref="N68:N69" si="7">if(isblank(M68),"",hyperlink("https://www.wikidata.org/wiki/"&amp;M68,M68))</f>
        <v/>
      </c>
      <c r="O68" s="14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>
      <c r="A69" s="6" t="s">
        <v>624</v>
      </c>
      <c r="B69" s="6" t="s">
        <v>624</v>
      </c>
      <c r="C69" s="9">
        <f>countif(Quantities!A:A,A69)</f>
        <v>0</v>
      </c>
      <c r="D69" s="9" t="b">
        <f>IFERROR(__xludf.DUMMYFUNCTION("REGEXMATCH(A69,""(?i)ratio"")"),FALSE)</f>
        <v>0</v>
      </c>
      <c r="E69" s="9" t="b">
        <f>IFERROR(__xludf.DUMMYFUNCTION("REGEXMATCH(A69,""(?i)relationship"")"),FALSE)</f>
        <v>0</v>
      </c>
      <c r="F69" s="12"/>
      <c r="G69" s="12"/>
      <c r="H69" s="12"/>
      <c r="I69" s="12"/>
      <c r="J69" s="12"/>
      <c r="K69" s="12"/>
      <c r="L69" s="12"/>
      <c r="M69" s="32"/>
      <c r="N69" s="13" t="str">
        <f t="shared" si="7"/>
        <v/>
      </c>
      <c r="O69" s="14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>
      <c r="A70" s="22" t="s">
        <v>627</v>
      </c>
      <c r="B70" s="22" t="s">
        <v>627</v>
      </c>
      <c r="C70" s="9">
        <f>countif(Quantities!A:A,A70)</f>
        <v>0</v>
      </c>
      <c r="D70" s="9" t="b">
        <f>IFERROR(__xludf.DUMMYFUNCTION("REGEXMATCH(A70,""(?i)ratio"")"),FALSE)</f>
        <v>0</v>
      </c>
      <c r="E70" s="9" t="b">
        <f>IFERROR(__xludf.DUMMYFUNCTION("REGEXMATCH(A70,""(?i)relationship"")"),FALSE)</f>
        <v>0</v>
      </c>
      <c r="F70" s="12"/>
      <c r="G70" s="17"/>
      <c r="H70" s="17"/>
      <c r="I70" s="31"/>
      <c r="J70" s="31"/>
      <c r="K70" s="12"/>
      <c r="L70" s="12"/>
      <c r="M70" s="32"/>
      <c r="N70" s="13"/>
      <c r="O70" s="14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>
      <c r="A71" s="22" t="s">
        <v>332</v>
      </c>
      <c r="B71" s="27" t="str">
        <f>VLOOKUP(A71,Quantities!A:B,2,false)</f>
        <v>Conventional Value Of Ampere-90</v>
      </c>
      <c r="C71" s="9">
        <f>countif(Quantities!A:A,A71)</f>
        <v>1</v>
      </c>
      <c r="D71" s="9" t="b">
        <f>IFERROR(__xludf.DUMMYFUNCTION("REGEXMATCH(A71,""(?i)ratio"")"),FALSE)</f>
        <v>0</v>
      </c>
      <c r="E71" s="9" t="b">
        <f>IFERROR(__xludf.DUMMYFUNCTION("REGEXMATCH(A71,""(?i)relationship"")"),FALSE)</f>
        <v>0</v>
      </c>
      <c r="F71" s="12"/>
      <c r="G71" s="17"/>
      <c r="H71" s="17" t="s">
        <v>632</v>
      </c>
      <c r="I71" s="31"/>
      <c r="J71" s="31"/>
      <c r="K71" s="12"/>
      <c r="L71" s="12"/>
      <c r="M71" s="32"/>
      <c r="N71" s="13" t="str">
        <f t="shared" ref="N71:N79" si="8">if(isblank(M71),"",hyperlink("https://www.wikidata.org/wiki/"&amp;M71,M71))</f>
        <v/>
      </c>
      <c r="O71" s="14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>
      <c r="A72" s="22" t="s">
        <v>340</v>
      </c>
      <c r="B72" s="27" t="str">
        <f>VLOOKUP(A72,Quantities!A:B,2,false)</f>
        <v>Conventional Value Of Coulomb-90</v>
      </c>
      <c r="C72" s="9">
        <f>countif(Quantities!A:A,A72)</f>
        <v>1</v>
      </c>
      <c r="D72" s="9" t="b">
        <f>IFERROR(__xludf.DUMMYFUNCTION("REGEXMATCH(A72,""(?i)ratio"")"),FALSE)</f>
        <v>0</v>
      </c>
      <c r="E72" s="9" t="b">
        <f>IFERROR(__xludf.DUMMYFUNCTION("REGEXMATCH(A72,""(?i)relationship"")"),FALSE)</f>
        <v>0</v>
      </c>
      <c r="F72" s="12"/>
      <c r="G72" s="17"/>
      <c r="H72" s="17" t="s">
        <v>638</v>
      </c>
      <c r="I72" s="31"/>
      <c r="J72" s="31"/>
      <c r="K72" s="12"/>
      <c r="L72" s="12"/>
      <c r="M72" s="32"/>
      <c r="N72" s="13" t="str">
        <f t="shared" si="8"/>
        <v/>
      </c>
      <c r="O72" s="14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>
      <c r="A73" s="22" t="s">
        <v>347</v>
      </c>
      <c r="B73" s="27" t="str">
        <f>VLOOKUP(A73,Quantities!A:B,2,false)</f>
        <v>Conventional Value Of Farad-90</v>
      </c>
      <c r="C73" s="9">
        <f>countif(Quantities!A:A,A73)</f>
        <v>1</v>
      </c>
      <c r="D73" s="9" t="b">
        <f>IFERROR(__xludf.DUMMYFUNCTION("REGEXMATCH(A73,""(?i)ratio"")"),FALSE)</f>
        <v>0</v>
      </c>
      <c r="E73" s="9" t="b">
        <f>IFERROR(__xludf.DUMMYFUNCTION("REGEXMATCH(A73,""(?i)relationship"")"),FALSE)</f>
        <v>0</v>
      </c>
      <c r="F73" s="12"/>
      <c r="G73" s="17"/>
      <c r="H73" s="17" t="s">
        <v>641</v>
      </c>
      <c r="I73" s="31"/>
      <c r="J73" s="31"/>
      <c r="K73" s="12"/>
      <c r="L73" s="12"/>
      <c r="M73" s="32"/>
      <c r="N73" s="13" t="str">
        <f t="shared" si="8"/>
        <v/>
      </c>
      <c r="O73" s="14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>
      <c r="A74" s="22" t="s">
        <v>353</v>
      </c>
      <c r="B74" s="27" t="str">
        <f>VLOOKUP(A74,Quantities!A:B,2,false)</f>
        <v>Conventional Value Of Henry-90</v>
      </c>
      <c r="C74" s="9">
        <f>countif(Quantities!A:A,A74)</f>
        <v>1</v>
      </c>
      <c r="D74" s="9" t="b">
        <f>IFERROR(__xludf.DUMMYFUNCTION("REGEXMATCH(A74,""(?i)ratio"")"),FALSE)</f>
        <v>0</v>
      </c>
      <c r="E74" s="9" t="b">
        <f>IFERROR(__xludf.DUMMYFUNCTION("REGEXMATCH(A74,""(?i)relationship"")"),FALSE)</f>
        <v>0</v>
      </c>
      <c r="F74" s="12"/>
      <c r="G74" s="17"/>
      <c r="H74" s="17" t="s">
        <v>648</v>
      </c>
      <c r="I74" s="31"/>
      <c r="J74" s="31"/>
      <c r="K74" s="12"/>
      <c r="L74" s="12"/>
      <c r="M74" s="32"/>
      <c r="N74" s="13" t="str">
        <f t="shared" si="8"/>
        <v/>
      </c>
      <c r="O74" s="14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>
      <c r="A75" s="33" t="s">
        <v>356</v>
      </c>
      <c r="B75" s="27" t="str">
        <f>VLOOKUP(A75,Quantities!A:B,2,false)</f>
        <v>Conventional Value Of Josephson Constant</v>
      </c>
      <c r="C75" s="9">
        <f>countif(Quantities!A:A,A75)</f>
        <v>1</v>
      </c>
      <c r="D75" s="9" t="b">
        <f>IFERROR(__xludf.DUMMYFUNCTION("REGEXMATCH(A75,""(?i)ratio"")"),FALSE)</f>
        <v>0</v>
      </c>
      <c r="E75" s="9" t="b">
        <f>IFERROR(__xludf.DUMMYFUNCTION("REGEXMATCH(A75,""(?i)relationship"")"),FALSE)</f>
        <v>0</v>
      </c>
      <c r="F75" s="12"/>
      <c r="G75" s="17"/>
      <c r="H75" s="17" t="s">
        <v>658</v>
      </c>
      <c r="I75" s="31"/>
      <c r="J75" s="31"/>
      <c r="K75" s="12"/>
      <c r="L75" s="12"/>
      <c r="M75" s="32"/>
      <c r="N75" s="13" t="str">
        <f t="shared" si="8"/>
        <v/>
      </c>
      <c r="O75" s="14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>
      <c r="A76" s="22" t="s">
        <v>363</v>
      </c>
      <c r="B76" s="27" t="str">
        <f>VLOOKUP(A76,Quantities!A:B,2,false)</f>
        <v>Conventional Value Of Ohm-90</v>
      </c>
      <c r="C76" s="9">
        <f>countif(Quantities!A:A,A76)</f>
        <v>1</v>
      </c>
      <c r="D76" s="9" t="b">
        <f>IFERROR(__xludf.DUMMYFUNCTION("REGEXMATCH(A76,""(?i)ratio"")"),FALSE)</f>
        <v>0</v>
      </c>
      <c r="E76" s="9" t="b">
        <f>IFERROR(__xludf.DUMMYFUNCTION("REGEXMATCH(A76,""(?i)relationship"")"),FALSE)</f>
        <v>0</v>
      </c>
      <c r="F76" s="12"/>
      <c r="G76" s="17"/>
      <c r="H76" s="17" t="s">
        <v>666</v>
      </c>
      <c r="I76" s="31"/>
      <c r="J76" s="31"/>
      <c r="K76" s="12"/>
      <c r="L76" s="12"/>
      <c r="M76" s="32"/>
      <c r="N76" s="13" t="str">
        <f t="shared" si="8"/>
        <v/>
      </c>
      <c r="O76" s="14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>
      <c r="A77" s="22" t="s">
        <v>371</v>
      </c>
      <c r="B77" s="27" t="str">
        <f>VLOOKUP(A77,Quantities!A:B,2,false)</f>
        <v>Conventional Value Of Volt-90</v>
      </c>
      <c r="C77" s="9">
        <f>countif(Quantities!A:A,A77)</f>
        <v>1</v>
      </c>
      <c r="D77" s="9" t="b">
        <f>IFERROR(__xludf.DUMMYFUNCTION("REGEXMATCH(A77,""(?i)ratio"")"),FALSE)</f>
        <v>0</v>
      </c>
      <c r="E77" s="9" t="b">
        <f>IFERROR(__xludf.DUMMYFUNCTION("REGEXMATCH(A77,""(?i)relationship"")"),FALSE)</f>
        <v>0</v>
      </c>
      <c r="F77" s="12"/>
      <c r="G77" s="17"/>
      <c r="H77" s="17" t="s">
        <v>669</v>
      </c>
      <c r="I77" s="31"/>
      <c r="J77" s="31"/>
      <c r="K77" s="12"/>
      <c r="L77" s="12"/>
      <c r="M77" s="32"/>
      <c r="N77" s="13" t="str">
        <f t="shared" si="8"/>
        <v/>
      </c>
      <c r="O77" s="14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>
      <c r="A78" s="33" t="s">
        <v>379</v>
      </c>
      <c r="B78" s="27" t="str">
        <f>VLOOKUP(A78,Quantities!A:B,2,false)</f>
        <v>Conventional Value Of Von Klitzing Constant</v>
      </c>
      <c r="C78" s="9">
        <f>countif(Quantities!A:A,A78)</f>
        <v>1</v>
      </c>
      <c r="D78" s="9" t="b">
        <f>IFERROR(__xludf.DUMMYFUNCTION("REGEXMATCH(A78,""(?i)ratio"")"),FALSE)</f>
        <v>0</v>
      </c>
      <c r="E78" s="9" t="b">
        <f>IFERROR(__xludf.DUMMYFUNCTION("REGEXMATCH(A78,""(?i)relationship"")"),FALSE)</f>
        <v>0</v>
      </c>
      <c r="F78" s="12"/>
      <c r="G78" s="17"/>
      <c r="H78" s="17" t="s">
        <v>672</v>
      </c>
      <c r="I78" s="31"/>
      <c r="J78" s="31"/>
      <c r="K78" s="12"/>
      <c r="L78" s="12"/>
      <c r="M78" s="32"/>
      <c r="N78" s="13" t="str">
        <f t="shared" si="8"/>
        <v/>
      </c>
      <c r="O78" s="14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>
      <c r="A79" s="22" t="s">
        <v>387</v>
      </c>
      <c r="B79" s="27" t="str">
        <f>VLOOKUP(A79,Quantities!A:B,2,false)</f>
        <v>Conventional Value Of Watt-90</v>
      </c>
      <c r="C79" s="9">
        <f>countif(Quantities!A:A,A79)</f>
        <v>1</v>
      </c>
      <c r="D79" s="9" t="b">
        <f>IFERROR(__xludf.DUMMYFUNCTION("REGEXMATCH(A79,""(?i)ratio"")"),FALSE)</f>
        <v>0</v>
      </c>
      <c r="E79" s="9" t="b">
        <f>IFERROR(__xludf.DUMMYFUNCTION("REGEXMATCH(A79,""(?i)relationship"")"),FALSE)</f>
        <v>0</v>
      </c>
      <c r="F79" s="12"/>
      <c r="G79" s="17"/>
      <c r="H79" s="17" t="s">
        <v>677</v>
      </c>
      <c r="I79" s="31"/>
      <c r="J79" s="31"/>
      <c r="K79" s="12"/>
      <c r="L79" s="12"/>
      <c r="M79" s="32"/>
      <c r="N79" s="13" t="str">
        <f t="shared" si="8"/>
        <v/>
      </c>
      <c r="O79" s="14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>
      <c r="A80" s="6" t="s">
        <v>680</v>
      </c>
      <c r="B80" s="6" t="s">
        <v>680</v>
      </c>
      <c r="C80" s="9">
        <f>countif(Quantities!A:A,A80)</f>
        <v>0</v>
      </c>
      <c r="D80" s="9" t="b">
        <f>IFERROR(__xludf.DUMMYFUNCTION("REGEXMATCH(A80,""(?i)ratio"")"),FALSE)</f>
        <v>0</v>
      </c>
      <c r="E80" s="9" t="b">
        <f>IFERROR(__xludf.DUMMYFUNCTION("REGEXMATCH(A80,""(?i)relationship"")"),FALSE)</f>
        <v>0</v>
      </c>
      <c r="F80" s="6"/>
      <c r="G80" s="6"/>
      <c r="H80" s="6"/>
      <c r="I80" s="12"/>
      <c r="J80" s="12"/>
      <c r="K80" s="12"/>
      <c r="L80" s="12"/>
      <c r="M80" s="13"/>
      <c r="N80" s="13"/>
      <c r="O80" s="14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>
      <c r="A81" s="6" t="s">
        <v>682</v>
      </c>
      <c r="B81" s="6" t="s">
        <v>682</v>
      </c>
      <c r="C81" s="9">
        <f>countif(Quantities!A:A,A81)</f>
        <v>0</v>
      </c>
      <c r="D81" s="9" t="b">
        <f>IFERROR(__xludf.DUMMYFUNCTION("REGEXMATCH(A81,""(?i)ratio"")"),FALSE)</f>
        <v>0</v>
      </c>
      <c r="E81" s="9" t="b">
        <f>IFERROR(__xludf.DUMMYFUNCTION("REGEXMATCH(A81,""(?i)relationship"")"),FALSE)</f>
        <v>0</v>
      </c>
      <c r="F81" s="6"/>
      <c r="G81" s="12"/>
      <c r="H81" s="12"/>
      <c r="I81" s="12"/>
      <c r="J81" s="12"/>
      <c r="K81" s="12"/>
      <c r="L81" s="12"/>
      <c r="M81" s="13"/>
      <c r="N81" s="13"/>
      <c r="O81" s="20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>
      <c r="A82" s="6" t="s">
        <v>685</v>
      </c>
      <c r="B82" s="6" t="s">
        <v>686</v>
      </c>
      <c r="C82" s="9">
        <f>countif(Quantities!A:A,A82)</f>
        <v>0</v>
      </c>
      <c r="D82" s="9" t="b">
        <f>IFERROR(__xludf.DUMMYFUNCTION("REGEXMATCH(A82,""(?i)ratio"")"),FALSE)</f>
        <v>0</v>
      </c>
      <c r="E82" s="9" t="b">
        <f>IFERROR(__xludf.DUMMYFUNCTION("REGEXMATCH(A82,""(?i)relationship"")"),FALSE)</f>
        <v>0</v>
      </c>
      <c r="F82" s="6"/>
      <c r="G82" s="12"/>
      <c r="H82" s="12"/>
      <c r="I82" s="12"/>
      <c r="J82" s="12"/>
      <c r="K82" s="12"/>
      <c r="L82" s="12"/>
      <c r="M82" s="13"/>
      <c r="N82" s="13"/>
      <c r="O82" s="20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>
      <c r="A83" s="16" t="s">
        <v>689</v>
      </c>
      <c r="B83" s="6" t="s">
        <v>689</v>
      </c>
      <c r="C83" s="9">
        <f>countif(Quantities!A:A,A83)</f>
        <v>0</v>
      </c>
      <c r="D83" s="9" t="b">
        <f>IFERROR(__xludf.DUMMYFUNCTION("REGEXMATCH(A83,""(?i)ratio"")"),FALSE)</f>
        <v>0</v>
      </c>
      <c r="E83" s="9" t="b">
        <f>IFERROR(__xludf.DUMMYFUNCTION("REGEXMATCH(A83,""(?i)relationship"")"),FALSE)</f>
        <v>0</v>
      </c>
      <c r="F83" s="6"/>
      <c r="G83" s="12"/>
      <c r="H83" s="12"/>
      <c r="I83" s="12"/>
      <c r="J83" s="12"/>
      <c r="K83" s="12"/>
      <c r="L83" s="12"/>
      <c r="M83" s="13"/>
      <c r="N83" s="13" t="str">
        <f t="shared" ref="N83:N100" si="9">if(isblank(M83),"",hyperlink("https://www.wikidata.org/wiki/"&amp;M83,M83))</f>
        <v/>
      </c>
      <c r="O83" s="20" t="s">
        <v>692</v>
      </c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>
      <c r="A84" s="33" t="s">
        <v>404</v>
      </c>
      <c r="B84" s="27" t="str">
        <f>VLOOKUP(A84,Quantities!A:B,2,false)</f>
        <v>Copper X Unit</v>
      </c>
      <c r="C84" s="9">
        <f>countif(Quantities!A:A,A84)</f>
        <v>1</v>
      </c>
      <c r="D84" s="9" t="b">
        <f>IFERROR(__xludf.DUMMYFUNCTION("REGEXMATCH(A84,""(?i)ratio"")"),FALSE)</f>
        <v>0</v>
      </c>
      <c r="E84" s="9" t="b">
        <f>IFERROR(__xludf.DUMMYFUNCTION("REGEXMATCH(A84,""(?i)relationship"")"),FALSE)</f>
        <v>0</v>
      </c>
      <c r="F84" s="12"/>
      <c r="G84" s="17"/>
      <c r="H84" s="17" t="s">
        <v>680</v>
      </c>
      <c r="I84" s="31"/>
      <c r="J84" s="31"/>
      <c r="K84" s="12"/>
      <c r="L84" s="12"/>
      <c r="M84" s="32"/>
      <c r="N84" s="13" t="str">
        <f t="shared" si="9"/>
        <v/>
      </c>
      <c r="O84" s="14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>
      <c r="A85" s="22" t="s">
        <v>702</v>
      </c>
      <c r="B85" s="22" t="s">
        <v>702</v>
      </c>
      <c r="C85" s="9">
        <f>countif(Quantities!A:A,A85)</f>
        <v>0</v>
      </c>
      <c r="D85" s="9" t="b">
        <f>IFERROR(__xludf.DUMMYFUNCTION("REGEXMATCH(A85,""(?i)ratio"")"),FALSE)</f>
        <v>0</v>
      </c>
      <c r="E85" s="9" t="b">
        <f>IFERROR(__xludf.DUMMYFUNCTION("REGEXMATCH(A85,""(?i)relationship"")"),FALSE)</f>
        <v>0</v>
      </c>
      <c r="F85" s="12"/>
      <c r="G85" s="17"/>
      <c r="H85" s="17"/>
      <c r="I85" s="31"/>
      <c r="J85" s="31"/>
      <c r="K85" s="12"/>
      <c r="L85" s="12"/>
      <c r="M85" s="32"/>
      <c r="N85" s="13" t="str">
        <f t="shared" si="9"/>
        <v/>
      </c>
      <c r="O85" s="14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>
      <c r="A86" s="22" t="s">
        <v>705</v>
      </c>
      <c r="B86" s="22" t="s">
        <v>705</v>
      </c>
      <c r="C86" s="9">
        <f>countif(Quantities!A:A,A86)</f>
        <v>0</v>
      </c>
      <c r="D86" s="9" t="b">
        <f>IFERROR(__xludf.DUMMYFUNCTION("REGEXMATCH(A86,""(?i)ratio"")"),FALSE)</f>
        <v>0</v>
      </c>
      <c r="E86" s="9" t="b">
        <f>IFERROR(__xludf.DUMMYFUNCTION("REGEXMATCH(A86,""(?i)relationship"")"),FALSE)</f>
        <v>0</v>
      </c>
      <c r="F86" s="12"/>
      <c r="G86" s="17"/>
      <c r="H86" s="17"/>
      <c r="I86" s="31"/>
      <c r="J86" s="31"/>
      <c r="K86" s="12"/>
      <c r="L86" s="12"/>
      <c r="M86" s="13" t="s">
        <v>708</v>
      </c>
      <c r="N86" s="25" t="str">
        <f t="shared" si="9"/>
        <v>Q503527</v>
      </c>
      <c r="O86" s="14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>
      <c r="A87" s="33" t="s">
        <v>414</v>
      </c>
      <c r="B87" s="27" t="str">
        <f>VLOOKUP(A87,Quantities!A:B,2,false)</f>
        <v>Deuteron - Electron Magnetic Moment Ratio</v>
      </c>
      <c r="C87" s="9">
        <f>countif(Quantities!A:A,A87)</f>
        <v>1</v>
      </c>
      <c r="D87" s="9" t="b">
        <f>IFERROR(__xludf.DUMMYFUNCTION("REGEXMATCH(A87,""(?i)ratio"")"),TRUE)</f>
        <v>1</v>
      </c>
      <c r="E87" s="9" t="b">
        <f>IFERROR(__xludf.DUMMYFUNCTION("REGEXMATCH(A87,""(?i)relationship"")"),FALSE)</f>
        <v>0</v>
      </c>
      <c r="F87" s="12"/>
      <c r="G87" s="17"/>
      <c r="H87" s="17" t="s">
        <v>715</v>
      </c>
      <c r="I87" s="31"/>
      <c r="J87" s="31"/>
      <c r="K87" s="12"/>
      <c r="L87" s="12"/>
      <c r="M87" s="32"/>
      <c r="N87" s="13" t="str">
        <f t="shared" si="9"/>
        <v/>
      </c>
      <c r="O87" s="14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>
      <c r="A88" s="33" t="s">
        <v>420</v>
      </c>
      <c r="B88" s="27" t="str">
        <f>VLOOKUP(A88,Quantities!A:B,2,false)</f>
        <v>Deuteron - Electron Mass Ratio</v>
      </c>
      <c r="C88" s="9">
        <f>countif(Quantities!A:A,A88)</f>
        <v>1</v>
      </c>
      <c r="D88" s="9" t="b">
        <f>IFERROR(__xludf.DUMMYFUNCTION("REGEXMATCH(A88,""(?i)ratio"")"),TRUE)</f>
        <v>1</v>
      </c>
      <c r="E88" s="9" t="b">
        <f>IFERROR(__xludf.DUMMYFUNCTION("REGEXMATCH(A88,""(?i)relationship"")"),FALSE)</f>
        <v>0</v>
      </c>
      <c r="F88" s="12"/>
      <c r="G88" s="17"/>
      <c r="H88" s="17" t="s">
        <v>720</v>
      </c>
      <c r="I88" s="31"/>
      <c r="J88" s="31"/>
      <c r="K88" s="12"/>
      <c r="L88" s="12"/>
      <c r="M88" s="32"/>
      <c r="N88" s="13" t="str">
        <f t="shared" si="9"/>
        <v/>
      </c>
      <c r="O88" s="14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>
      <c r="A89" s="33" t="s">
        <v>428</v>
      </c>
      <c r="B89" s="27" t="str">
        <f>VLOOKUP(A89,Quantities!A:B,2,false)</f>
        <v>Deuteron G Factor</v>
      </c>
      <c r="C89" s="9">
        <f>countif(Quantities!A:A,A89)</f>
        <v>1</v>
      </c>
      <c r="D89" s="9" t="b">
        <f>IFERROR(__xludf.DUMMYFUNCTION("REGEXMATCH(A89,""(?i)ratio"")"),FALSE)</f>
        <v>0</v>
      </c>
      <c r="E89" s="9" t="b">
        <f>IFERROR(__xludf.DUMMYFUNCTION("REGEXMATCH(A89,""(?i)relationship"")"),FALSE)</f>
        <v>0</v>
      </c>
      <c r="F89" s="12"/>
      <c r="G89" s="17"/>
      <c r="H89" s="17" t="s">
        <v>723</v>
      </c>
      <c r="I89" s="31"/>
      <c r="J89" s="31"/>
      <c r="K89" s="12"/>
      <c r="L89" s="12"/>
      <c r="M89" s="32"/>
      <c r="N89" s="13" t="str">
        <f t="shared" si="9"/>
        <v/>
      </c>
      <c r="O89" s="14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>
      <c r="A90" s="33" t="s">
        <v>432</v>
      </c>
      <c r="B90" s="27" t="str">
        <f>VLOOKUP(A90,Quantities!A:B,2,false)</f>
        <v>Deuteron Magnetic Moment</v>
      </c>
      <c r="C90" s="9">
        <f>countif(Quantities!A:A,A90)</f>
        <v>1</v>
      </c>
      <c r="D90" s="9" t="b">
        <f>IFERROR(__xludf.DUMMYFUNCTION("REGEXMATCH(A90,""(?i)ratio"")"),FALSE)</f>
        <v>0</v>
      </c>
      <c r="E90" s="9" t="b">
        <f>IFERROR(__xludf.DUMMYFUNCTION("REGEXMATCH(A90,""(?i)relationship"")"),FALSE)</f>
        <v>0</v>
      </c>
      <c r="F90" s="12"/>
      <c r="G90" s="17"/>
      <c r="H90" s="17" t="s">
        <v>738</v>
      </c>
      <c r="I90" s="31"/>
      <c r="J90" s="31"/>
      <c r="K90" s="12"/>
      <c r="L90" s="12"/>
      <c r="M90" s="32"/>
      <c r="N90" s="13" t="str">
        <f t="shared" si="9"/>
        <v/>
      </c>
      <c r="O90" s="14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>
      <c r="A91" s="33" t="s">
        <v>441</v>
      </c>
      <c r="B91" s="27" t="str">
        <f>VLOOKUP(A91,Quantities!A:B,2,false)</f>
        <v>Deuteron Magnetic Moment To Bohr Magneton Ratio</v>
      </c>
      <c r="C91" s="9">
        <f>countif(Quantities!A:A,A91)</f>
        <v>1</v>
      </c>
      <c r="D91" s="9" t="b">
        <f>IFERROR(__xludf.DUMMYFUNCTION("REGEXMATCH(A91,""(?i)ratio"")"),TRUE)</f>
        <v>1</v>
      </c>
      <c r="E91" s="9" t="b">
        <f>IFERROR(__xludf.DUMMYFUNCTION("REGEXMATCH(A91,""(?i)relationship"")"),FALSE)</f>
        <v>0</v>
      </c>
      <c r="F91" s="12"/>
      <c r="G91" s="17"/>
      <c r="H91" s="17" t="s">
        <v>745</v>
      </c>
      <c r="I91" s="31"/>
      <c r="J91" s="31"/>
      <c r="K91" s="12"/>
      <c r="L91" s="12"/>
      <c r="M91" s="32"/>
      <c r="N91" s="13" t="str">
        <f t="shared" si="9"/>
        <v/>
      </c>
      <c r="O91" s="14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>
      <c r="A92" s="33" t="s">
        <v>444</v>
      </c>
      <c r="B92" s="27" t="str">
        <f>VLOOKUP(A92,Quantities!A:B,2,false)</f>
        <v>Deuteron Magnetic Moment To Nuclear Magneton Ratio</v>
      </c>
      <c r="C92" s="9">
        <f>countif(Quantities!A:A,A92)</f>
        <v>1</v>
      </c>
      <c r="D92" s="9" t="b">
        <f>IFERROR(__xludf.DUMMYFUNCTION("REGEXMATCH(A92,""(?i)ratio"")"),TRUE)</f>
        <v>1</v>
      </c>
      <c r="E92" s="9" t="b">
        <f>IFERROR(__xludf.DUMMYFUNCTION("REGEXMATCH(A92,""(?i)relationship"")"),FALSE)</f>
        <v>0</v>
      </c>
      <c r="F92" s="12"/>
      <c r="G92" s="17"/>
      <c r="H92" s="17" t="s">
        <v>748</v>
      </c>
      <c r="I92" s="31"/>
      <c r="J92" s="31"/>
      <c r="K92" s="12"/>
      <c r="L92" s="12"/>
      <c r="M92" s="32"/>
      <c r="N92" s="13" t="str">
        <f t="shared" si="9"/>
        <v/>
      </c>
      <c r="O92" s="14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>
      <c r="A93" s="33" t="s">
        <v>447</v>
      </c>
      <c r="B93" s="27" t="str">
        <f>VLOOKUP(A93,Quantities!A:B,2,false)</f>
        <v>Deuteron Mass</v>
      </c>
      <c r="C93" s="9">
        <f>countif(Quantities!A:A,A93)</f>
        <v>1</v>
      </c>
      <c r="D93" s="9" t="b">
        <f>IFERROR(__xludf.DUMMYFUNCTION("REGEXMATCH(A93,""(?i)ratio"")"),FALSE)</f>
        <v>0</v>
      </c>
      <c r="E93" s="9" t="b">
        <f>IFERROR(__xludf.DUMMYFUNCTION("REGEXMATCH(A93,""(?i)relationship"")"),FALSE)</f>
        <v>0</v>
      </c>
      <c r="F93" s="12"/>
      <c r="G93" s="17"/>
      <c r="H93" s="17" t="s">
        <v>762</v>
      </c>
      <c r="I93" s="31"/>
      <c r="J93" s="31"/>
      <c r="K93" s="12"/>
      <c r="L93" s="12"/>
      <c r="M93" s="32"/>
      <c r="N93" s="13" t="str">
        <f t="shared" si="9"/>
        <v/>
      </c>
      <c r="O93" s="14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>
      <c r="A94" s="17" t="s">
        <v>456</v>
      </c>
      <c r="B94" s="27" t="str">
        <f>VLOOKUP(A94,Quantities!A:B,2,false)</f>
        <v>Deuteron Mass Energy Equivalent</v>
      </c>
      <c r="C94" s="9">
        <f>countif(Quantities!A:A,A94)</f>
        <v>1</v>
      </c>
      <c r="D94" s="9" t="b">
        <f>IFERROR(__xludf.DUMMYFUNCTION("REGEXMATCH(A94,""(?i)ratio"")"),FALSE)</f>
        <v>0</v>
      </c>
      <c r="E94" s="9" t="b">
        <f>IFERROR(__xludf.DUMMYFUNCTION("REGEXMATCH(A94,""(?i)relationship"")"),FALSE)</f>
        <v>0</v>
      </c>
      <c r="F94" s="12"/>
      <c r="G94" s="17"/>
      <c r="H94" s="17" t="s">
        <v>765</v>
      </c>
      <c r="I94" s="31"/>
      <c r="J94" s="31"/>
      <c r="K94" s="12"/>
      <c r="L94" s="12"/>
      <c r="M94" s="32"/>
      <c r="N94" s="13" t="str">
        <f t="shared" si="9"/>
        <v/>
      </c>
      <c r="O94" s="14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>
      <c r="A95" s="33" t="s">
        <v>460</v>
      </c>
      <c r="B95" s="27" t="str">
        <f>VLOOKUP(A95,Quantities!A:B,2,false)</f>
        <v>Deuteron Molar Mass</v>
      </c>
      <c r="C95" s="9">
        <f>countif(Quantities!A:A,A95)</f>
        <v>1</v>
      </c>
      <c r="D95" s="9" t="b">
        <f>IFERROR(__xludf.DUMMYFUNCTION("REGEXMATCH(A95,""(?i)ratio"")"),FALSE)</f>
        <v>0</v>
      </c>
      <c r="E95" s="9" t="b">
        <f>IFERROR(__xludf.DUMMYFUNCTION("REGEXMATCH(A95,""(?i)relationship"")"),FALSE)</f>
        <v>0</v>
      </c>
      <c r="F95" s="12"/>
      <c r="G95" s="17"/>
      <c r="H95" s="17" t="s">
        <v>769</v>
      </c>
      <c r="I95" s="31"/>
      <c r="J95" s="31"/>
      <c r="K95" s="12"/>
      <c r="L95" s="12"/>
      <c r="M95" s="32"/>
      <c r="N95" s="13" t="str">
        <f t="shared" si="9"/>
        <v/>
      </c>
      <c r="O95" s="14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>
      <c r="A96" s="33" t="s">
        <v>467</v>
      </c>
      <c r="B96" s="27" t="str">
        <f>VLOOKUP(A96,Quantities!A:B,2,false)</f>
        <v>Deuteron - Neutron Magnetic Moment Ratio</v>
      </c>
      <c r="C96" s="9">
        <f>countif(Quantities!A:A,A96)</f>
        <v>1</v>
      </c>
      <c r="D96" s="9" t="b">
        <f>IFERROR(__xludf.DUMMYFUNCTION("REGEXMATCH(A96,""(?i)ratio"")"),TRUE)</f>
        <v>1</v>
      </c>
      <c r="E96" s="9" t="b">
        <f>IFERROR(__xludf.DUMMYFUNCTION("REGEXMATCH(A96,""(?i)relationship"")"),FALSE)</f>
        <v>0</v>
      </c>
      <c r="F96" s="12"/>
      <c r="G96" s="17"/>
      <c r="H96" s="17" t="s">
        <v>775</v>
      </c>
      <c r="I96" s="31"/>
      <c r="J96" s="31"/>
      <c r="K96" s="12"/>
      <c r="L96" s="12"/>
      <c r="M96" s="32"/>
      <c r="N96" s="13" t="str">
        <f t="shared" si="9"/>
        <v/>
      </c>
      <c r="O96" s="14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>
      <c r="A97" s="33" t="s">
        <v>470</v>
      </c>
      <c r="B97" s="27" t="str">
        <f>VLOOKUP(A97,Quantities!A:B,2,false)</f>
        <v>Deuteron - Proton Magnetic Moment Ratio</v>
      </c>
      <c r="C97" s="9">
        <f>countif(Quantities!A:A,A97)</f>
        <v>1</v>
      </c>
      <c r="D97" s="9" t="b">
        <f>IFERROR(__xludf.DUMMYFUNCTION("REGEXMATCH(A97,""(?i)ratio"")"),TRUE)</f>
        <v>1</v>
      </c>
      <c r="E97" s="9" t="b">
        <f>IFERROR(__xludf.DUMMYFUNCTION("REGEXMATCH(A97,""(?i)relationship"")"),FALSE)</f>
        <v>0</v>
      </c>
      <c r="F97" s="12"/>
      <c r="G97" s="17"/>
      <c r="H97" s="17" t="s">
        <v>780</v>
      </c>
      <c r="I97" s="31"/>
      <c r="J97" s="31"/>
      <c r="K97" s="12"/>
      <c r="L97" s="12"/>
      <c r="M97" s="32"/>
      <c r="N97" s="13" t="str">
        <f t="shared" si="9"/>
        <v/>
      </c>
      <c r="O97" s="14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>
      <c r="A98" s="33" t="s">
        <v>477</v>
      </c>
      <c r="B98" s="27" t="str">
        <f>VLOOKUP(A98,Quantities!A:B,2,false)</f>
        <v>Deuteron - Proton Mass Ratio</v>
      </c>
      <c r="C98" s="9">
        <f>countif(Quantities!A:A,A98)</f>
        <v>1</v>
      </c>
      <c r="D98" s="9" t="b">
        <f>IFERROR(__xludf.DUMMYFUNCTION("REGEXMATCH(A98,""(?i)ratio"")"),TRUE)</f>
        <v>1</v>
      </c>
      <c r="E98" s="9" t="b">
        <f>IFERROR(__xludf.DUMMYFUNCTION("REGEXMATCH(A98,""(?i)relationship"")"),FALSE)</f>
        <v>0</v>
      </c>
      <c r="F98" s="12"/>
      <c r="G98" s="17"/>
      <c r="H98" s="17" t="s">
        <v>786</v>
      </c>
      <c r="I98" s="31"/>
      <c r="J98" s="31"/>
      <c r="K98" s="12"/>
      <c r="L98" s="12"/>
      <c r="M98" s="32"/>
      <c r="N98" s="13" t="str">
        <f t="shared" si="9"/>
        <v/>
      </c>
      <c r="O98" s="14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>
      <c r="A99" s="33" t="s">
        <v>483</v>
      </c>
      <c r="B99" s="27" t="str">
        <f>VLOOKUP(A99,Quantities!A:B,2,false)</f>
        <v>Deuteron Relative Atomic Mass</v>
      </c>
      <c r="C99" s="9">
        <f>countif(Quantities!A:A,A99)</f>
        <v>1</v>
      </c>
      <c r="D99" s="9" t="b">
        <f>IFERROR(__xludf.DUMMYFUNCTION("REGEXMATCH(A99,""(?i)ratio"")"),FALSE)</f>
        <v>0</v>
      </c>
      <c r="E99" s="9" t="b">
        <f>IFERROR(__xludf.DUMMYFUNCTION("REGEXMATCH(A99,""(?i)relationship"")"),FALSE)</f>
        <v>0</v>
      </c>
      <c r="F99" s="12"/>
      <c r="G99" s="17"/>
      <c r="H99" s="17" t="s">
        <v>792</v>
      </c>
      <c r="I99" s="31"/>
      <c r="J99" s="31"/>
      <c r="K99" s="12"/>
      <c r="L99" s="12"/>
      <c r="M99" s="32"/>
      <c r="N99" s="13" t="str">
        <f t="shared" si="9"/>
        <v/>
      </c>
      <c r="O99" s="14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>
      <c r="A100" s="33" t="s">
        <v>488</v>
      </c>
      <c r="B100" s="27" t="str">
        <f>VLOOKUP(A100,Quantities!A:B,2,false)</f>
        <v>Deuteron Rms Charge Radius</v>
      </c>
      <c r="C100" s="9">
        <f>countif(Quantities!A:A,A100)</f>
        <v>1</v>
      </c>
      <c r="D100" s="9" t="b">
        <f>IFERROR(__xludf.DUMMYFUNCTION("REGEXMATCH(A100,""(?i)ratio"")"),FALSE)</f>
        <v>0</v>
      </c>
      <c r="E100" s="9" t="b">
        <f>IFERROR(__xludf.DUMMYFUNCTION("REGEXMATCH(A100,""(?i)relationship"")"),FALSE)</f>
        <v>0</v>
      </c>
      <c r="F100" s="12"/>
      <c r="G100" s="17"/>
      <c r="H100" s="17" t="s">
        <v>797</v>
      </c>
      <c r="I100" s="31"/>
      <c r="J100" s="31"/>
      <c r="K100" s="12"/>
      <c r="L100" s="12"/>
      <c r="M100" s="32"/>
      <c r="N100" s="13" t="str">
        <f t="shared" si="9"/>
        <v/>
      </c>
      <c r="O100" s="14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>
      <c r="A101" s="6" t="s">
        <v>798</v>
      </c>
      <c r="B101" s="6" t="s">
        <v>798</v>
      </c>
      <c r="C101" s="9">
        <f>countif(Quantities!A:A,A101)</f>
        <v>0</v>
      </c>
      <c r="D101" s="9" t="b">
        <f>IFERROR(__xludf.DUMMYFUNCTION("REGEXMATCH(A101,""(?i)ratio"")"),FALSE)</f>
        <v>0</v>
      </c>
      <c r="E101" s="9" t="b">
        <f>IFERROR(__xludf.DUMMYFUNCTION("REGEXMATCH(A101,""(?i)relationship"")"),FALSE)</f>
        <v>0</v>
      </c>
      <c r="F101" s="6"/>
      <c r="G101" s="12"/>
      <c r="H101" s="12"/>
      <c r="I101" s="12"/>
      <c r="J101" s="12"/>
      <c r="K101" s="12"/>
      <c r="L101" s="12"/>
      <c r="M101" s="13"/>
      <c r="N101" s="13"/>
      <c r="O101" s="20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>
      <c r="A102" s="6" t="s">
        <v>801</v>
      </c>
      <c r="B102" s="6" t="s">
        <v>801</v>
      </c>
      <c r="C102" s="9">
        <f>countif(Quantities!A:A,A102)</f>
        <v>0</v>
      </c>
      <c r="D102" s="9" t="b">
        <f>IFERROR(__xludf.DUMMYFUNCTION("REGEXMATCH(A102,""(?i)ratio"")"),FALSE)</f>
        <v>0</v>
      </c>
      <c r="E102" s="9" t="b">
        <f>IFERROR(__xludf.DUMMYFUNCTION("REGEXMATCH(A102,""(?i)relationship"")"),FALSE)</f>
        <v>0</v>
      </c>
      <c r="F102" s="6"/>
      <c r="G102" s="12"/>
      <c r="H102" s="12"/>
      <c r="I102" s="12"/>
      <c r="J102" s="12"/>
      <c r="K102" s="12"/>
      <c r="L102" s="12"/>
      <c r="M102" s="13"/>
      <c r="N102" s="13"/>
      <c r="O102" s="20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>
      <c r="A103" s="33" t="s">
        <v>805</v>
      </c>
      <c r="B103" s="6" t="s">
        <v>806</v>
      </c>
      <c r="C103" s="9">
        <f>countif(Quantities!A:A,A103)</f>
        <v>0</v>
      </c>
      <c r="D103" s="9" t="b">
        <f>IFERROR(__xludf.DUMMYFUNCTION("REGEXMATCH(A103,""(?i)ratio"")"),FALSE)</f>
        <v>0</v>
      </c>
      <c r="E103" s="9" t="b">
        <f>IFERROR(__xludf.DUMMYFUNCTION("REGEXMATCH(A103,""(?i)relationship"")"),FALSE)</f>
        <v>0</v>
      </c>
      <c r="F103" s="12"/>
      <c r="G103" s="17"/>
      <c r="I103" s="55"/>
      <c r="J103" s="55" t="s">
        <v>813</v>
      </c>
      <c r="K103" s="12"/>
      <c r="L103" s="12"/>
      <c r="M103" s="32"/>
      <c r="N103" s="13" t="str">
        <f t="shared" ref="N103:N109" si="10">if(isblank(M103),"",hyperlink("https://www.wikidata.org/wiki/"&amp;M103,M103))</f>
        <v/>
      </c>
      <c r="O103" s="14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>
      <c r="A104" s="16" t="s">
        <v>816</v>
      </c>
      <c r="B104" s="6" t="s">
        <v>817</v>
      </c>
      <c r="C104" s="9">
        <f>countif(Quantities!A:A,A104)</f>
        <v>0</v>
      </c>
      <c r="D104" s="9" t="b">
        <f>IFERROR(__xludf.DUMMYFUNCTION("REGEXMATCH(A104,""(?i)ratio"")"),FALSE)</f>
        <v>0</v>
      </c>
      <c r="E104" s="9" t="b">
        <f>IFERROR(__xludf.DUMMYFUNCTION("REGEXMATCH(A104,""(?i)relationship"")"),FALSE)</f>
        <v>0</v>
      </c>
      <c r="F104" s="6"/>
      <c r="G104" s="12"/>
      <c r="H104" s="12"/>
      <c r="I104" s="12"/>
      <c r="J104" s="12"/>
      <c r="K104" s="12"/>
      <c r="L104" s="12"/>
      <c r="M104" s="32"/>
      <c r="N104" s="13" t="str">
        <f t="shared" si="10"/>
        <v/>
      </c>
      <c r="O104" s="14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>
      <c r="A105" s="16" t="s">
        <v>820</v>
      </c>
      <c r="B105" s="6" t="s">
        <v>822</v>
      </c>
      <c r="C105" s="9">
        <f>countif(Quantities!A:A,A105)</f>
        <v>0</v>
      </c>
      <c r="D105" s="9" t="b">
        <f>IFERROR(__xludf.DUMMYFUNCTION("REGEXMATCH(A105,""(?i)ratio"")"),FALSE)</f>
        <v>0</v>
      </c>
      <c r="E105" s="9" t="b">
        <f>IFERROR(__xludf.DUMMYFUNCTION("REGEXMATCH(A105,""(?i)relationship"")"),FALSE)</f>
        <v>0</v>
      </c>
      <c r="F105" s="6"/>
      <c r="G105" s="12"/>
      <c r="H105" s="12"/>
      <c r="I105" s="12"/>
      <c r="J105" s="12"/>
      <c r="K105" s="12"/>
      <c r="L105" s="12"/>
      <c r="M105" s="32"/>
      <c r="N105" s="13" t="str">
        <f t="shared" si="10"/>
        <v/>
      </c>
      <c r="O105" s="14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>
      <c r="A106" s="16" t="s">
        <v>824</v>
      </c>
      <c r="B106" s="6" t="s">
        <v>825</v>
      </c>
      <c r="C106" s="9">
        <f>countif(Quantities!A:A,A106)</f>
        <v>0</v>
      </c>
      <c r="D106" s="9" t="b">
        <f>IFERROR(__xludf.DUMMYFUNCTION("REGEXMATCH(A106,""(?i)ratio"")"),FALSE)</f>
        <v>0</v>
      </c>
      <c r="E106" s="9" t="b">
        <f>IFERROR(__xludf.DUMMYFUNCTION("REGEXMATCH(A106,""(?i)relationship"")"),FALSE)</f>
        <v>0</v>
      </c>
      <c r="F106" s="6"/>
      <c r="G106" s="12"/>
      <c r="H106" s="12"/>
      <c r="I106" s="12"/>
      <c r="J106" s="12"/>
      <c r="K106" s="12"/>
      <c r="L106" s="12"/>
      <c r="M106" s="32"/>
      <c r="N106" s="13" t="str">
        <f t="shared" si="10"/>
        <v/>
      </c>
      <c r="O106" s="14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>
      <c r="A107" s="16" t="s">
        <v>828</v>
      </c>
      <c r="B107" s="6" t="s">
        <v>829</v>
      </c>
      <c r="C107" s="9">
        <f>countif(Quantities!A:A,A107)</f>
        <v>0</v>
      </c>
      <c r="D107" s="9" t="b">
        <f>IFERROR(__xludf.DUMMYFUNCTION("REGEXMATCH(A107,""(?i)ratio"")"),FALSE)</f>
        <v>0</v>
      </c>
      <c r="E107" s="9" t="b">
        <f>IFERROR(__xludf.DUMMYFUNCTION("REGEXMATCH(A107,""(?i)relationship"")"),FALSE)</f>
        <v>0</v>
      </c>
      <c r="F107" s="6"/>
      <c r="G107" s="12"/>
      <c r="H107" s="12"/>
      <c r="I107" s="12"/>
      <c r="J107" s="12"/>
      <c r="K107" s="12"/>
      <c r="L107" s="12"/>
      <c r="M107" s="32"/>
      <c r="N107" s="13" t="str">
        <f t="shared" si="10"/>
        <v/>
      </c>
      <c r="O107" s="14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>
      <c r="A108" s="16" t="s">
        <v>836</v>
      </c>
      <c r="B108" s="6" t="s">
        <v>837</v>
      </c>
      <c r="C108" s="9">
        <f>countif(Quantities!A:A,A108)</f>
        <v>0</v>
      </c>
      <c r="D108" s="9" t="b">
        <f>IFERROR(__xludf.DUMMYFUNCTION("REGEXMATCH(A108,""(?i)ratio"")"),FALSE)</f>
        <v>0</v>
      </c>
      <c r="E108" s="9" t="b">
        <f>IFERROR(__xludf.DUMMYFUNCTION("REGEXMATCH(A108,""(?i)relationship"")"),FALSE)</f>
        <v>0</v>
      </c>
      <c r="F108" s="6"/>
      <c r="G108" s="12"/>
      <c r="H108" s="12"/>
      <c r="I108" s="12"/>
      <c r="J108" s="12"/>
      <c r="K108" s="12"/>
      <c r="L108" s="12"/>
      <c r="M108" s="32"/>
      <c r="N108" s="13" t="str">
        <f t="shared" si="10"/>
        <v/>
      </c>
      <c r="O108" s="14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>
      <c r="A109" s="16" t="s">
        <v>842</v>
      </c>
      <c r="B109" s="6" t="s">
        <v>843</v>
      </c>
      <c r="C109" s="9">
        <f>countif(Quantities!A:A,A109)</f>
        <v>0</v>
      </c>
      <c r="D109" s="9" t="b">
        <f>IFERROR(__xludf.DUMMYFUNCTION("REGEXMATCH(A109,""(?i)ratio"")"),FALSE)</f>
        <v>0</v>
      </c>
      <c r="E109" s="9" t="b">
        <f>IFERROR(__xludf.DUMMYFUNCTION("REGEXMATCH(A109,""(?i)relationship"")"),FALSE)</f>
        <v>0</v>
      </c>
      <c r="F109" s="6"/>
      <c r="G109" s="12"/>
      <c r="H109" s="12"/>
      <c r="I109" s="12"/>
      <c r="J109" s="12"/>
      <c r="K109" s="12"/>
      <c r="L109" s="12"/>
      <c r="M109" s="32"/>
      <c r="N109" s="13" t="str">
        <f t="shared" si="10"/>
        <v/>
      </c>
      <c r="O109" s="14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>
      <c r="A110" s="6" t="s">
        <v>847</v>
      </c>
      <c r="B110" s="6" t="s">
        <v>847</v>
      </c>
      <c r="C110" s="9">
        <f>countif(Quantities!A:A,A110)</f>
        <v>0</v>
      </c>
      <c r="D110" s="9" t="b">
        <f>IFERROR(__xludf.DUMMYFUNCTION("REGEXMATCH(A110,""(?i)ratio"")"),FALSE)</f>
        <v>0</v>
      </c>
      <c r="E110" s="9" t="b">
        <f>IFERROR(__xludf.DUMMYFUNCTION("REGEXMATCH(A110,""(?i)relationship"")"),FALSE)</f>
        <v>0</v>
      </c>
      <c r="F110" s="6"/>
      <c r="G110" s="12"/>
      <c r="H110" s="6" t="s">
        <v>848</v>
      </c>
      <c r="I110" s="12"/>
      <c r="J110" s="12"/>
      <c r="K110" s="12"/>
      <c r="L110" s="12"/>
      <c r="M110" s="13"/>
      <c r="N110" s="13"/>
      <c r="O110" s="20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>
      <c r="A111" s="33" t="s">
        <v>495</v>
      </c>
      <c r="B111" s="27" t="str">
        <f>VLOOKUP(A111,Quantities!A:B,2,false)</f>
        <v>Vacuum Magnetic Permeability</v>
      </c>
      <c r="C111" s="9">
        <f>countif(Quantities!A:A,A111)</f>
        <v>1</v>
      </c>
      <c r="D111" s="9" t="b">
        <f>IFERROR(__xludf.DUMMYFUNCTION("REGEXMATCH(A111,""(?i)ratio"")"),FALSE)</f>
        <v>0</v>
      </c>
      <c r="E111" s="9" t="b">
        <f>IFERROR(__xludf.DUMMYFUNCTION("REGEXMATCH(A111,""(?i)relationship"")"),FALSE)</f>
        <v>0</v>
      </c>
      <c r="F111" s="12"/>
      <c r="G111" s="17"/>
      <c r="H111" s="17" t="s">
        <v>853</v>
      </c>
      <c r="I111" s="56"/>
      <c r="J111" s="56" t="s">
        <v>855</v>
      </c>
      <c r="K111" s="12"/>
      <c r="L111" s="12"/>
      <c r="M111" s="32"/>
      <c r="N111" s="13" t="str">
        <f t="shared" ref="N111:N149" si="11">if(isblank(M111),"",hyperlink("https://www.wikidata.org/wiki/"&amp;M111,M111))</f>
        <v/>
      </c>
      <c r="O111" s="14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>
      <c r="A112" s="6" t="s">
        <v>860</v>
      </c>
      <c r="B112" s="6" t="s">
        <v>862</v>
      </c>
      <c r="C112" s="9">
        <f>countif(Quantities!A:A,A112)</f>
        <v>0</v>
      </c>
      <c r="D112" s="9" t="b">
        <f>IFERROR(__xludf.DUMMYFUNCTION("REGEXMATCH(A112,""(?i)ratio"")"),FALSE)</f>
        <v>0</v>
      </c>
      <c r="E112" s="9" t="b">
        <f>IFERROR(__xludf.DUMMYFUNCTION("REGEXMATCH(A112,""(?i)relationship"")"),FALSE)</f>
        <v>0</v>
      </c>
      <c r="F112" s="12"/>
      <c r="G112" s="6" t="s">
        <v>864</v>
      </c>
      <c r="H112" s="6"/>
      <c r="I112" s="12"/>
      <c r="J112" s="12"/>
      <c r="K112" s="12"/>
      <c r="L112" s="6" t="s">
        <v>865</v>
      </c>
      <c r="M112" s="13" t="s">
        <v>866</v>
      </c>
      <c r="N112" s="25" t="str">
        <f t="shared" si="11"/>
        <v>Q2225</v>
      </c>
      <c r="O112" s="20" t="s">
        <v>869</v>
      </c>
      <c r="P112" s="6"/>
      <c r="Q112" s="6"/>
      <c r="R112" s="6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>
      <c r="A113" s="33" t="s">
        <v>504</v>
      </c>
      <c r="B113" s="27" t="str">
        <f>VLOOKUP(A113,Quantities!A:B,2,false)</f>
        <v>Electron Charge To Mass Quotient</v>
      </c>
      <c r="C113" s="9">
        <f>countif(Quantities!A:A,A113)</f>
        <v>1</v>
      </c>
      <c r="D113" s="9" t="b">
        <f>IFERROR(__xludf.DUMMYFUNCTION("REGEXMATCH(A113,""(?i)ratio"")"),FALSE)</f>
        <v>0</v>
      </c>
      <c r="E113" s="9" t="b">
        <f>IFERROR(__xludf.DUMMYFUNCTION("REGEXMATCH(A113,""(?i)relationship"")"),FALSE)</f>
        <v>0</v>
      </c>
      <c r="F113" s="12"/>
      <c r="G113" s="17"/>
      <c r="H113" s="17" t="s">
        <v>872</v>
      </c>
      <c r="I113" s="31"/>
      <c r="J113" s="31"/>
      <c r="K113" s="12"/>
      <c r="L113" s="12"/>
      <c r="M113" s="32"/>
      <c r="N113" s="13" t="str">
        <f t="shared" si="11"/>
        <v/>
      </c>
      <c r="O113" s="14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>
      <c r="A114" s="33" t="s">
        <v>510</v>
      </c>
      <c r="B114" s="27" t="str">
        <f>VLOOKUP(A114,Quantities!A:B,2,false)</f>
        <v>Electron - Deuteron Magnetic Moment Ratio</v>
      </c>
      <c r="C114" s="9">
        <f>countif(Quantities!A:A,A114)</f>
        <v>1</v>
      </c>
      <c r="D114" s="9" t="b">
        <f>IFERROR(__xludf.DUMMYFUNCTION("REGEXMATCH(A114,""(?i)ratio"")"),TRUE)</f>
        <v>1</v>
      </c>
      <c r="E114" s="9" t="b">
        <f>IFERROR(__xludf.DUMMYFUNCTION("REGEXMATCH(A114,""(?i)relationship"")"),FALSE)</f>
        <v>0</v>
      </c>
      <c r="F114" s="12"/>
      <c r="G114" s="17"/>
      <c r="H114" s="17" t="s">
        <v>875</v>
      </c>
      <c r="I114" s="31"/>
      <c r="J114" s="31"/>
      <c r="K114" s="12"/>
      <c r="L114" s="12"/>
      <c r="M114" s="32"/>
      <c r="N114" s="13" t="str">
        <f t="shared" si="11"/>
        <v/>
      </c>
      <c r="O114" s="14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>
      <c r="A115" s="33" t="s">
        <v>514</v>
      </c>
      <c r="B115" s="27" t="str">
        <f>VLOOKUP(A115,Quantities!A:B,2,false)</f>
        <v>Electron - Deuteron Mass Ratio</v>
      </c>
      <c r="C115" s="9">
        <f>countif(Quantities!A:A,A115)</f>
        <v>1</v>
      </c>
      <c r="D115" s="9" t="b">
        <f>IFERROR(__xludf.DUMMYFUNCTION("REGEXMATCH(A115,""(?i)ratio"")"),TRUE)</f>
        <v>1</v>
      </c>
      <c r="E115" s="9" t="b">
        <f>IFERROR(__xludf.DUMMYFUNCTION("REGEXMATCH(A115,""(?i)relationship"")"),FALSE)</f>
        <v>0</v>
      </c>
      <c r="F115" s="12"/>
      <c r="G115" s="17"/>
      <c r="H115" s="17" t="s">
        <v>880</v>
      </c>
      <c r="I115" s="31"/>
      <c r="J115" s="31"/>
      <c r="K115" s="12"/>
      <c r="L115" s="12"/>
      <c r="M115" s="32"/>
      <c r="N115" s="13" t="str">
        <f t="shared" si="11"/>
        <v/>
      </c>
      <c r="O115" s="14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>
      <c r="A116" s="33" t="s">
        <v>516</v>
      </c>
      <c r="B116" s="27" t="str">
        <f>VLOOKUP(A116,Quantities!A:B,2,false)</f>
        <v>Electron G Factor</v>
      </c>
      <c r="C116" s="9">
        <f>countif(Quantities!A:A,A116)</f>
        <v>1</v>
      </c>
      <c r="D116" s="9" t="b">
        <f>IFERROR(__xludf.DUMMYFUNCTION("REGEXMATCH(A116,""(?i)ratio"")"),FALSE)</f>
        <v>0</v>
      </c>
      <c r="E116" s="9" t="b">
        <f>IFERROR(__xludf.DUMMYFUNCTION("REGEXMATCH(A116,""(?i)relationship"")"),FALSE)</f>
        <v>0</v>
      </c>
      <c r="F116" s="12"/>
      <c r="G116" s="17"/>
      <c r="H116" s="17" t="s">
        <v>887</v>
      </c>
      <c r="I116" s="31"/>
      <c r="J116" s="31"/>
      <c r="K116" s="12"/>
      <c r="L116" s="12"/>
      <c r="M116" s="32"/>
      <c r="N116" s="13" t="str">
        <f t="shared" si="11"/>
        <v/>
      </c>
      <c r="O116" s="14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>
      <c r="A117" s="33" t="s">
        <v>522</v>
      </c>
      <c r="B117" s="27" t="str">
        <f>VLOOKUP(A117,Quantities!A:B,2,false)</f>
        <v>Electron Gyromagnetic Ratio</v>
      </c>
      <c r="C117" s="9">
        <f>countif(Quantities!A:A,A117)</f>
        <v>1</v>
      </c>
      <c r="D117" s="9" t="b">
        <f>IFERROR(__xludf.DUMMYFUNCTION("REGEXMATCH(A117,""(?i)ratio"")"),TRUE)</f>
        <v>1</v>
      </c>
      <c r="E117" s="9" t="b">
        <f>IFERROR(__xludf.DUMMYFUNCTION("REGEXMATCH(A117,""(?i)relationship"")"),FALSE)</f>
        <v>0</v>
      </c>
      <c r="F117" s="12"/>
      <c r="G117" s="17"/>
      <c r="H117" s="17" t="s">
        <v>892</v>
      </c>
      <c r="I117" s="31"/>
      <c r="J117" s="31"/>
      <c r="K117" s="12"/>
      <c r="L117" s="12"/>
      <c r="M117" s="32"/>
      <c r="N117" s="13" t="str">
        <f t="shared" si="11"/>
        <v/>
      </c>
      <c r="O117" s="14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>
      <c r="A118" s="22" t="s">
        <v>533</v>
      </c>
      <c r="B118" s="27" t="str">
        <f>VLOOKUP(A118,Quantities!A:B,2,false)</f>
        <v>Electron - Helion Mass Ratio</v>
      </c>
      <c r="C118" s="9">
        <f>countif(Quantities!A:A,A118)</f>
        <v>1</v>
      </c>
      <c r="D118" s="9" t="b">
        <f>IFERROR(__xludf.DUMMYFUNCTION("REGEXMATCH(A118,""(?i)ratio"")"),TRUE)</f>
        <v>1</v>
      </c>
      <c r="E118" s="9" t="b">
        <f>IFERROR(__xludf.DUMMYFUNCTION("REGEXMATCH(A118,""(?i)relationship"")"),FALSE)</f>
        <v>0</v>
      </c>
      <c r="F118" s="12"/>
      <c r="G118" s="17"/>
      <c r="H118" s="17" t="s">
        <v>897</v>
      </c>
      <c r="I118" s="31"/>
      <c r="J118" s="31"/>
      <c r="K118" s="12"/>
      <c r="L118" s="12"/>
      <c r="M118" s="32"/>
      <c r="N118" s="13" t="str">
        <f t="shared" si="11"/>
        <v/>
      </c>
      <c r="O118" s="14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>
      <c r="A119" s="33" t="s">
        <v>539</v>
      </c>
      <c r="B119" s="27" t="str">
        <f>VLOOKUP(A119,Quantities!A:B,2,false)</f>
        <v>Electron Magnetic Moment</v>
      </c>
      <c r="C119" s="9">
        <f>countif(Quantities!A:A,A119)</f>
        <v>1</v>
      </c>
      <c r="D119" s="9" t="b">
        <f>IFERROR(__xludf.DUMMYFUNCTION("REGEXMATCH(A119,""(?i)ratio"")"),FALSE)</f>
        <v>0</v>
      </c>
      <c r="E119" s="9" t="b">
        <f>IFERROR(__xludf.DUMMYFUNCTION("REGEXMATCH(A119,""(?i)relationship"")"),FALSE)</f>
        <v>0</v>
      </c>
      <c r="F119" s="12"/>
      <c r="G119" s="17"/>
      <c r="H119" s="17" t="s">
        <v>905</v>
      </c>
      <c r="I119" s="31"/>
      <c r="J119" s="31"/>
      <c r="K119" s="12"/>
      <c r="L119" s="12"/>
      <c r="M119" s="32"/>
      <c r="N119" s="13" t="str">
        <f t="shared" si="11"/>
        <v/>
      </c>
      <c r="O119" s="14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>
      <c r="A120" s="33" t="s">
        <v>548</v>
      </c>
      <c r="B120" s="27" t="str">
        <f>VLOOKUP(A120,Quantities!A:B,2,false)</f>
        <v>Electron Magnetic Moment Anomaly</v>
      </c>
      <c r="C120" s="9">
        <f>countif(Quantities!A:A,A120)</f>
        <v>1</v>
      </c>
      <c r="D120" s="9" t="b">
        <f>IFERROR(__xludf.DUMMYFUNCTION("REGEXMATCH(A120,""(?i)ratio"")"),FALSE)</f>
        <v>0</v>
      </c>
      <c r="E120" s="9" t="b">
        <f>IFERROR(__xludf.DUMMYFUNCTION("REGEXMATCH(A120,""(?i)relationship"")"),FALSE)</f>
        <v>0</v>
      </c>
      <c r="F120" s="12"/>
      <c r="G120" s="17"/>
      <c r="H120" s="17" t="s">
        <v>905</v>
      </c>
      <c r="I120" s="31"/>
      <c r="J120" s="31"/>
      <c r="K120" s="12"/>
      <c r="L120" s="12"/>
      <c r="M120" s="32"/>
      <c r="N120" s="13" t="str">
        <f t="shared" si="11"/>
        <v/>
      </c>
      <c r="O120" s="14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>
      <c r="A121" s="33" t="s">
        <v>552</v>
      </c>
      <c r="B121" s="27" t="str">
        <f>VLOOKUP(A121,Quantities!A:B,2,false)</f>
        <v>Electron Magnetic Moment To Bohr Magneton Ratio</v>
      </c>
      <c r="C121" s="9">
        <f>countif(Quantities!A:A,A121)</f>
        <v>1</v>
      </c>
      <c r="D121" s="9" t="b">
        <f>IFERROR(__xludf.DUMMYFUNCTION("REGEXMATCH(A121,""(?i)ratio"")"),TRUE)</f>
        <v>1</v>
      </c>
      <c r="E121" s="9" t="b">
        <f>IFERROR(__xludf.DUMMYFUNCTION("REGEXMATCH(A121,""(?i)relationship"")"),FALSE)</f>
        <v>0</v>
      </c>
      <c r="F121" s="12"/>
      <c r="G121" s="17"/>
      <c r="H121" s="17" t="s">
        <v>914</v>
      </c>
      <c r="I121" s="31"/>
      <c r="J121" s="31"/>
      <c r="K121" s="12"/>
      <c r="L121" s="12"/>
      <c r="M121" s="32"/>
      <c r="N121" s="13" t="str">
        <f t="shared" si="11"/>
        <v/>
      </c>
      <c r="O121" s="14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>
      <c r="A122" s="33" t="s">
        <v>564</v>
      </c>
      <c r="B122" s="27" t="str">
        <f>VLOOKUP(A122,Quantities!A:B,2,false)</f>
        <v>Electron Magnetic Moment To Nuclear Magneton Ratio</v>
      </c>
      <c r="C122" s="9">
        <f>countif(Quantities!A:A,A122)</f>
        <v>1</v>
      </c>
      <c r="D122" s="9" t="b">
        <f>IFERROR(__xludf.DUMMYFUNCTION("REGEXMATCH(A122,""(?i)ratio"")"),TRUE)</f>
        <v>1</v>
      </c>
      <c r="E122" s="9" t="b">
        <f>IFERROR(__xludf.DUMMYFUNCTION("REGEXMATCH(A122,""(?i)relationship"")"),FALSE)</f>
        <v>0</v>
      </c>
      <c r="F122" s="12"/>
      <c r="G122" s="17"/>
      <c r="H122" s="17" t="s">
        <v>919</v>
      </c>
      <c r="I122" s="31"/>
      <c r="J122" s="31"/>
      <c r="K122" s="12"/>
      <c r="L122" s="12"/>
      <c r="M122" s="32"/>
      <c r="N122" s="13" t="str">
        <f t="shared" si="11"/>
        <v/>
      </c>
      <c r="O122" s="14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>
      <c r="A123" s="33" t="s">
        <v>569</v>
      </c>
      <c r="B123" s="27" t="str">
        <f>VLOOKUP(A123,Quantities!A:B,2,false)</f>
        <v>Electron Mass</v>
      </c>
      <c r="C123" s="9">
        <f>countif(Quantities!A:A,A123)</f>
        <v>1</v>
      </c>
      <c r="D123" s="9" t="b">
        <f>IFERROR(__xludf.DUMMYFUNCTION("REGEXMATCH(A123,""(?i)ratio"")"),FALSE)</f>
        <v>0</v>
      </c>
      <c r="E123" s="9" t="b">
        <f>IFERROR(__xludf.DUMMYFUNCTION("REGEXMATCH(A123,""(?i)relationship"")"),FALSE)</f>
        <v>0</v>
      </c>
      <c r="F123" s="12"/>
      <c r="G123" s="17"/>
      <c r="H123" s="17" t="s">
        <v>925</v>
      </c>
      <c r="I123" s="31"/>
      <c r="J123" s="31"/>
      <c r="K123" s="12"/>
      <c r="L123" s="12"/>
      <c r="M123" s="32"/>
      <c r="N123" s="13" t="str">
        <f t="shared" si="11"/>
        <v/>
      </c>
      <c r="O123" s="14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>
      <c r="A124" s="17" t="s">
        <v>573</v>
      </c>
      <c r="B124" s="27" t="str">
        <f>VLOOKUP(A124,Quantities!A:B,2,false)</f>
        <v>Electron Mass Energy Equivalent</v>
      </c>
      <c r="C124" s="9">
        <f>countif(Quantities!A:A,A124)</f>
        <v>1</v>
      </c>
      <c r="D124" s="9" t="b">
        <f>IFERROR(__xludf.DUMMYFUNCTION("REGEXMATCH(A124,""(?i)ratio"")"),FALSE)</f>
        <v>0</v>
      </c>
      <c r="E124" s="9" t="b">
        <f>IFERROR(__xludf.DUMMYFUNCTION("REGEXMATCH(A124,""(?i)relationship"")"),FALSE)</f>
        <v>0</v>
      </c>
      <c r="F124" s="12"/>
      <c r="G124" s="17"/>
      <c r="H124" s="17" t="s">
        <v>930</v>
      </c>
      <c r="I124" s="31"/>
      <c r="J124" s="31"/>
      <c r="K124" s="12"/>
      <c r="L124" s="12"/>
      <c r="M124" s="32"/>
      <c r="N124" s="13" t="str">
        <f t="shared" si="11"/>
        <v/>
      </c>
      <c r="O124" s="14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>
      <c r="A125" s="33" t="s">
        <v>578</v>
      </c>
      <c r="B125" s="27" t="str">
        <f>VLOOKUP(A125,Quantities!A:B,2,false)</f>
        <v>Electron Molar Mass</v>
      </c>
      <c r="C125" s="9">
        <f>countif(Quantities!A:A,A125)</f>
        <v>1</v>
      </c>
      <c r="D125" s="9" t="b">
        <f>IFERROR(__xludf.DUMMYFUNCTION("REGEXMATCH(A125,""(?i)ratio"")"),FALSE)</f>
        <v>0</v>
      </c>
      <c r="E125" s="9" t="b">
        <f>IFERROR(__xludf.DUMMYFUNCTION("REGEXMATCH(A125,""(?i)relationship"")"),FALSE)</f>
        <v>0</v>
      </c>
      <c r="F125" s="12"/>
      <c r="G125" s="17"/>
      <c r="H125" s="17" t="s">
        <v>933</v>
      </c>
      <c r="I125" s="31"/>
      <c r="J125" s="31"/>
      <c r="K125" s="12"/>
      <c r="L125" s="12"/>
      <c r="M125" s="32"/>
      <c r="N125" s="13" t="str">
        <f t="shared" si="11"/>
        <v/>
      </c>
      <c r="O125" s="14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>
      <c r="A126" s="33" t="s">
        <v>585</v>
      </c>
      <c r="B126" s="27" t="str">
        <f>VLOOKUP(A126,Quantities!A:B,2,false)</f>
        <v>Electron - Muon Magnetic Moment Ratio</v>
      </c>
      <c r="C126" s="9">
        <f>countif(Quantities!A:A,A126)</f>
        <v>1</v>
      </c>
      <c r="D126" s="9" t="b">
        <f>IFERROR(__xludf.DUMMYFUNCTION("REGEXMATCH(A126,""(?i)ratio"")"),TRUE)</f>
        <v>1</v>
      </c>
      <c r="E126" s="9" t="b">
        <f>IFERROR(__xludf.DUMMYFUNCTION("REGEXMATCH(A126,""(?i)relationship"")"),FALSE)</f>
        <v>0</v>
      </c>
      <c r="F126" s="12"/>
      <c r="G126" s="17"/>
      <c r="H126" s="17" t="s">
        <v>936</v>
      </c>
      <c r="I126" s="31"/>
      <c r="J126" s="31"/>
      <c r="K126" s="12"/>
      <c r="L126" s="12"/>
      <c r="M126" s="32"/>
      <c r="N126" s="13" t="str">
        <f t="shared" si="11"/>
        <v/>
      </c>
      <c r="O126" s="14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>
      <c r="A127" s="33" t="s">
        <v>593</v>
      </c>
      <c r="B127" s="27" t="str">
        <f>VLOOKUP(A127,Quantities!A:B,2,false)</f>
        <v>Electron - Muon Mass Ratio</v>
      </c>
      <c r="C127" s="9">
        <f>countif(Quantities!A:A,A127)</f>
        <v>1</v>
      </c>
      <c r="D127" s="9" t="b">
        <f>IFERROR(__xludf.DUMMYFUNCTION("REGEXMATCH(A127,""(?i)ratio"")"),TRUE)</f>
        <v>1</v>
      </c>
      <c r="E127" s="9" t="b">
        <f>IFERROR(__xludf.DUMMYFUNCTION("REGEXMATCH(A127,""(?i)relationship"")"),FALSE)</f>
        <v>0</v>
      </c>
      <c r="F127" s="12"/>
      <c r="G127" s="17"/>
      <c r="H127" s="17" t="s">
        <v>944</v>
      </c>
      <c r="I127" s="31"/>
      <c r="J127" s="31"/>
      <c r="K127" s="12"/>
      <c r="L127" s="12"/>
      <c r="M127" s="32"/>
      <c r="N127" s="13" t="str">
        <f t="shared" si="11"/>
        <v/>
      </c>
      <c r="O127" s="14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>
      <c r="A128" s="33" t="s">
        <v>599</v>
      </c>
      <c r="B128" s="27" t="str">
        <f>VLOOKUP(A128,Quantities!A:B,2,false)</f>
        <v>Electron - Neutron Magnetic Moment Ratio</v>
      </c>
      <c r="C128" s="9">
        <f>countif(Quantities!A:A,A128)</f>
        <v>1</v>
      </c>
      <c r="D128" s="9" t="b">
        <f>IFERROR(__xludf.DUMMYFUNCTION("REGEXMATCH(A128,""(?i)ratio"")"),TRUE)</f>
        <v>1</v>
      </c>
      <c r="E128" s="9" t="b">
        <f>IFERROR(__xludf.DUMMYFUNCTION("REGEXMATCH(A128,""(?i)relationship"")"),FALSE)</f>
        <v>0</v>
      </c>
      <c r="F128" s="12"/>
      <c r="G128" s="17"/>
      <c r="H128" s="17" t="s">
        <v>947</v>
      </c>
      <c r="I128" s="31"/>
      <c r="J128" s="31"/>
      <c r="K128" s="12"/>
      <c r="L128" s="12"/>
      <c r="M128" s="32"/>
      <c r="N128" s="13" t="str">
        <f t="shared" si="11"/>
        <v/>
      </c>
      <c r="O128" s="14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>
      <c r="A129" s="33" t="s">
        <v>604</v>
      </c>
      <c r="B129" s="27" t="str">
        <f>VLOOKUP(A129,Quantities!A:B,2,false)</f>
        <v>Electron - Neutron Mass Ratio</v>
      </c>
      <c r="C129" s="9">
        <f>countif(Quantities!A:A,A129)</f>
        <v>1</v>
      </c>
      <c r="D129" s="9" t="b">
        <f>IFERROR(__xludf.DUMMYFUNCTION("REGEXMATCH(A129,""(?i)ratio"")"),TRUE)</f>
        <v>1</v>
      </c>
      <c r="E129" s="9" t="b">
        <f>IFERROR(__xludf.DUMMYFUNCTION("REGEXMATCH(A129,""(?i)relationship"")"),FALSE)</f>
        <v>0</v>
      </c>
      <c r="F129" s="12"/>
      <c r="G129" s="17"/>
      <c r="H129" s="17" t="s">
        <v>952</v>
      </c>
      <c r="I129" s="31"/>
      <c r="J129" s="31"/>
      <c r="K129" s="12"/>
      <c r="L129" s="12"/>
      <c r="M129" s="32"/>
      <c r="N129" s="13" t="str">
        <f t="shared" si="11"/>
        <v/>
      </c>
      <c r="O129" s="14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>
      <c r="A130" s="33" t="s">
        <v>611</v>
      </c>
      <c r="B130" s="27" t="str">
        <f>VLOOKUP(A130,Quantities!A:B,2,false)</f>
        <v>Electron - Proton Magnetic Moment Ratio</v>
      </c>
      <c r="C130" s="9">
        <f>countif(Quantities!A:A,A130)</f>
        <v>1</v>
      </c>
      <c r="D130" s="9" t="b">
        <f>IFERROR(__xludf.DUMMYFUNCTION("REGEXMATCH(A130,""(?i)ratio"")"),TRUE)</f>
        <v>1</v>
      </c>
      <c r="E130" s="9" t="b">
        <f>IFERROR(__xludf.DUMMYFUNCTION("REGEXMATCH(A130,""(?i)relationship"")"),FALSE)</f>
        <v>0</v>
      </c>
      <c r="F130" s="12"/>
      <c r="G130" s="17"/>
      <c r="H130" s="17" t="s">
        <v>955</v>
      </c>
      <c r="I130" s="31"/>
      <c r="J130" s="31"/>
      <c r="K130" s="12"/>
      <c r="L130" s="12"/>
      <c r="M130" s="32"/>
      <c r="N130" s="13" t="str">
        <f t="shared" si="11"/>
        <v/>
      </c>
      <c r="O130" s="14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>
      <c r="A131" s="33" t="s">
        <v>620</v>
      </c>
      <c r="B131" s="27" t="str">
        <f>VLOOKUP(A131,Quantities!A:B,2,false)</f>
        <v>Electron - Proton Mass Ratio</v>
      </c>
      <c r="C131" s="9">
        <f>countif(Quantities!A:A,A131)</f>
        <v>1</v>
      </c>
      <c r="D131" s="9" t="b">
        <f>IFERROR(__xludf.DUMMYFUNCTION("REGEXMATCH(A131,""(?i)ratio"")"),TRUE)</f>
        <v>1</v>
      </c>
      <c r="E131" s="9" t="b">
        <f>IFERROR(__xludf.DUMMYFUNCTION("REGEXMATCH(A131,""(?i)relationship"")"),FALSE)</f>
        <v>0</v>
      </c>
      <c r="F131" s="12"/>
      <c r="G131" s="17"/>
      <c r="H131" s="17" t="s">
        <v>961</v>
      </c>
      <c r="I131" s="31"/>
      <c r="J131" s="31"/>
      <c r="K131" s="12"/>
      <c r="L131" s="12"/>
      <c r="M131" s="32"/>
      <c r="N131" s="13" t="str">
        <f t="shared" si="11"/>
        <v/>
      </c>
      <c r="O131" s="14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>
      <c r="A132" s="33" t="s">
        <v>625</v>
      </c>
      <c r="B132" s="27" t="str">
        <f>VLOOKUP(A132,Quantities!A:B,2,false)</f>
        <v>Electron Relative Atomic Mass</v>
      </c>
      <c r="C132" s="9">
        <f>countif(Quantities!A:A,A132)</f>
        <v>1</v>
      </c>
      <c r="D132" s="9" t="b">
        <f>IFERROR(__xludf.DUMMYFUNCTION("REGEXMATCH(A132,""(?i)ratio"")"),FALSE)</f>
        <v>0</v>
      </c>
      <c r="E132" s="9" t="b">
        <f>IFERROR(__xludf.DUMMYFUNCTION("REGEXMATCH(A132,""(?i)relationship"")"),FALSE)</f>
        <v>0</v>
      </c>
      <c r="F132" s="12"/>
      <c r="G132" s="17"/>
      <c r="H132" s="17" t="s">
        <v>967</v>
      </c>
      <c r="I132" s="31"/>
      <c r="J132" s="31"/>
      <c r="K132" s="12"/>
      <c r="L132" s="12"/>
      <c r="M132" s="32"/>
      <c r="N132" s="13" t="str">
        <f t="shared" si="11"/>
        <v/>
      </c>
      <c r="O132" s="14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>
      <c r="A133" s="33" t="s">
        <v>628</v>
      </c>
      <c r="B133" s="27" t="str">
        <f>VLOOKUP(A133,Quantities!A:B,2,false)</f>
        <v>Electron-Tau Mass Ratio</v>
      </c>
      <c r="C133" s="9">
        <f>countif(Quantities!A:A,A133)</f>
        <v>1</v>
      </c>
      <c r="D133" s="9" t="b">
        <f>IFERROR(__xludf.DUMMYFUNCTION("REGEXMATCH(A133,""(?i)ratio"")"),TRUE)</f>
        <v>1</v>
      </c>
      <c r="E133" s="9" t="b">
        <f>IFERROR(__xludf.DUMMYFUNCTION("REGEXMATCH(A133,""(?i)relationship"")"),FALSE)</f>
        <v>0</v>
      </c>
      <c r="F133" s="12"/>
      <c r="G133" s="17"/>
      <c r="H133" s="17" t="s">
        <v>972</v>
      </c>
      <c r="I133" s="31"/>
      <c r="J133" s="31"/>
      <c r="K133" s="12"/>
      <c r="L133" s="12"/>
      <c r="M133" s="32"/>
      <c r="N133" s="13" t="str">
        <f t="shared" si="11"/>
        <v/>
      </c>
      <c r="O133" s="14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>
      <c r="A134" s="33" t="s">
        <v>630</v>
      </c>
      <c r="B134" s="27" t="str">
        <f>VLOOKUP(A134,Quantities!A:B,2,false)</f>
        <v>Electron To Alpha Particle Mass Ratio</v>
      </c>
      <c r="C134" s="9">
        <f>countif(Quantities!A:A,A134)</f>
        <v>1</v>
      </c>
      <c r="D134" s="9" t="b">
        <f>IFERROR(__xludf.DUMMYFUNCTION("REGEXMATCH(A134,""(?i)ratio"")"),TRUE)</f>
        <v>1</v>
      </c>
      <c r="E134" s="9" t="b">
        <f>IFERROR(__xludf.DUMMYFUNCTION("REGEXMATCH(A134,""(?i)relationship"")"),FALSE)</f>
        <v>0</v>
      </c>
      <c r="F134" s="12"/>
      <c r="G134" s="17"/>
      <c r="H134" s="17" t="s">
        <v>975</v>
      </c>
      <c r="I134" s="31"/>
      <c r="J134" s="31"/>
      <c r="K134" s="12"/>
      <c r="L134" s="12"/>
      <c r="M134" s="32"/>
      <c r="N134" s="13" t="str">
        <f t="shared" si="11"/>
        <v/>
      </c>
      <c r="O134" s="14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>
      <c r="A135" s="33" t="s">
        <v>636</v>
      </c>
      <c r="B135" s="27" t="str">
        <f>VLOOKUP(A135,Quantities!A:B,2,false)</f>
        <v>Electron To Shielded Helion Magnetic Moment Ratio</v>
      </c>
      <c r="C135" s="9">
        <f>countif(Quantities!A:A,A135)</f>
        <v>1</v>
      </c>
      <c r="D135" s="9" t="b">
        <f>IFERROR(__xludf.DUMMYFUNCTION("REGEXMATCH(A135,""(?i)ratio"")"),TRUE)</f>
        <v>1</v>
      </c>
      <c r="E135" s="9" t="b">
        <f>IFERROR(__xludf.DUMMYFUNCTION("REGEXMATCH(A135,""(?i)relationship"")"),FALSE)</f>
        <v>0</v>
      </c>
      <c r="F135" s="12"/>
      <c r="G135" s="17"/>
      <c r="H135" s="17" t="s">
        <v>983</v>
      </c>
      <c r="I135" s="31"/>
      <c r="J135" s="31"/>
      <c r="K135" s="12"/>
      <c r="L135" s="12"/>
      <c r="M135" s="32"/>
      <c r="N135" s="13" t="str">
        <f t="shared" si="11"/>
        <v/>
      </c>
      <c r="O135" s="14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>
      <c r="A136" s="33" t="s">
        <v>639</v>
      </c>
      <c r="B136" s="27" t="str">
        <f>VLOOKUP(A136,Quantities!A:B,2,false)</f>
        <v>Electron To Shielded Proton Magnetic Moment Ratio</v>
      </c>
      <c r="C136" s="9">
        <f>countif(Quantities!A:A,A136)</f>
        <v>1</v>
      </c>
      <c r="D136" s="9" t="b">
        <f>IFERROR(__xludf.DUMMYFUNCTION("REGEXMATCH(A136,""(?i)ratio"")"),TRUE)</f>
        <v>1</v>
      </c>
      <c r="E136" s="9" t="b">
        <f>IFERROR(__xludf.DUMMYFUNCTION("REGEXMATCH(A136,""(?i)relationship"")"),FALSE)</f>
        <v>0</v>
      </c>
      <c r="F136" s="12"/>
      <c r="G136" s="17"/>
      <c r="H136" s="17" t="s">
        <v>988</v>
      </c>
      <c r="I136" s="31"/>
      <c r="J136" s="31"/>
      <c r="K136" s="12"/>
      <c r="L136" s="12"/>
      <c r="M136" s="32"/>
      <c r="N136" s="13" t="str">
        <f t="shared" si="11"/>
        <v/>
      </c>
      <c r="O136" s="14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>
      <c r="A137" s="22" t="s">
        <v>642</v>
      </c>
      <c r="B137" s="27" t="str">
        <f>VLOOKUP(A137,Quantities!A:B,2,false)</f>
        <v>Electron - Triton Mass Ratio</v>
      </c>
      <c r="C137" s="9">
        <f>countif(Quantities!A:A,A137)</f>
        <v>1</v>
      </c>
      <c r="D137" s="9" t="b">
        <f>IFERROR(__xludf.DUMMYFUNCTION("REGEXMATCH(A137,""(?i)ratio"")"),TRUE)</f>
        <v>1</v>
      </c>
      <c r="E137" s="9" t="b">
        <f>IFERROR(__xludf.DUMMYFUNCTION("REGEXMATCH(A137,""(?i)relationship"")"),FALSE)</f>
        <v>0</v>
      </c>
      <c r="F137" s="12"/>
      <c r="G137" s="17"/>
      <c r="H137" s="17" t="s">
        <v>991</v>
      </c>
      <c r="I137" s="31"/>
      <c r="J137" s="31"/>
      <c r="K137" s="12"/>
      <c r="L137" s="12"/>
      <c r="M137" s="32"/>
      <c r="N137" s="13" t="str">
        <f t="shared" si="11"/>
        <v/>
      </c>
      <c r="O137" s="14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>
      <c r="A138" s="33" t="s">
        <v>644</v>
      </c>
      <c r="B138" s="27" t="str">
        <f>VLOOKUP(A138,Quantities!A:B,2,false)</f>
        <v>Electronvolt</v>
      </c>
      <c r="C138" s="9">
        <f>countif(Quantities!A:A,A138)</f>
        <v>1</v>
      </c>
      <c r="D138" s="9" t="b">
        <f>IFERROR(__xludf.DUMMYFUNCTION("REGEXMATCH(A138,""(?i)ratio"")"),FALSE)</f>
        <v>0</v>
      </c>
      <c r="E138" s="9" t="b">
        <f>IFERROR(__xludf.DUMMYFUNCTION("REGEXMATCH(A138,""(?i)relationship"")"),FALSE)</f>
        <v>0</v>
      </c>
      <c r="F138" s="12"/>
      <c r="G138" s="17"/>
      <c r="H138" s="17" t="s">
        <v>1000</v>
      </c>
      <c r="I138" s="31"/>
      <c r="J138" s="31"/>
      <c r="K138" s="12"/>
      <c r="L138" s="12"/>
      <c r="M138" s="32"/>
      <c r="N138" s="13" t="str">
        <f t="shared" si="11"/>
        <v/>
      </c>
      <c r="O138" s="14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>
      <c r="A139" s="33" t="s">
        <v>650</v>
      </c>
      <c r="B139" s="27" t="str">
        <f>VLOOKUP(A139,Quantities!A:B,2,false)</f>
        <v>Electronvolt - Atomic Mass Unit Relationship</v>
      </c>
      <c r="C139" s="9">
        <f>countif(Quantities!A:A,A139)</f>
        <v>1</v>
      </c>
      <c r="D139" s="9" t="b">
        <f>IFERROR(__xludf.DUMMYFUNCTION("REGEXMATCH(A139,""(?i)ratio"")"),FALSE)</f>
        <v>0</v>
      </c>
      <c r="E139" s="9" t="b">
        <f>IFERROR(__xludf.DUMMYFUNCTION("REGEXMATCH(A139,""(?i)relationship"")"),TRUE)</f>
        <v>1</v>
      </c>
      <c r="F139" s="12"/>
      <c r="G139" s="17"/>
      <c r="H139" s="17" t="s">
        <v>1004</v>
      </c>
      <c r="I139" s="31"/>
      <c r="J139" s="31"/>
      <c r="K139" s="12"/>
      <c r="L139" s="12"/>
      <c r="M139" s="32"/>
      <c r="N139" s="13" t="str">
        <f t="shared" si="11"/>
        <v/>
      </c>
      <c r="O139" s="14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>
      <c r="A140" s="33" t="s">
        <v>659</v>
      </c>
      <c r="B140" s="27" t="str">
        <f>VLOOKUP(A140,Quantities!A:B,2,false)</f>
        <v>Electronvolt - Hartree Relationship</v>
      </c>
      <c r="C140" s="9">
        <f>countif(Quantities!A:A,A140)</f>
        <v>1</v>
      </c>
      <c r="D140" s="9" t="b">
        <f>IFERROR(__xludf.DUMMYFUNCTION("REGEXMATCH(A140,""(?i)ratio"")"),FALSE)</f>
        <v>0</v>
      </c>
      <c r="E140" s="9" t="b">
        <f>IFERROR(__xludf.DUMMYFUNCTION("REGEXMATCH(A140,""(?i)relationship"")"),TRUE)</f>
        <v>1</v>
      </c>
      <c r="F140" s="12"/>
      <c r="G140" s="17"/>
      <c r="H140" s="17" t="s">
        <v>1008</v>
      </c>
      <c r="I140" s="31"/>
      <c r="J140" s="31"/>
      <c r="K140" s="12"/>
      <c r="L140" s="12"/>
      <c r="M140" s="32"/>
      <c r="N140" s="13" t="str">
        <f t="shared" si="11"/>
        <v/>
      </c>
      <c r="O140" s="14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>
      <c r="A141" s="33" t="s">
        <v>664</v>
      </c>
      <c r="B141" s="27" t="str">
        <f>VLOOKUP(A141,Quantities!A:B,2,false)</f>
        <v>Electronvolt - Hertz Relationship</v>
      </c>
      <c r="C141" s="9">
        <f>countif(Quantities!A:A,A141)</f>
        <v>1</v>
      </c>
      <c r="D141" s="9" t="b">
        <f>IFERROR(__xludf.DUMMYFUNCTION("REGEXMATCH(A141,""(?i)ratio"")"),FALSE)</f>
        <v>0</v>
      </c>
      <c r="E141" s="9" t="b">
        <f>IFERROR(__xludf.DUMMYFUNCTION("REGEXMATCH(A141,""(?i)relationship"")"),TRUE)</f>
        <v>1</v>
      </c>
      <c r="F141" s="12"/>
      <c r="G141" s="17"/>
      <c r="H141" s="17" t="s">
        <v>1013</v>
      </c>
      <c r="I141" s="31"/>
      <c r="J141" s="31"/>
      <c r="K141" s="12"/>
      <c r="L141" s="12"/>
      <c r="M141" s="32"/>
      <c r="N141" s="13" t="str">
        <f t="shared" si="11"/>
        <v/>
      </c>
      <c r="O141" s="14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>
      <c r="A142" s="33" t="s">
        <v>667</v>
      </c>
      <c r="B142" s="27" t="str">
        <f>VLOOKUP(A142,Quantities!A:B,2,false)</f>
        <v>Electronvolt - Inverse Meter Relationship</v>
      </c>
      <c r="C142" s="9">
        <f>countif(Quantities!A:A,A142)</f>
        <v>1</v>
      </c>
      <c r="D142" s="9" t="b">
        <f>IFERROR(__xludf.DUMMYFUNCTION("REGEXMATCH(A142,""(?i)ratio"")"),FALSE)</f>
        <v>0</v>
      </c>
      <c r="E142" s="9" t="b">
        <f>IFERROR(__xludf.DUMMYFUNCTION("REGEXMATCH(A142,""(?i)relationship"")"),TRUE)</f>
        <v>1</v>
      </c>
      <c r="F142" s="12"/>
      <c r="G142" s="17"/>
      <c r="H142" s="17" t="s">
        <v>1022</v>
      </c>
      <c r="I142" s="31"/>
      <c r="J142" s="31"/>
      <c r="K142" s="12"/>
      <c r="L142" s="12"/>
      <c r="M142" s="32"/>
      <c r="N142" s="13" t="str">
        <f t="shared" si="11"/>
        <v/>
      </c>
      <c r="O142" s="14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>
      <c r="A143" s="33" t="s">
        <v>670</v>
      </c>
      <c r="B143" s="27" t="str">
        <f>VLOOKUP(A143,Quantities!A:B,2,false)</f>
        <v>Electronvolt - Joule Relationship</v>
      </c>
      <c r="C143" s="9">
        <f>countif(Quantities!A:A,A143)</f>
        <v>1</v>
      </c>
      <c r="D143" s="9" t="b">
        <f>IFERROR(__xludf.DUMMYFUNCTION("REGEXMATCH(A143,""(?i)ratio"")"),FALSE)</f>
        <v>0</v>
      </c>
      <c r="E143" s="9" t="b">
        <f>IFERROR(__xludf.DUMMYFUNCTION("REGEXMATCH(A143,""(?i)relationship"")"),TRUE)</f>
        <v>1</v>
      </c>
      <c r="F143" s="12"/>
      <c r="G143" s="17"/>
      <c r="H143" s="17" t="s">
        <v>1029</v>
      </c>
      <c r="I143" s="31"/>
      <c r="J143" s="31"/>
      <c r="K143" s="12"/>
      <c r="L143" s="12"/>
      <c r="M143" s="32"/>
      <c r="N143" s="13" t="str">
        <f t="shared" si="11"/>
        <v/>
      </c>
      <c r="O143" s="14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>
      <c r="A144" s="33" t="s">
        <v>678</v>
      </c>
      <c r="B144" s="27" t="str">
        <f>VLOOKUP(A144,Quantities!A:B,2,false)</f>
        <v>Electronvolt - Kelvin Relationship</v>
      </c>
      <c r="C144" s="9">
        <f>countif(Quantities!A:A,A144)</f>
        <v>1</v>
      </c>
      <c r="D144" s="9" t="b">
        <f>IFERROR(__xludf.DUMMYFUNCTION("REGEXMATCH(A144,""(?i)ratio"")"),FALSE)</f>
        <v>0</v>
      </c>
      <c r="E144" s="9" t="b">
        <f>IFERROR(__xludf.DUMMYFUNCTION("REGEXMATCH(A144,""(?i)relationship"")"),TRUE)</f>
        <v>1</v>
      </c>
      <c r="F144" s="12"/>
      <c r="G144" s="17"/>
      <c r="H144" s="17" t="s">
        <v>1036</v>
      </c>
      <c r="I144" s="31"/>
      <c r="J144" s="31"/>
      <c r="K144" s="12"/>
      <c r="L144" s="12"/>
      <c r="M144" s="32"/>
      <c r="N144" s="13" t="str">
        <f t="shared" si="11"/>
        <v/>
      </c>
      <c r="O144" s="14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>
      <c r="A145" s="33" t="s">
        <v>683</v>
      </c>
      <c r="B145" s="27" t="str">
        <f>VLOOKUP(A145,Quantities!A:B,2,false)</f>
        <v>Electronvolt - Kilogram Relationship</v>
      </c>
      <c r="C145" s="9">
        <f>countif(Quantities!A:A,A145)</f>
        <v>1</v>
      </c>
      <c r="D145" s="9" t="b">
        <f>IFERROR(__xludf.DUMMYFUNCTION("REGEXMATCH(A145,""(?i)ratio"")"),FALSE)</f>
        <v>0</v>
      </c>
      <c r="E145" s="9" t="b">
        <f>IFERROR(__xludf.DUMMYFUNCTION("REGEXMATCH(A145,""(?i)relationship"")"),TRUE)</f>
        <v>1</v>
      </c>
      <c r="F145" s="12"/>
      <c r="G145" s="17"/>
      <c r="H145" s="17" t="s">
        <v>1039</v>
      </c>
      <c r="I145" s="31"/>
      <c r="J145" s="31"/>
      <c r="K145" s="12"/>
      <c r="L145" s="12"/>
      <c r="M145" s="32"/>
      <c r="N145" s="13" t="str">
        <f t="shared" si="11"/>
        <v/>
      </c>
      <c r="O145" s="14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>
      <c r="A146" s="33" t="s">
        <v>687</v>
      </c>
      <c r="B146" s="27" t="str">
        <f>VLOOKUP(A146,Quantities!A:B,2,false)</f>
        <v>Elementary Charge</v>
      </c>
      <c r="C146" s="9">
        <f>countif(Quantities!A:A,A146)</f>
        <v>1</v>
      </c>
      <c r="D146" s="9" t="b">
        <f>IFERROR(__xludf.DUMMYFUNCTION("REGEXMATCH(A146,""(?i)ratio"")"),FALSE)</f>
        <v>0</v>
      </c>
      <c r="E146" s="9" t="b">
        <f>IFERROR(__xludf.DUMMYFUNCTION("REGEXMATCH(A146,""(?i)relationship"")"),FALSE)</f>
        <v>0</v>
      </c>
      <c r="F146" s="12"/>
      <c r="G146" s="17"/>
      <c r="H146" s="17" t="s">
        <v>581</v>
      </c>
      <c r="I146" s="31"/>
      <c r="J146" s="31"/>
      <c r="K146" s="12"/>
      <c r="L146" s="12"/>
      <c r="M146" s="32"/>
      <c r="N146" s="13" t="str">
        <f t="shared" si="11"/>
        <v/>
      </c>
      <c r="O146" s="14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>
      <c r="A147" s="33" t="s">
        <v>690</v>
      </c>
      <c r="B147" s="27" t="str">
        <f>VLOOKUP(A147,Quantities!A:B,2,false)</f>
        <v>Elementary Charge Over H-Bar</v>
      </c>
      <c r="C147" s="9">
        <f>countif(Quantities!A:A,A147)</f>
        <v>1</v>
      </c>
      <c r="D147" s="9" t="b">
        <f>IFERROR(__xludf.DUMMYFUNCTION("REGEXMATCH(A147,""(?i)ratio"")"),FALSE)</f>
        <v>0</v>
      </c>
      <c r="E147" s="9" t="b">
        <f>IFERROR(__xludf.DUMMYFUNCTION("REGEXMATCH(A147,""(?i)relationship"")"),FALSE)</f>
        <v>0</v>
      </c>
      <c r="F147" s="12"/>
      <c r="G147" s="17"/>
      <c r="H147" s="17" t="s">
        <v>581</v>
      </c>
      <c r="I147" s="31"/>
      <c r="J147" s="31"/>
      <c r="K147" s="12"/>
      <c r="L147" s="12"/>
      <c r="M147" s="32"/>
      <c r="N147" s="13" t="str">
        <f t="shared" si="11"/>
        <v/>
      </c>
      <c r="O147" s="14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>
      <c r="A148" s="6" t="s">
        <v>864</v>
      </c>
      <c r="B148" s="6" t="s">
        <v>1048</v>
      </c>
      <c r="C148" s="9">
        <f>countif(Quantities!A:A,A148)</f>
        <v>0</v>
      </c>
      <c r="D148" s="9" t="b">
        <f>IFERROR(__xludf.DUMMYFUNCTION("REGEXMATCH(A148,""(?i)ratio"")"),FALSE)</f>
        <v>0</v>
      </c>
      <c r="E148" s="9" t="b">
        <f>IFERROR(__xludf.DUMMYFUNCTION("REGEXMATCH(A148,""(?i)relationship"")"),FALSE)</f>
        <v>0</v>
      </c>
      <c r="F148" s="12"/>
      <c r="G148" s="6" t="s">
        <v>57</v>
      </c>
      <c r="H148" s="6"/>
      <c r="I148" s="6"/>
      <c r="J148" s="6"/>
      <c r="K148" s="12"/>
      <c r="L148" s="6"/>
      <c r="M148" s="13" t="s">
        <v>1052</v>
      </c>
      <c r="N148" s="25" t="str">
        <f t="shared" si="11"/>
        <v>Q43116</v>
      </c>
      <c r="O148" s="20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>
      <c r="A149" s="16" t="s">
        <v>1057</v>
      </c>
      <c r="B149" s="6" t="s">
        <v>1057</v>
      </c>
      <c r="C149" s="9">
        <f>countif(Quantities!A:A,A149)</f>
        <v>0</v>
      </c>
      <c r="D149" s="9" t="b">
        <f>IFERROR(__xludf.DUMMYFUNCTION("REGEXMATCH(A149,""(?i)ratio"")"),FALSE)</f>
        <v>0</v>
      </c>
      <c r="E149" s="9" t="b">
        <f>IFERROR(__xludf.DUMMYFUNCTION("REGEXMATCH(A149,""(?i)relationship"")"),FALSE)</f>
        <v>0</v>
      </c>
      <c r="F149" s="6"/>
      <c r="G149" s="12"/>
      <c r="H149" s="12"/>
      <c r="I149" s="12"/>
      <c r="J149" s="12"/>
      <c r="K149" s="12"/>
      <c r="L149" s="12"/>
      <c r="M149" s="32"/>
      <c r="N149" s="13" t="str">
        <f t="shared" si="11"/>
        <v/>
      </c>
      <c r="O149" s="14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>
      <c r="A150" s="6" t="s">
        <v>1061</v>
      </c>
      <c r="B150" s="6" t="s">
        <v>1061</v>
      </c>
      <c r="C150" s="9">
        <f>countif(Quantities!A:A,A150)</f>
        <v>0</v>
      </c>
      <c r="D150" s="9" t="b">
        <f>IFERROR(__xludf.DUMMYFUNCTION("REGEXMATCH(A150,""(?i)ratio"")"),FALSE)</f>
        <v>0</v>
      </c>
      <c r="E150" s="9" t="b">
        <f>IFERROR(__xludf.DUMMYFUNCTION("REGEXMATCH(A150,""(?i)relationship"")"),FALSE)</f>
        <v>0</v>
      </c>
      <c r="F150" s="6"/>
      <c r="G150" s="12"/>
      <c r="H150" s="6" t="s">
        <v>1057</v>
      </c>
      <c r="I150" s="12"/>
      <c r="J150" s="12"/>
      <c r="K150" s="12"/>
      <c r="L150" s="12"/>
      <c r="M150" s="13"/>
      <c r="N150" s="13"/>
      <c r="O150" s="20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>
      <c r="A151" s="6" t="s">
        <v>1064</v>
      </c>
      <c r="B151" s="6" t="s">
        <v>1064</v>
      </c>
      <c r="C151" s="9">
        <f>countif(Quantities!A:A,A151)</f>
        <v>0</v>
      </c>
      <c r="D151" s="9" t="b">
        <f>IFERROR(__xludf.DUMMYFUNCTION("REGEXMATCH(A151,""(?i)ratio"")"),FALSE)</f>
        <v>0</v>
      </c>
      <c r="E151" s="9" t="b">
        <f>IFERROR(__xludf.DUMMYFUNCTION("REGEXMATCH(A151,""(?i)relationship"")"),FALSE)</f>
        <v>0</v>
      </c>
      <c r="F151" s="6"/>
      <c r="G151" s="12"/>
      <c r="H151" s="6"/>
      <c r="I151" s="12"/>
      <c r="J151" s="12"/>
      <c r="K151" s="12"/>
      <c r="L151" s="12"/>
      <c r="M151" s="13"/>
      <c r="N151" s="13"/>
      <c r="O151" s="20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>
      <c r="A152" s="6" t="s">
        <v>1065</v>
      </c>
      <c r="B152" s="6" t="s">
        <v>1065</v>
      </c>
      <c r="C152" s="9">
        <f>countif(Quantities!A:A,A152)</f>
        <v>0</v>
      </c>
      <c r="D152" s="9" t="b">
        <f>IFERROR(__xludf.DUMMYFUNCTION("REGEXMATCH(A152,""(?i)ratio"")"),FALSE)</f>
        <v>0</v>
      </c>
      <c r="E152" s="9" t="b">
        <f>IFERROR(__xludf.DUMMYFUNCTION("REGEXMATCH(A152,""(?i)relationship"")"),FALSE)</f>
        <v>0</v>
      </c>
      <c r="F152" s="6"/>
      <c r="G152" s="6"/>
      <c r="H152" s="6"/>
      <c r="I152" s="12"/>
      <c r="J152" s="12"/>
      <c r="K152" s="12"/>
      <c r="L152" s="12"/>
      <c r="M152" s="13"/>
      <c r="N152" s="13"/>
      <c r="O152" s="14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>
      <c r="A153" s="33" t="s">
        <v>693</v>
      </c>
      <c r="B153" s="27" t="str">
        <f>VLOOKUP(A153,Quantities!A:B,2,false)</f>
        <v>Faraday Constant</v>
      </c>
      <c r="C153" s="9">
        <f>countif(Quantities!A:A,A153)</f>
        <v>1</v>
      </c>
      <c r="D153" s="9" t="b">
        <f>IFERROR(__xludf.DUMMYFUNCTION("REGEXMATCH(A153,""(?i)ratio"")"),FALSE)</f>
        <v>0</v>
      </c>
      <c r="E153" s="9" t="b">
        <f>IFERROR(__xludf.DUMMYFUNCTION("REGEXMATCH(A153,""(?i)relationship"")"),FALSE)</f>
        <v>0</v>
      </c>
      <c r="F153" s="12"/>
      <c r="G153" s="17"/>
      <c r="H153" s="17" t="s">
        <v>1065</v>
      </c>
      <c r="I153" s="31"/>
      <c r="J153" s="31"/>
      <c r="K153" s="12"/>
      <c r="L153" s="12"/>
      <c r="M153" s="32"/>
      <c r="N153" s="13" t="str">
        <f>if(isblank(M153),"",hyperlink("https://www.wikidata.org/wiki/"&amp;M153,M153))</f>
        <v/>
      </c>
      <c r="O153" s="14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>
      <c r="A154" s="6" t="s">
        <v>1073</v>
      </c>
      <c r="B154" s="6" t="s">
        <v>1073</v>
      </c>
      <c r="C154" s="9">
        <f>countif(Quantities!A:A,A154)</f>
        <v>0</v>
      </c>
      <c r="D154" s="9" t="b">
        <f>IFERROR(__xludf.DUMMYFUNCTION("REGEXMATCH(A154,""(?i)ratio"")"),FALSE)</f>
        <v>0</v>
      </c>
      <c r="E154" s="9" t="b">
        <f>IFERROR(__xludf.DUMMYFUNCTION("REGEXMATCH(A154,""(?i)relationship"")"),FALSE)</f>
        <v>0</v>
      </c>
      <c r="F154" s="6"/>
      <c r="G154" s="6"/>
      <c r="H154" s="6"/>
      <c r="I154" s="12"/>
      <c r="J154" s="12"/>
      <c r="K154" s="12"/>
      <c r="L154" s="12"/>
      <c r="M154" s="13"/>
      <c r="N154" s="13"/>
      <c r="O154" s="14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>
      <c r="A155" s="33" t="s">
        <v>699</v>
      </c>
      <c r="B155" s="27" t="str">
        <f>VLOOKUP(A155,Quantities!A:B,2,false)</f>
        <v>Fermi Coupling Constant</v>
      </c>
      <c r="C155" s="9">
        <f>countif(Quantities!A:A,A155)</f>
        <v>1</v>
      </c>
      <c r="D155" s="9" t="b">
        <f>IFERROR(__xludf.DUMMYFUNCTION("REGEXMATCH(A155,""(?i)ratio"")"),FALSE)</f>
        <v>0</v>
      </c>
      <c r="E155" s="9" t="b">
        <f>IFERROR(__xludf.DUMMYFUNCTION("REGEXMATCH(A155,""(?i)relationship"")"),FALSE)</f>
        <v>0</v>
      </c>
      <c r="F155" s="12"/>
      <c r="G155" s="17"/>
      <c r="H155" s="17" t="s">
        <v>1073</v>
      </c>
      <c r="I155" s="31"/>
      <c r="J155" s="31"/>
      <c r="K155" s="12"/>
      <c r="L155" s="12"/>
      <c r="M155" s="32"/>
      <c r="N155" s="13" t="str">
        <f t="shared" ref="N155:N159" si="12">if(isblank(M155),"",hyperlink("https://www.wikidata.org/wiki/"&amp;M155,M155))</f>
        <v/>
      </c>
      <c r="O155" s="14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>
      <c r="A156" s="33" t="s">
        <v>703</v>
      </c>
      <c r="B156" s="27" t="str">
        <f>VLOOKUP(A156,Quantities!A:B,2,false)</f>
        <v>Fine-Structure Constant</v>
      </c>
      <c r="C156" s="9">
        <f>countif(Quantities!A:A,A156)</f>
        <v>1</v>
      </c>
      <c r="D156" s="9" t="b">
        <f>IFERROR(__xludf.DUMMYFUNCTION("REGEXMATCH(A156,""(?i)ratio"")"),FALSE)</f>
        <v>0</v>
      </c>
      <c r="E156" s="9" t="b">
        <f>IFERROR(__xludf.DUMMYFUNCTION("REGEXMATCH(A156,""(?i)relationship"")"),FALSE)</f>
        <v>0</v>
      </c>
      <c r="F156" s="12"/>
      <c r="G156" s="17"/>
      <c r="H156" s="17"/>
      <c r="I156" s="31"/>
      <c r="J156" s="31"/>
      <c r="K156" s="12"/>
      <c r="L156" s="12"/>
      <c r="M156" s="32"/>
      <c r="N156" s="13" t="str">
        <f t="shared" si="12"/>
        <v/>
      </c>
      <c r="O156" s="14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>
      <c r="A157" s="33" t="s">
        <v>706</v>
      </c>
      <c r="B157" s="27" t="str">
        <f>VLOOKUP(A157,Quantities!A:B,2,false)</f>
        <v>First Radiation Constant</v>
      </c>
      <c r="C157" s="9">
        <f>countif(Quantities!A:A,A157)</f>
        <v>1</v>
      </c>
      <c r="D157" s="9" t="b">
        <f>IFERROR(__xludf.DUMMYFUNCTION("REGEXMATCH(A157,""(?i)ratio"")"),FALSE)</f>
        <v>0</v>
      </c>
      <c r="E157" s="9" t="b">
        <f>IFERROR(__xludf.DUMMYFUNCTION("REGEXMATCH(A157,""(?i)relationship"")"),FALSE)</f>
        <v>0</v>
      </c>
      <c r="F157" s="12"/>
      <c r="G157" s="17"/>
      <c r="H157" s="17"/>
      <c r="I157" s="31"/>
      <c r="J157" s="31"/>
      <c r="K157" s="12"/>
      <c r="L157" s="12"/>
      <c r="M157" s="32"/>
      <c r="N157" s="13" t="str">
        <f t="shared" si="12"/>
        <v/>
      </c>
      <c r="O157" s="14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>
      <c r="A158" s="33" t="s">
        <v>709</v>
      </c>
      <c r="B158" s="27" t="str">
        <f>VLOOKUP(A158,Quantities!A:B,2,false)</f>
        <v>First Radiation Constant For Spectral Radiance</v>
      </c>
      <c r="C158" s="9">
        <f>countif(Quantities!A:A,A158)</f>
        <v>1</v>
      </c>
      <c r="D158" s="9" t="b">
        <f>IFERROR(__xludf.DUMMYFUNCTION("REGEXMATCH(A158,""(?i)ratio"")"),FALSE)</f>
        <v>0</v>
      </c>
      <c r="E158" s="9" t="b">
        <f>IFERROR(__xludf.DUMMYFUNCTION("REGEXMATCH(A158,""(?i)relationship"")"),FALSE)</f>
        <v>0</v>
      </c>
      <c r="F158" s="12"/>
      <c r="G158" s="17"/>
      <c r="H158" s="17" t="s">
        <v>1096</v>
      </c>
      <c r="I158" s="31"/>
      <c r="J158" s="31"/>
      <c r="K158" s="12"/>
      <c r="L158" s="12"/>
      <c r="M158" s="32"/>
      <c r="N158" s="13" t="str">
        <f t="shared" si="12"/>
        <v/>
      </c>
      <c r="O158" s="14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>
      <c r="A159" s="16" t="s">
        <v>1097</v>
      </c>
      <c r="B159" s="6" t="s">
        <v>1097</v>
      </c>
      <c r="C159" s="9">
        <f>countif(Quantities!A:A,A159)</f>
        <v>0</v>
      </c>
      <c r="D159" s="9" t="b">
        <f>IFERROR(__xludf.DUMMYFUNCTION("REGEXMATCH(A159,""(?i)ratio"")"),FALSE)</f>
        <v>0</v>
      </c>
      <c r="E159" s="9" t="b">
        <f>IFERROR(__xludf.DUMMYFUNCTION("REGEXMATCH(A159,""(?i)relationship"")"),FALSE)</f>
        <v>0</v>
      </c>
      <c r="F159" s="6"/>
      <c r="G159" s="12"/>
      <c r="H159" s="12"/>
      <c r="I159" s="12"/>
      <c r="J159" s="12"/>
      <c r="K159" s="12"/>
      <c r="L159" s="12"/>
      <c r="M159" s="32"/>
      <c r="N159" s="13" t="str">
        <f t="shared" si="12"/>
        <v/>
      </c>
      <c r="O159" s="14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>
      <c r="A160" s="6" t="s">
        <v>1100</v>
      </c>
      <c r="B160" s="6" t="s">
        <v>1100</v>
      </c>
      <c r="C160" s="9">
        <f>countif(Quantities!A:A,A160)</f>
        <v>0</v>
      </c>
      <c r="D160" s="9" t="b">
        <f>IFERROR(__xludf.DUMMYFUNCTION("REGEXMATCH(A160,""(?i)ratio"")"),FALSE)</f>
        <v>0</v>
      </c>
      <c r="E160" s="9" t="b">
        <f>IFERROR(__xludf.DUMMYFUNCTION("REGEXMATCH(A160,""(?i)relationship"")"),FALSE)</f>
        <v>0</v>
      </c>
      <c r="F160" s="6"/>
      <c r="G160" s="12"/>
      <c r="H160" s="12"/>
      <c r="I160" s="12"/>
      <c r="J160" s="12"/>
      <c r="K160" s="12"/>
      <c r="L160" s="6"/>
      <c r="M160" s="9"/>
      <c r="N160" s="13"/>
      <c r="O160" s="6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>
      <c r="A161" s="22" t="s">
        <v>1103</v>
      </c>
      <c r="B161" s="22" t="s">
        <v>1104</v>
      </c>
      <c r="C161" s="9">
        <f>countif(Quantities!A:A,A161)</f>
        <v>0</v>
      </c>
      <c r="D161" s="9" t="b">
        <f>IFERROR(__xludf.DUMMYFUNCTION("REGEXMATCH(A161,""(?i)ratio"")"),FALSE)</f>
        <v>0</v>
      </c>
      <c r="E161" s="9" t="b">
        <f>IFERROR(__xludf.DUMMYFUNCTION("REGEXMATCH(A161,""(?i)relationship"")"),FALSE)</f>
        <v>0</v>
      </c>
      <c r="F161" s="12"/>
      <c r="G161" s="17"/>
      <c r="H161" s="17" t="s">
        <v>1110</v>
      </c>
      <c r="I161" s="31"/>
      <c r="J161" s="31"/>
      <c r="K161" s="12"/>
      <c r="L161" s="12"/>
      <c r="M161" s="32"/>
      <c r="N161" s="13"/>
      <c r="O161" s="14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>
      <c r="A162" s="6" t="s">
        <v>1111</v>
      </c>
      <c r="B162" s="6" t="s">
        <v>1111</v>
      </c>
      <c r="C162" s="9">
        <f>countif(Quantities!A:A,A162)</f>
        <v>0</v>
      </c>
      <c r="D162" s="9" t="b">
        <f>IFERROR(__xludf.DUMMYFUNCTION("REGEXMATCH(A162,""(?i)ratio"")"),FALSE)</f>
        <v>0</v>
      </c>
      <c r="E162" s="9" t="b">
        <f>IFERROR(__xludf.DUMMYFUNCTION("REGEXMATCH(A162,""(?i)relationship"")"),FALSE)</f>
        <v>0</v>
      </c>
      <c r="F162" s="6"/>
      <c r="G162" s="12"/>
      <c r="H162" s="12"/>
      <c r="I162" s="12"/>
      <c r="J162" s="12"/>
      <c r="K162" s="12"/>
      <c r="L162" s="12"/>
      <c r="M162" s="13"/>
      <c r="N162" s="13"/>
      <c r="O162" s="20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>
      <c r="A163" s="6" t="s">
        <v>1114</v>
      </c>
      <c r="B163" s="6" t="s">
        <v>1114</v>
      </c>
      <c r="C163" s="9">
        <f>countif(Quantities!A:A,A163)</f>
        <v>0</v>
      </c>
      <c r="D163" s="9" t="b">
        <f>IFERROR(__xludf.DUMMYFUNCTION("REGEXMATCH(A163,""(?i)ratio"")"),FALSE)</f>
        <v>0</v>
      </c>
      <c r="E163" s="9" t="b">
        <f>IFERROR(__xludf.DUMMYFUNCTION("REGEXMATCH(A163,""(?i)relationship"")"),FALSE)</f>
        <v>0</v>
      </c>
      <c r="F163" s="6"/>
      <c r="G163" s="12"/>
      <c r="H163" s="12"/>
      <c r="I163" s="12"/>
      <c r="J163" s="12"/>
      <c r="K163" s="12"/>
      <c r="L163" s="6"/>
      <c r="M163" s="9"/>
      <c r="N163" s="13"/>
      <c r="O163" s="6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>
      <c r="A164" s="6" t="s">
        <v>1117</v>
      </c>
      <c r="B164" s="6" t="s">
        <v>1117</v>
      </c>
      <c r="C164" s="9">
        <f>countif(Quantities!A:A,A164)</f>
        <v>0</v>
      </c>
      <c r="D164" s="9" t="b">
        <f>IFERROR(__xludf.DUMMYFUNCTION("REGEXMATCH(A164,""(?i)ratio"")"),FALSE)</f>
        <v>0</v>
      </c>
      <c r="E164" s="9" t="b">
        <f>IFERROR(__xludf.DUMMYFUNCTION("REGEXMATCH(A164,""(?i)relationship"")"),FALSE)</f>
        <v>0</v>
      </c>
      <c r="F164" s="6"/>
      <c r="G164" s="12"/>
      <c r="H164" s="12"/>
      <c r="I164" s="12"/>
      <c r="J164" s="12"/>
      <c r="K164" s="12"/>
      <c r="L164" s="12"/>
      <c r="M164" s="13"/>
      <c r="N164" s="13"/>
      <c r="O164" s="20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>
      <c r="A165" s="6" t="s">
        <v>1120</v>
      </c>
      <c r="B165" s="6" t="s">
        <v>1120</v>
      </c>
      <c r="C165" s="9">
        <f>countif(Quantities!A:A,A165)</f>
        <v>0</v>
      </c>
      <c r="D165" s="9" t="b">
        <f>IFERROR(__xludf.DUMMYFUNCTION("REGEXMATCH(A165,""(?i)ratio"")"),FALSE)</f>
        <v>0</v>
      </c>
      <c r="E165" s="9" t="b">
        <f>IFERROR(__xludf.DUMMYFUNCTION("REGEXMATCH(A165,""(?i)relationship"")"),FALSE)</f>
        <v>0</v>
      </c>
      <c r="F165" s="6"/>
      <c r="G165" s="12"/>
      <c r="H165" s="12"/>
      <c r="I165" s="12"/>
      <c r="J165" s="12"/>
      <c r="K165" s="12"/>
      <c r="L165" s="6"/>
      <c r="M165" s="9"/>
      <c r="N165" s="13"/>
      <c r="O165" s="6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>
      <c r="A166" s="6" t="s">
        <v>1124</v>
      </c>
      <c r="B166" s="6" t="s">
        <v>1124</v>
      </c>
      <c r="C166" s="9">
        <f>countif(Quantities!A:A,A166)</f>
        <v>0</v>
      </c>
      <c r="D166" s="9" t="b">
        <f>IFERROR(__xludf.DUMMYFUNCTION("REGEXMATCH(A166,""(?i)ratio"")"),FALSE)</f>
        <v>0</v>
      </c>
      <c r="E166" s="9" t="b">
        <f>IFERROR(__xludf.DUMMYFUNCTION("REGEXMATCH(A166,""(?i)relationship"")"),FALSE)</f>
        <v>0</v>
      </c>
      <c r="F166" s="6"/>
      <c r="G166" s="12"/>
      <c r="H166" s="12"/>
      <c r="I166" s="12"/>
      <c r="J166" s="12"/>
      <c r="K166" s="12"/>
      <c r="L166" s="12"/>
      <c r="M166" s="13"/>
      <c r="N166" s="13"/>
      <c r="O166" s="20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>
      <c r="A167" s="6" t="s">
        <v>1130</v>
      </c>
      <c r="B167" s="6" t="s">
        <v>1130</v>
      </c>
      <c r="C167" s="9">
        <f>countif(Quantities!A:A,A167)</f>
        <v>0</v>
      </c>
      <c r="D167" s="9" t="b">
        <f>IFERROR(__xludf.DUMMYFUNCTION("REGEXMATCH(A167,""(?i)ratio"")"),TRUE)</f>
        <v>1</v>
      </c>
      <c r="E167" s="9" t="b">
        <f>IFERROR(__xludf.DUMMYFUNCTION("REGEXMATCH(A167,""(?i)relationship"")"),FALSE)</f>
        <v>0</v>
      </c>
      <c r="F167" s="6"/>
      <c r="G167" s="12"/>
      <c r="H167" s="12"/>
      <c r="I167" s="12"/>
      <c r="J167" s="12"/>
      <c r="K167" s="12"/>
      <c r="L167" s="12"/>
      <c r="M167" s="13"/>
      <c r="N167" s="13"/>
      <c r="O167" s="20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>
      <c r="A168" s="6" t="s">
        <v>1133</v>
      </c>
      <c r="B168" s="6" t="s">
        <v>1133</v>
      </c>
      <c r="C168" s="9">
        <f>countif(Quantities!A:A,A168)</f>
        <v>0</v>
      </c>
      <c r="D168" s="9" t="b">
        <f>IFERROR(__xludf.DUMMYFUNCTION("REGEXMATCH(A168,""(?i)ratio"")"),FALSE)</f>
        <v>0</v>
      </c>
      <c r="E168" s="9" t="b">
        <f>IFERROR(__xludf.DUMMYFUNCTION("REGEXMATCH(A168,""(?i)relationship"")"),FALSE)</f>
        <v>0</v>
      </c>
      <c r="F168" s="6"/>
      <c r="G168" s="12"/>
      <c r="H168" s="12"/>
      <c r="I168" s="12"/>
      <c r="J168" s="12"/>
      <c r="K168" s="12"/>
      <c r="L168" s="6" t="s">
        <v>1136</v>
      </c>
      <c r="M168" s="9"/>
      <c r="N168" s="13" t="str">
        <f t="shared" ref="N168:N188" si="13">if(isblank(M168),"",hyperlink("https://www.wikidata.org/wiki/"&amp;M168,M168))</f>
        <v/>
      </c>
      <c r="O168" s="6" t="s">
        <v>1139</v>
      </c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>
      <c r="A169" s="33" t="s">
        <v>716</v>
      </c>
      <c r="B169" s="27" t="str">
        <f>VLOOKUP(A169,Quantities!A:B,2,false)</f>
        <v>Hartree - Atomic Mass Unit Relationship</v>
      </c>
      <c r="C169" s="9">
        <f>countif(Quantities!A:A,A169)</f>
        <v>1</v>
      </c>
      <c r="D169" s="9" t="b">
        <f>IFERROR(__xludf.DUMMYFUNCTION("REGEXMATCH(A169,""(?i)ratio"")"),FALSE)</f>
        <v>0</v>
      </c>
      <c r="E169" s="9" t="b">
        <f>IFERROR(__xludf.DUMMYFUNCTION("REGEXMATCH(A169,""(?i)relationship"")"),TRUE)</f>
        <v>1</v>
      </c>
      <c r="F169" s="12"/>
      <c r="G169" s="17"/>
      <c r="H169" s="17" t="s">
        <v>1145</v>
      </c>
      <c r="I169" s="31"/>
      <c r="J169" s="31"/>
      <c r="K169" s="12"/>
      <c r="L169" s="12"/>
      <c r="M169" s="32"/>
      <c r="N169" s="13" t="str">
        <f t="shared" si="13"/>
        <v/>
      </c>
      <c r="O169" s="14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>
      <c r="A170" s="33" t="s">
        <v>718</v>
      </c>
      <c r="B170" s="27" t="str">
        <f>VLOOKUP(A170,Quantities!A:B,2,false)</f>
        <v>Hartree - Electronvolt Relationship</v>
      </c>
      <c r="C170" s="9">
        <f>countif(Quantities!A:A,A170)</f>
        <v>1</v>
      </c>
      <c r="D170" s="9" t="b">
        <f>IFERROR(__xludf.DUMMYFUNCTION("REGEXMATCH(A170,""(?i)ratio"")"),FALSE)</f>
        <v>0</v>
      </c>
      <c r="E170" s="9" t="b">
        <f>IFERROR(__xludf.DUMMYFUNCTION("REGEXMATCH(A170,""(?i)relationship"")"),TRUE)</f>
        <v>1</v>
      </c>
      <c r="F170" s="12"/>
      <c r="G170" s="17"/>
      <c r="H170" s="17" t="s">
        <v>1150</v>
      </c>
      <c r="I170" s="31"/>
      <c r="J170" s="31"/>
      <c r="K170" s="12"/>
      <c r="L170" s="12"/>
      <c r="M170" s="32"/>
      <c r="N170" s="13" t="str">
        <f t="shared" si="13"/>
        <v/>
      </c>
      <c r="O170" s="14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>
      <c r="A171" s="33" t="s">
        <v>721</v>
      </c>
      <c r="B171" s="27" t="str">
        <f>VLOOKUP(A171,Quantities!A:B,2,false)</f>
        <v>Hartree Energy</v>
      </c>
      <c r="C171" s="9">
        <f>countif(Quantities!A:A,A171)</f>
        <v>1</v>
      </c>
      <c r="D171" s="9" t="b">
        <f>IFERROR(__xludf.DUMMYFUNCTION("REGEXMATCH(A171,""(?i)ratio"")"),FALSE)</f>
        <v>0</v>
      </c>
      <c r="E171" s="9" t="b">
        <f>IFERROR(__xludf.DUMMYFUNCTION("REGEXMATCH(A171,""(?i)relationship"")"),FALSE)</f>
        <v>0</v>
      </c>
      <c r="F171" s="12"/>
      <c r="G171" s="17"/>
      <c r="H171" s="17" t="s">
        <v>1156</v>
      </c>
      <c r="I171" s="31"/>
      <c r="J171" s="31"/>
      <c r="K171" s="12"/>
      <c r="L171" s="12"/>
      <c r="M171" s="32"/>
      <c r="N171" s="13" t="str">
        <f t="shared" si="13"/>
        <v/>
      </c>
      <c r="O171" s="14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>
      <c r="A172" s="33" t="s">
        <v>724</v>
      </c>
      <c r="B172" s="27" t="str">
        <f>VLOOKUP(A172,Quantities!A:B,2,false)</f>
        <v>Hartree - Hertz Relationship</v>
      </c>
      <c r="C172" s="9">
        <f>countif(Quantities!A:A,A172)</f>
        <v>1</v>
      </c>
      <c r="D172" s="9" t="b">
        <f>IFERROR(__xludf.DUMMYFUNCTION("REGEXMATCH(A172,""(?i)ratio"")"),FALSE)</f>
        <v>0</v>
      </c>
      <c r="E172" s="9" t="b">
        <f>IFERROR(__xludf.DUMMYFUNCTION("REGEXMATCH(A172,""(?i)relationship"")"),TRUE)</f>
        <v>1</v>
      </c>
      <c r="F172" s="12"/>
      <c r="G172" s="17"/>
      <c r="H172" s="17" t="s">
        <v>1163</v>
      </c>
      <c r="I172" s="31"/>
      <c r="J172" s="31"/>
      <c r="K172" s="12"/>
      <c r="L172" s="12"/>
      <c r="M172" s="32"/>
      <c r="N172" s="13" t="str">
        <f t="shared" si="13"/>
        <v/>
      </c>
      <c r="O172" s="14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>
      <c r="A173" s="33" t="s">
        <v>726</v>
      </c>
      <c r="B173" s="27" t="str">
        <f>VLOOKUP(A173,Quantities!A:B,2,false)</f>
        <v>Hartree - Inverse Meter Relationship</v>
      </c>
      <c r="C173" s="9">
        <f>countif(Quantities!A:A,A173)</f>
        <v>1</v>
      </c>
      <c r="D173" s="9" t="b">
        <f>IFERROR(__xludf.DUMMYFUNCTION("REGEXMATCH(A173,""(?i)ratio"")"),FALSE)</f>
        <v>0</v>
      </c>
      <c r="E173" s="9" t="b">
        <f>IFERROR(__xludf.DUMMYFUNCTION("REGEXMATCH(A173,""(?i)relationship"")"),TRUE)</f>
        <v>1</v>
      </c>
      <c r="F173" s="12"/>
      <c r="G173" s="17"/>
      <c r="H173" s="17" t="s">
        <v>1170</v>
      </c>
      <c r="I173" s="31"/>
      <c r="J173" s="31"/>
      <c r="K173" s="12"/>
      <c r="L173" s="12"/>
      <c r="M173" s="32"/>
      <c r="N173" s="13" t="str">
        <f t="shared" si="13"/>
        <v/>
      </c>
      <c r="O173" s="14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>
      <c r="A174" s="33" t="s">
        <v>731</v>
      </c>
      <c r="B174" s="27" t="str">
        <f>VLOOKUP(A174,Quantities!A:B,2,false)</f>
        <v>Hartree - Joule Relationship</v>
      </c>
      <c r="C174" s="9">
        <f>countif(Quantities!A:A,A174)</f>
        <v>1</v>
      </c>
      <c r="D174" s="9" t="b">
        <f>IFERROR(__xludf.DUMMYFUNCTION("REGEXMATCH(A174,""(?i)ratio"")"),FALSE)</f>
        <v>0</v>
      </c>
      <c r="E174" s="9" t="b">
        <f>IFERROR(__xludf.DUMMYFUNCTION("REGEXMATCH(A174,""(?i)relationship"")"),TRUE)</f>
        <v>1</v>
      </c>
      <c r="F174" s="12"/>
      <c r="G174" s="17"/>
      <c r="H174" s="17" t="s">
        <v>1176</v>
      </c>
      <c r="I174" s="31"/>
      <c r="J174" s="31"/>
      <c r="K174" s="12"/>
      <c r="L174" s="12"/>
      <c r="M174" s="32"/>
      <c r="N174" s="13" t="str">
        <f t="shared" si="13"/>
        <v/>
      </c>
      <c r="O174" s="14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>
      <c r="A175" s="33" t="s">
        <v>734</v>
      </c>
      <c r="B175" s="27" t="str">
        <f>VLOOKUP(A175,Quantities!A:B,2,false)</f>
        <v>Hartree - Kelvin Relationship</v>
      </c>
      <c r="C175" s="9">
        <f>countif(Quantities!A:A,A175)</f>
        <v>1</v>
      </c>
      <c r="D175" s="9" t="b">
        <f>IFERROR(__xludf.DUMMYFUNCTION("REGEXMATCH(A175,""(?i)ratio"")"),FALSE)</f>
        <v>0</v>
      </c>
      <c r="E175" s="9" t="b">
        <f>IFERROR(__xludf.DUMMYFUNCTION("REGEXMATCH(A175,""(?i)relationship"")"),TRUE)</f>
        <v>1</v>
      </c>
      <c r="F175" s="12"/>
      <c r="G175" s="17"/>
      <c r="H175" s="17" t="s">
        <v>1179</v>
      </c>
      <c r="I175" s="31"/>
      <c r="J175" s="31"/>
      <c r="K175" s="12"/>
      <c r="L175" s="12"/>
      <c r="M175" s="32"/>
      <c r="N175" s="13" t="str">
        <f t="shared" si="13"/>
        <v/>
      </c>
      <c r="O175" s="14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>
      <c r="A176" s="33" t="s">
        <v>736</v>
      </c>
      <c r="B176" s="27" t="str">
        <f>VLOOKUP(A176,Quantities!A:B,2,false)</f>
        <v>Hartree - Kilogram Relationship</v>
      </c>
      <c r="C176" s="9">
        <f>countif(Quantities!A:A,A176)</f>
        <v>1</v>
      </c>
      <c r="D176" s="9" t="b">
        <f>IFERROR(__xludf.DUMMYFUNCTION("REGEXMATCH(A176,""(?i)ratio"")"),FALSE)</f>
        <v>0</v>
      </c>
      <c r="E176" s="9" t="b">
        <f>IFERROR(__xludf.DUMMYFUNCTION("REGEXMATCH(A176,""(?i)relationship"")"),TRUE)</f>
        <v>1</v>
      </c>
      <c r="F176" s="12"/>
      <c r="G176" s="17"/>
      <c r="H176" s="17" t="s">
        <v>1189</v>
      </c>
      <c r="I176" s="31"/>
      <c r="J176" s="31"/>
      <c r="K176" s="12"/>
      <c r="L176" s="12"/>
      <c r="M176" s="32"/>
      <c r="N176" s="13" t="str">
        <f t="shared" si="13"/>
        <v/>
      </c>
      <c r="O176" s="14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>
      <c r="A177" s="22" t="s">
        <v>1190</v>
      </c>
      <c r="B177" s="22" t="s">
        <v>1190</v>
      </c>
      <c r="C177" s="9">
        <f>countif(Quantities!A:A,A177)</f>
        <v>0</v>
      </c>
      <c r="D177" s="9" t="b">
        <f>IFERROR(__xludf.DUMMYFUNCTION("REGEXMATCH(A177,""(?i)ratio"")"),FALSE)</f>
        <v>0</v>
      </c>
      <c r="E177" s="9" t="b">
        <f>IFERROR(__xludf.DUMMYFUNCTION("REGEXMATCH(A177,""(?i)relationship"")"),FALSE)</f>
        <v>0</v>
      </c>
      <c r="F177" s="12"/>
      <c r="G177" s="17"/>
      <c r="H177" s="17"/>
      <c r="I177" s="31"/>
      <c r="J177" s="31"/>
      <c r="K177" s="12"/>
      <c r="L177" s="12"/>
      <c r="M177" s="13" t="s">
        <v>1193</v>
      </c>
      <c r="N177" s="25" t="str">
        <f t="shared" si="13"/>
        <v>Q902715</v>
      </c>
      <c r="O177" s="14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>
      <c r="A178" s="33" t="s">
        <v>740</v>
      </c>
      <c r="B178" s="27" t="str">
        <f>VLOOKUP(A178,Quantities!A:B,2,false)</f>
        <v>Helion-Electron Mass Ratio</v>
      </c>
      <c r="C178" s="9">
        <f>countif(Quantities!A:A,A178)</f>
        <v>1</v>
      </c>
      <c r="D178" s="9" t="b">
        <f>IFERROR(__xludf.DUMMYFUNCTION("REGEXMATCH(A178,""(?i)ratio"")"),TRUE)</f>
        <v>1</v>
      </c>
      <c r="E178" s="9" t="b">
        <f>IFERROR(__xludf.DUMMYFUNCTION("REGEXMATCH(A178,""(?i)relationship"")"),FALSE)</f>
        <v>0</v>
      </c>
      <c r="F178" s="12"/>
      <c r="G178" s="17"/>
      <c r="H178" s="17" t="s">
        <v>1196</v>
      </c>
      <c r="I178" s="31"/>
      <c r="J178" s="31"/>
      <c r="K178" s="12"/>
      <c r="L178" s="12"/>
      <c r="M178" s="32"/>
      <c r="N178" s="13" t="str">
        <f t="shared" si="13"/>
        <v/>
      </c>
      <c r="O178" s="14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>
      <c r="A179" s="33" t="s">
        <v>746</v>
      </c>
      <c r="B179" s="27" t="str">
        <f>VLOOKUP(A179,Quantities!A:B,2,false)</f>
        <v>Helion G Factor</v>
      </c>
      <c r="C179" s="9">
        <f>countif(Quantities!A:A,A179)</f>
        <v>1</v>
      </c>
      <c r="D179" s="9" t="b">
        <f>IFERROR(__xludf.DUMMYFUNCTION("REGEXMATCH(A179,""(?i)ratio"")"),FALSE)</f>
        <v>0</v>
      </c>
      <c r="E179" s="9" t="b">
        <f>IFERROR(__xludf.DUMMYFUNCTION("REGEXMATCH(A179,""(?i)relationship"")"),FALSE)</f>
        <v>0</v>
      </c>
      <c r="F179" s="12"/>
      <c r="G179" s="17"/>
      <c r="H179" s="17" t="s">
        <v>1206</v>
      </c>
      <c r="I179" s="31"/>
      <c r="J179" s="31"/>
      <c r="K179" s="12"/>
      <c r="L179" s="12"/>
      <c r="M179" s="32"/>
      <c r="N179" s="13" t="str">
        <f t="shared" si="13"/>
        <v/>
      </c>
      <c r="O179" s="14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>
      <c r="A180" s="22" t="s">
        <v>749</v>
      </c>
      <c r="B180" s="27" t="str">
        <f>VLOOKUP(A180,Quantities!A:B,2,false)</f>
        <v>Helion Magnetic Moment</v>
      </c>
      <c r="C180" s="9">
        <f>countif(Quantities!A:A,A180)</f>
        <v>1</v>
      </c>
      <c r="D180" s="9" t="b">
        <f>IFERROR(__xludf.DUMMYFUNCTION("REGEXMATCH(A180,""(?i)ratio"")"),FALSE)</f>
        <v>0</v>
      </c>
      <c r="E180" s="9" t="b">
        <f>IFERROR(__xludf.DUMMYFUNCTION("REGEXMATCH(A180,""(?i)relationship"")"),FALSE)</f>
        <v>0</v>
      </c>
      <c r="F180" s="12"/>
      <c r="G180" s="17"/>
      <c r="H180" s="17" t="s">
        <v>1211</v>
      </c>
      <c r="K180" s="12"/>
      <c r="L180" s="12"/>
      <c r="M180" s="32"/>
      <c r="N180" s="13" t="str">
        <f t="shared" si="13"/>
        <v/>
      </c>
      <c r="O180" s="14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>
      <c r="A181" s="22" t="s">
        <v>751</v>
      </c>
      <c r="B181" s="27" t="str">
        <f>VLOOKUP(A181,Quantities!A:B,2,false)</f>
        <v>Helion Magnetic Moment To Bohr Magneton Ratio</v>
      </c>
      <c r="C181" s="9">
        <f>countif(Quantities!A:A,A181)</f>
        <v>1</v>
      </c>
      <c r="D181" s="9" t="b">
        <f>IFERROR(__xludf.DUMMYFUNCTION("REGEXMATCH(A181,""(?i)ratio"")"),TRUE)</f>
        <v>1</v>
      </c>
      <c r="E181" s="9" t="b">
        <f>IFERROR(__xludf.DUMMYFUNCTION("REGEXMATCH(A181,""(?i)relationship"")"),FALSE)</f>
        <v>0</v>
      </c>
      <c r="F181" s="12"/>
      <c r="G181" s="17"/>
      <c r="H181" s="17" t="s">
        <v>1214</v>
      </c>
      <c r="K181" s="12"/>
      <c r="L181" s="12"/>
      <c r="M181" s="32"/>
      <c r="N181" s="13" t="str">
        <f t="shared" si="13"/>
        <v/>
      </c>
      <c r="O181" s="14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>
      <c r="A182" s="22" t="s">
        <v>753</v>
      </c>
      <c r="B182" s="27" t="str">
        <f>VLOOKUP(A182,Quantities!A:B,2,false)</f>
        <v>Helion Magnetic Moment To Nuclear Magneton Ratio</v>
      </c>
      <c r="C182" s="9">
        <f>countif(Quantities!A:A,A182)</f>
        <v>1</v>
      </c>
      <c r="D182" s="9" t="b">
        <f>IFERROR(__xludf.DUMMYFUNCTION("REGEXMATCH(A182,""(?i)ratio"")"),TRUE)</f>
        <v>1</v>
      </c>
      <c r="E182" s="9" t="b">
        <f>IFERROR(__xludf.DUMMYFUNCTION("REGEXMATCH(A182,""(?i)relationship"")"),FALSE)</f>
        <v>0</v>
      </c>
      <c r="F182" s="12"/>
      <c r="G182" s="17"/>
      <c r="H182" s="17" t="s">
        <v>1219</v>
      </c>
      <c r="K182" s="12"/>
      <c r="L182" s="12"/>
      <c r="M182" s="32"/>
      <c r="N182" s="13" t="str">
        <f t="shared" si="13"/>
        <v/>
      </c>
      <c r="O182" s="14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>
      <c r="A183" s="33" t="s">
        <v>758</v>
      </c>
      <c r="B183" s="27" t="str">
        <f>VLOOKUP(A183,Quantities!A:B,2,false)</f>
        <v>Helion Mass</v>
      </c>
      <c r="C183" s="9">
        <f>countif(Quantities!A:A,A183)</f>
        <v>1</v>
      </c>
      <c r="D183" s="9" t="b">
        <f>IFERROR(__xludf.DUMMYFUNCTION("REGEXMATCH(A183,""(?i)ratio"")"),FALSE)</f>
        <v>0</v>
      </c>
      <c r="E183" s="9" t="b">
        <f>IFERROR(__xludf.DUMMYFUNCTION("REGEXMATCH(A183,""(?i)relationship"")"),FALSE)</f>
        <v>0</v>
      </c>
      <c r="F183" s="12"/>
      <c r="G183" s="17"/>
      <c r="H183" s="17" t="s">
        <v>1227</v>
      </c>
      <c r="I183" s="31"/>
      <c r="J183" s="31"/>
      <c r="K183" s="12"/>
      <c r="L183" s="12"/>
      <c r="M183" s="32"/>
      <c r="N183" s="13" t="str">
        <f t="shared" si="13"/>
        <v/>
      </c>
      <c r="O183" s="14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>
      <c r="A184" s="17" t="s">
        <v>760</v>
      </c>
      <c r="B184" s="27" t="str">
        <f>VLOOKUP(A184,Quantities!A:B,2,false)</f>
        <v>Helion Mass Energy Equivalent</v>
      </c>
      <c r="C184" s="9">
        <f>countif(Quantities!A:A,A184)</f>
        <v>1</v>
      </c>
      <c r="D184" s="9" t="b">
        <f>IFERROR(__xludf.DUMMYFUNCTION("REGEXMATCH(A184,""(?i)ratio"")"),FALSE)</f>
        <v>0</v>
      </c>
      <c r="E184" s="9" t="b">
        <f>IFERROR(__xludf.DUMMYFUNCTION("REGEXMATCH(A184,""(?i)relationship"")"),FALSE)</f>
        <v>0</v>
      </c>
      <c r="F184" s="12"/>
      <c r="G184" s="17"/>
      <c r="H184" s="17" t="s">
        <v>1230</v>
      </c>
      <c r="I184" s="31"/>
      <c r="J184" s="31"/>
      <c r="K184" s="12"/>
      <c r="L184" s="12"/>
      <c r="M184" s="32"/>
      <c r="N184" s="13" t="str">
        <f t="shared" si="13"/>
        <v/>
      </c>
      <c r="O184" s="14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>
      <c r="A185" s="33" t="s">
        <v>763</v>
      </c>
      <c r="B185" s="27" t="str">
        <f>VLOOKUP(A185,Quantities!A:B,2,false)</f>
        <v>Helion Molar Mass</v>
      </c>
      <c r="C185" s="9">
        <f>countif(Quantities!A:A,A185)</f>
        <v>1</v>
      </c>
      <c r="D185" s="9" t="b">
        <f>IFERROR(__xludf.DUMMYFUNCTION("REGEXMATCH(A185,""(?i)ratio"")"),FALSE)</f>
        <v>0</v>
      </c>
      <c r="E185" s="9" t="b">
        <f>IFERROR(__xludf.DUMMYFUNCTION("REGEXMATCH(A185,""(?i)relationship"")"),FALSE)</f>
        <v>0</v>
      </c>
      <c r="F185" s="12"/>
      <c r="G185" s="17"/>
      <c r="H185" s="17" t="s">
        <v>1233</v>
      </c>
      <c r="I185" s="31"/>
      <c r="J185" s="31"/>
      <c r="K185" s="12"/>
      <c r="L185" s="12"/>
      <c r="M185" s="32"/>
      <c r="N185" s="13" t="str">
        <f t="shared" si="13"/>
        <v/>
      </c>
      <c r="O185" s="14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>
      <c r="A186" s="33" t="s">
        <v>766</v>
      </c>
      <c r="B186" s="27" t="str">
        <f>VLOOKUP(A186,Quantities!A:B,2,false)</f>
        <v>Helion-Proton Mass Ratio</v>
      </c>
      <c r="C186" s="9">
        <f>countif(Quantities!A:A,A186)</f>
        <v>1</v>
      </c>
      <c r="D186" s="9" t="b">
        <f>IFERROR(__xludf.DUMMYFUNCTION("REGEXMATCH(A186,""(?i)ratio"")"),TRUE)</f>
        <v>1</v>
      </c>
      <c r="E186" s="9" t="b">
        <f>IFERROR(__xludf.DUMMYFUNCTION("REGEXMATCH(A186,""(?i)relationship"")"),FALSE)</f>
        <v>0</v>
      </c>
      <c r="F186" s="12"/>
      <c r="G186" s="17"/>
      <c r="H186" s="17" t="s">
        <v>1239</v>
      </c>
      <c r="I186" s="31"/>
      <c r="J186" s="31"/>
      <c r="K186" s="12"/>
      <c r="L186" s="12"/>
      <c r="M186" s="32"/>
      <c r="N186" s="13" t="str">
        <f t="shared" si="13"/>
        <v/>
      </c>
      <c r="O186" s="14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>
      <c r="A187" s="33" t="s">
        <v>773</v>
      </c>
      <c r="B187" s="27" t="str">
        <f>VLOOKUP(A187,Quantities!A:B,2,false)</f>
        <v>Helion Relative Atomic Mass</v>
      </c>
      <c r="C187" s="9">
        <f>countif(Quantities!A:A,A187)</f>
        <v>1</v>
      </c>
      <c r="D187" s="9" t="b">
        <f>IFERROR(__xludf.DUMMYFUNCTION("REGEXMATCH(A187,""(?i)ratio"")"),FALSE)</f>
        <v>0</v>
      </c>
      <c r="E187" s="9" t="b">
        <f>IFERROR(__xludf.DUMMYFUNCTION("REGEXMATCH(A187,""(?i)relationship"")"),FALSE)</f>
        <v>0</v>
      </c>
      <c r="F187" s="12"/>
      <c r="G187" s="17"/>
      <c r="H187" s="17" t="s">
        <v>1245</v>
      </c>
      <c r="I187" s="31"/>
      <c r="J187" s="31"/>
      <c r="K187" s="12"/>
      <c r="L187" s="12"/>
      <c r="M187" s="32"/>
      <c r="N187" s="13" t="str">
        <f t="shared" si="13"/>
        <v/>
      </c>
      <c r="O187" s="14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>
      <c r="A188" s="33" t="s">
        <v>776</v>
      </c>
      <c r="B188" s="27" t="str">
        <f>VLOOKUP(A188,Quantities!A:B,2,false)</f>
        <v>Helion Shielding Shift</v>
      </c>
      <c r="C188" s="9">
        <f>countif(Quantities!A:A,A188)</f>
        <v>1</v>
      </c>
      <c r="D188" s="9" t="b">
        <f>IFERROR(__xludf.DUMMYFUNCTION("REGEXMATCH(A188,""(?i)ratio"")"),FALSE)</f>
        <v>0</v>
      </c>
      <c r="E188" s="9" t="b">
        <f>IFERROR(__xludf.DUMMYFUNCTION("REGEXMATCH(A188,""(?i)relationship"")"),FALSE)</f>
        <v>0</v>
      </c>
      <c r="F188" s="12"/>
      <c r="G188" s="17"/>
      <c r="H188" s="17" t="s">
        <v>1250</v>
      </c>
      <c r="I188" s="31"/>
      <c r="J188" s="31"/>
      <c r="K188" s="12"/>
      <c r="L188" s="12"/>
      <c r="M188" s="32"/>
      <c r="N188" s="13" t="str">
        <f t="shared" si="13"/>
        <v/>
      </c>
      <c r="O188" s="14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>
      <c r="A189" s="6" t="s">
        <v>1253</v>
      </c>
      <c r="B189" s="6" t="s">
        <v>1253</v>
      </c>
      <c r="C189" s="9">
        <f>countif(Quantities!A:A,A189)</f>
        <v>0</v>
      </c>
      <c r="D189" s="9" t="b">
        <f>IFERROR(__xludf.DUMMYFUNCTION("REGEXMATCH(A189,""(?i)ratio"")"),FALSE)</f>
        <v>0</v>
      </c>
      <c r="E189" s="9" t="b">
        <f>IFERROR(__xludf.DUMMYFUNCTION("REGEXMATCH(A189,""(?i)relationship"")"),FALSE)</f>
        <v>0</v>
      </c>
      <c r="F189" s="6"/>
      <c r="G189" s="12"/>
      <c r="H189" s="12"/>
      <c r="I189" s="12"/>
      <c r="J189" s="12"/>
      <c r="K189" s="12"/>
      <c r="L189" s="12"/>
      <c r="M189" s="13"/>
      <c r="N189" s="13"/>
      <c r="O189" s="20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>
      <c r="A190" s="6" t="s">
        <v>1257</v>
      </c>
      <c r="B190" s="6" t="s">
        <v>1257</v>
      </c>
      <c r="C190" s="9">
        <f>countif(Quantities!A:A,A190)</f>
        <v>0</v>
      </c>
      <c r="D190" s="9" t="b">
        <f>IFERROR(__xludf.DUMMYFUNCTION("REGEXMATCH(A190,""(?i)ratio"")"),FALSE)</f>
        <v>0</v>
      </c>
      <c r="E190" s="9" t="b">
        <f>IFERROR(__xludf.DUMMYFUNCTION("REGEXMATCH(A190,""(?i)relationship"")"),FALSE)</f>
        <v>0</v>
      </c>
      <c r="F190" s="6"/>
      <c r="G190" s="12"/>
      <c r="H190" s="12"/>
      <c r="I190" s="12"/>
      <c r="J190" s="12"/>
      <c r="K190" s="12"/>
      <c r="L190" s="12"/>
      <c r="M190" s="13"/>
      <c r="N190" s="13" t="str">
        <f t="shared" ref="N190:N199" si="14">if(isblank(M190),"",hyperlink("https://www.wikidata.org/wiki/"&amp;M190,M190))</f>
        <v/>
      </c>
      <c r="O190" s="20" t="s">
        <v>1265</v>
      </c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>
      <c r="A191" s="33" t="s">
        <v>778</v>
      </c>
      <c r="B191" s="27" t="str">
        <f>VLOOKUP(A191,Quantities!A:B,2,false)</f>
        <v>Hertz - Atomic Mass Unit Relationship</v>
      </c>
      <c r="C191" s="9">
        <f>countif(Quantities!A:A,A191)</f>
        <v>1</v>
      </c>
      <c r="D191" s="9" t="b">
        <f>IFERROR(__xludf.DUMMYFUNCTION("REGEXMATCH(A191,""(?i)ratio"")"),FALSE)</f>
        <v>0</v>
      </c>
      <c r="E191" s="9" t="b">
        <f>IFERROR(__xludf.DUMMYFUNCTION("REGEXMATCH(A191,""(?i)relationship"")"),TRUE)</f>
        <v>1</v>
      </c>
      <c r="F191" s="12"/>
      <c r="G191" s="17"/>
      <c r="H191" s="17" t="s">
        <v>1269</v>
      </c>
      <c r="I191" s="31"/>
      <c r="J191" s="31"/>
      <c r="K191" s="12"/>
      <c r="L191" s="12"/>
      <c r="M191" s="32"/>
      <c r="N191" s="13" t="str">
        <f t="shared" si="14"/>
        <v/>
      </c>
      <c r="O191" s="14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>
      <c r="A192" s="33" t="s">
        <v>781</v>
      </c>
      <c r="B192" s="27" t="str">
        <f>VLOOKUP(A192,Quantities!A:B,2,false)</f>
        <v>Hertz - Electronvolt Relationship</v>
      </c>
      <c r="C192" s="9">
        <f>countif(Quantities!A:A,A192)</f>
        <v>1</v>
      </c>
      <c r="D192" s="9" t="b">
        <f>IFERROR(__xludf.DUMMYFUNCTION("REGEXMATCH(A192,""(?i)ratio"")"),FALSE)</f>
        <v>0</v>
      </c>
      <c r="E192" s="9" t="b">
        <f>IFERROR(__xludf.DUMMYFUNCTION("REGEXMATCH(A192,""(?i)relationship"")"),TRUE)</f>
        <v>1</v>
      </c>
      <c r="F192" s="12"/>
      <c r="G192" s="17"/>
      <c r="H192" s="17" t="s">
        <v>1275</v>
      </c>
      <c r="I192" s="31"/>
      <c r="J192" s="31"/>
      <c r="K192" s="12"/>
      <c r="L192" s="12"/>
      <c r="M192" s="32"/>
      <c r="N192" s="13" t="str">
        <f t="shared" si="14"/>
        <v/>
      </c>
      <c r="O192" s="14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>
      <c r="A193" s="33" t="s">
        <v>783</v>
      </c>
      <c r="B193" s="27" t="str">
        <f>VLOOKUP(A193,Quantities!A:B,2,false)</f>
        <v>Hertz - Hartree Relationship</v>
      </c>
      <c r="C193" s="9">
        <f>countif(Quantities!A:A,A193)</f>
        <v>1</v>
      </c>
      <c r="D193" s="9" t="b">
        <f>IFERROR(__xludf.DUMMYFUNCTION("REGEXMATCH(A193,""(?i)ratio"")"),FALSE)</f>
        <v>0</v>
      </c>
      <c r="E193" s="9" t="b">
        <f>IFERROR(__xludf.DUMMYFUNCTION("REGEXMATCH(A193,""(?i)relationship"")"),TRUE)</f>
        <v>1</v>
      </c>
      <c r="F193" s="12"/>
      <c r="G193" s="17"/>
      <c r="H193" s="17" t="s">
        <v>1285</v>
      </c>
      <c r="I193" s="31"/>
      <c r="J193" s="31"/>
      <c r="K193" s="12"/>
      <c r="L193" s="12"/>
      <c r="M193" s="32"/>
      <c r="N193" s="13" t="str">
        <f t="shared" si="14"/>
        <v/>
      </c>
      <c r="O193" s="14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>
      <c r="A194" s="33" t="s">
        <v>790</v>
      </c>
      <c r="B194" s="27" t="str">
        <f>VLOOKUP(A194,Quantities!A:B,2,false)</f>
        <v>Hertz - Inverse Meter Relationship</v>
      </c>
      <c r="C194" s="9">
        <f>countif(Quantities!A:A,A194)</f>
        <v>1</v>
      </c>
      <c r="D194" s="9" t="b">
        <f>IFERROR(__xludf.DUMMYFUNCTION("REGEXMATCH(A194,""(?i)ratio"")"),FALSE)</f>
        <v>0</v>
      </c>
      <c r="E194" s="9" t="b">
        <f>IFERROR(__xludf.DUMMYFUNCTION("REGEXMATCH(A194,""(?i)relationship"")"),TRUE)</f>
        <v>1</v>
      </c>
      <c r="F194" s="12"/>
      <c r="G194" s="17"/>
      <c r="H194" s="17" t="s">
        <v>1291</v>
      </c>
      <c r="I194" s="31"/>
      <c r="J194" s="31"/>
      <c r="K194" s="12"/>
      <c r="L194" s="12"/>
      <c r="M194" s="32"/>
      <c r="N194" s="13" t="str">
        <f t="shared" si="14"/>
        <v/>
      </c>
      <c r="O194" s="14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>
      <c r="A195" s="33" t="s">
        <v>793</v>
      </c>
      <c r="B195" s="27" t="str">
        <f>VLOOKUP(A195,Quantities!A:B,2,false)</f>
        <v>Hertz - Joule Relationship</v>
      </c>
      <c r="C195" s="9">
        <f>countif(Quantities!A:A,A195)</f>
        <v>1</v>
      </c>
      <c r="D195" s="9" t="b">
        <f>IFERROR(__xludf.DUMMYFUNCTION("REGEXMATCH(A195,""(?i)ratio"")"),FALSE)</f>
        <v>0</v>
      </c>
      <c r="E195" s="9" t="b">
        <f>IFERROR(__xludf.DUMMYFUNCTION("REGEXMATCH(A195,""(?i)relationship"")"),TRUE)</f>
        <v>1</v>
      </c>
      <c r="F195" s="12"/>
      <c r="G195" s="17"/>
      <c r="H195" s="17" t="s">
        <v>1296</v>
      </c>
      <c r="I195" s="31"/>
      <c r="J195" s="31"/>
      <c r="K195" s="12"/>
      <c r="L195" s="12"/>
      <c r="M195" s="32"/>
      <c r="N195" s="13" t="str">
        <f t="shared" si="14"/>
        <v/>
      </c>
      <c r="O195" s="14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>
      <c r="A196" s="33" t="s">
        <v>795</v>
      </c>
      <c r="B196" s="27" t="str">
        <f>VLOOKUP(A196,Quantities!A:B,2,false)</f>
        <v>Hertz - Kelvin Relationship</v>
      </c>
      <c r="C196" s="9">
        <f>countif(Quantities!A:A,A196)</f>
        <v>1</v>
      </c>
      <c r="D196" s="9" t="b">
        <f>IFERROR(__xludf.DUMMYFUNCTION("REGEXMATCH(A196,""(?i)ratio"")"),FALSE)</f>
        <v>0</v>
      </c>
      <c r="E196" s="9" t="b">
        <f>IFERROR(__xludf.DUMMYFUNCTION("REGEXMATCH(A196,""(?i)relationship"")"),TRUE)</f>
        <v>1</v>
      </c>
      <c r="F196" s="12"/>
      <c r="G196" s="17"/>
      <c r="H196" s="17" t="s">
        <v>1304</v>
      </c>
      <c r="I196" s="31"/>
      <c r="J196" s="31"/>
      <c r="K196" s="12"/>
      <c r="L196" s="12"/>
      <c r="M196" s="32"/>
      <c r="N196" s="13" t="str">
        <f t="shared" si="14"/>
        <v/>
      </c>
      <c r="O196" s="14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>
      <c r="A197" s="33" t="s">
        <v>799</v>
      </c>
      <c r="B197" s="27" t="str">
        <f>VLOOKUP(A197,Quantities!A:B,2,false)</f>
        <v>Hertz - Kilogram Relationship</v>
      </c>
      <c r="C197" s="9">
        <f>countif(Quantities!A:A,A197)</f>
        <v>1</v>
      </c>
      <c r="D197" s="9" t="b">
        <f>IFERROR(__xludf.DUMMYFUNCTION("REGEXMATCH(A197,""(?i)ratio"")"),FALSE)</f>
        <v>0</v>
      </c>
      <c r="E197" s="9" t="b">
        <f>IFERROR(__xludf.DUMMYFUNCTION("REGEXMATCH(A197,""(?i)relationship"")"),TRUE)</f>
        <v>1</v>
      </c>
      <c r="F197" s="12"/>
      <c r="G197" s="17"/>
      <c r="H197" s="17" t="s">
        <v>1309</v>
      </c>
      <c r="I197" s="31"/>
      <c r="J197" s="31"/>
      <c r="K197" s="12"/>
      <c r="L197" s="12"/>
      <c r="M197" s="32"/>
      <c r="N197" s="13" t="str">
        <f t="shared" si="14"/>
        <v/>
      </c>
      <c r="O197" s="14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>
      <c r="A198" s="22" t="s">
        <v>802</v>
      </c>
      <c r="B198" s="27" t="str">
        <f>VLOOKUP(A198,Quantities!A:B,2,false)</f>
        <v>Hyperfine Transition Frequency Of Cs-133</v>
      </c>
      <c r="C198" s="9">
        <f>countif(Quantities!A:A,A198)</f>
        <v>1</v>
      </c>
      <c r="D198" s="9" t="b">
        <f>IFERROR(__xludf.DUMMYFUNCTION("REGEXMATCH(A198,""(?i)ratio"")"),FALSE)</f>
        <v>0</v>
      </c>
      <c r="E198" s="9" t="b">
        <f>IFERROR(__xludf.DUMMYFUNCTION("REGEXMATCH(A198,""(?i)relationship"")"),FALSE)</f>
        <v>0</v>
      </c>
      <c r="F198" s="12"/>
      <c r="G198" s="17" t="s">
        <v>494</v>
      </c>
      <c r="H198" s="17" t="s">
        <v>1314</v>
      </c>
      <c r="I198" s="31"/>
      <c r="J198" s="31"/>
      <c r="K198" s="12"/>
      <c r="L198" s="12"/>
      <c r="M198" s="32"/>
      <c r="N198" s="13" t="str">
        <f t="shared" si="14"/>
        <v/>
      </c>
      <c r="O198" s="14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>
      <c r="A199" s="6" t="s">
        <v>1316</v>
      </c>
      <c r="B199" s="6" t="s">
        <v>1316</v>
      </c>
      <c r="C199" s="9">
        <f>countif(Quantities!A:A,A199)</f>
        <v>0</v>
      </c>
      <c r="D199" s="9" t="b">
        <f>IFERROR(__xludf.DUMMYFUNCTION("REGEXMATCH(A199,""(?i)ratio"")"),FALSE)</f>
        <v>0</v>
      </c>
      <c r="E199" s="9" t="b">
        <f>IFERROR(__xludf.DUMMYFUNCTION("REGEXMATCH(A199,""(?i)relationship"")"),FALSE)</f>
        <v>0</v>
      </c>
      <c r="F199" s="12"/>
      <c r="G199" s="12"/>
      <c r="H199" s="12"/>
      <c r="I199" s="12"/>
      <c r="J199" s="12"/>
      <c r="K199" s="12"/>
      <c r="L199" s="12"/>
      <c r="M199" s="13"/>
      <c r="N199" s="13" t="str">
        <f t="shared" si="14"/>
        <v/>
      </c>
      <c r="O199" s="20" t="s">
        <v>1322</v>
      </c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>
      <c r="A200" s="6" t="s">
        <v>1323</v>
      </c>
      <c r="B200" s="6" t="s">
        <v>1323</v>
      </c>
      <c r="C200" s="9">
        <f>countif(Quantities!A:A,A200)</f>
        <v>0</v>
      </c>
      <c r="D200" s="9" t="b">
        <f>IFERROR(__xludf.DUMMYFUNCTION("REGEXMATCH(A200,""(?i)ratio"")"),FALSE)</f>
        <v>0</v>
      </c>
      <c r="E200" s="9" t="b">
        <f>IFERROR(__xludf.DUMMYFUNCTION("REGEXMATCH(A200,""(?i)relationship"")"),FALSE)</f>
        <v>0</v>
      </c>
      <c r="F200" s="6"/>
      <c r="G200" s="12"/>
      <c r="H200" s="12"/>
      <c r="I200" s="12"/>
      <c r="J200" s="12"/>
      <c r="K200" s="12"/>
      <c r="L200" s="12"/>
      <c r="M200" s="13"/>
      <c r="N200" s="13"/>
      <c r="O200" s="20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>
      <c r="A201" s="6" t="s">
        <v>1325</v>
      </c>
      <c r="B201" s="6" t="s">
        <v>1325</v>
      </c>
      <c r="C201" s="9">
        <f>countif(Quantities!A:A,A201)</f>
        <v>0</v>
      </c>
      <c r="D201" s="9" t="b">
        <f>IFERROR(__xludf.DUMMYFUNCTION("REGEXMATCH(A201,""(?i)ratio"")"),FALSE)</f>
        <v>0</v>
      </c>
      <c r="E201" s="9" t="b">
        <f>IFERROR(__xludf.DUMMYFUNCTION("REGEXMATCH(A201,""(?i)relationship"")"),FALSE)</f>
        <v>0</v>
      </c>
      <c r="F201" s="6"/>
      <c r="G201" s="12"/>
      <c r="H201" s="12"/>
      <c r="I201" s="12"/>
      <c r="J201" s="12"/>
      <c r="K201" s="12"/>
      <c r="L201" s="12"/>
      <c r="M201" s="13"/>
      <c r="N201" s="13"/>
      <c r="O201" s="20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>
      <c r="A202" s="6" t="s">
        <v>1326</v>
      </c>
      <c r="B202" s="6" t="s">
        <v>1326</v>
      </c>
      <c r="C202" s="9">
        <f>countif(Quantities!A:A,A202)</f>
        <v>0</v>
      </c>
      <c r="D202" s="9" t="b">
        <f>IFERROR(__xludf.DUMMYFUNCTION("REGEXMATCH(A202,""(?i)ratio"")"),FALSE)</f>
        <v>0</v>
      </c>
      <c r="E202" s="9" t="b">
        <f>IFERROR(__xludf.DUMMYFUNCTION("REGEXMATCH(A202,""(?i)relationship"")"),FALSE)</f>
        <v>0</v>
      </c>
      <c r="F202" s="6"/>
      <c r="G202" s="12"/>
      <c r="H202" s="12"/>
      <c r="I202" s="12"/>
      <c r="J202" s="12"/>
      <c r="K202" s="12"/>
      <c r="L202" s="12"/>
      <c r="M202" s="32"/>
      <c r="N202" s="13"/>
      <c r="O202" s="14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>
      <c r="A203" s="33" t="s">
        <v>807</v>
      </c>
      <c r="B203" s="27" t="str">
        <f>VLOOKUP(A203,Quantities!A:B,2,false)</f>
        <v>Inverse Fine-Structure Constant</v>
      </c>
      <c r="C203" s="9">
        <f>countif(Quantities!A:A,A203)</f>
        <v>1</v>
      </c>
      <c r="D203" s="9" t="b">
        <f>IFERROR(__xludf.DUMMYFUNCTION("REGEXMATCH(A203,""(?i)ratio"")"),FALSE)</f>
        <v>0</v>
      </c>
      <c r="E203" s="9" t="b">
        <f>IFERROR(__xludf.DUMMYFUNCTION("REGEXMATCH(A203,""(?i)relationship"")"),FALSE)</f>
        <v>0</v>
      </c>
      <c r="F203" s="12"/>
      <c r="G203" s="17"/>
      <c r="H203" s="17" t="s">
        <v>1327</v>
      </c>
      <c r="I203" s="31"/>
      <c r="J203" s="31"/>
      <c r="K203" s="12"/>
      <c r="L203" s="12"/>
      <c r="M203" s="32"/>
      <c r="N203" s="13" t="str">
        <f t="shared" ref="N203:N212" si="15">if(isblank(M203),"",hyperlink("https://www.wikidata.org/wiki/"&amp;M203,M203))</f>
        <v/>
      </c>
      <c r="O203" s="14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>
      <c r="A204" s="6" t="s">
        <v>1328</v>
      </c>
      <c r="B204" s="6" t="s">
        <v>1329</v>
      </c>
      <c r="C204" s="9">
        <f>countif(Quantities!A:A,A204)</f>
        <v>0</v>
      </c>
      <c r="D204" s="9" t="b">
        <f>IFERROR(__xludf.DUMMYFUNCTION("REGEXMATCH(A204,""(?i)ratio"")"),FALSE)</f>
        <v>0</v>
      </c>
      <c r="E204" s="9" t="b">
        <f>IFERROR(__xludf.DUMMYFUNCTION("REGEXMATCH(A204,""(?i)relationship"")"),FALSE)</f>
        <v>0</v>
      </c>
      <c r="F204" s="6"/>
      <c r="G204" s="12"/>
      <c r="H204" s="12"/>
      <c r="I204" s="12"/>
      <c r="J204" s="12"/>
      <c r="K204" s="12"/>
      <c r="L204" s="12"/>
      <c r="M204" s="32"/>
      <c r="N204" s="13" t="str">
        <f t="shared" si="15"/>
        <v/>
      </c>
      <c r="O204" s="14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>
      <c r="A205" s="33" t="s">
        <v>814</v>
      </c>
      <c r="B205" s="27" t="str">
        <f>VLOOKUP(A205,Quantities!A:B,2,false)</f>
        <v>Inverse Meter - Atomic Mass Unit Relationship</v>
      </c>
      <c r="C205" s="9">
        <f>countif(Quantities!A:A,A205)</f>
        <v>1</v>
      </c>
      <c r="D205" s="9" t="b">
        <f>IFERROR(__xludf.DUMMYFUNCTION("REGEXMATCH(A205,""(?i)ratio"")"),FALSE)</f>
        <v>0</v>
      </c>
      <c r="E205" s="9" t="b">
        <f>IFERROR(__xludf.DUMMYFUNCTION("REGEXMATCH(A205,""(?i)relationship"")"),TRUE)</f>
        <v>1</v>
      </c>
      <c r="F205" s="12"/>
      <c r="G205" s="17"/>
      <c r="H205" s="17" t="s">
        <v>1337</v>
      </c>
      <c r="I205" s="31"/>
      <c r="J205" s="31"/>
      <c r="K205" s="12"/>
      <c r="L205" s="12"/>
      <c r="M205" s="32"/>
      <c r="N205" s="13" t="str">
        <f t="shared" si="15"/>
        <v/>
      </c>
      <c r="O205" s="14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>
      <c r="A206" s="33" t="s">
        <v>818</v>
      </c>
      <c r="B206" s="27" t="str">
        <f>VLOOKUP(A206,Quantities!A:B,2,false)</f>
        <v>Inverse Meter - Electronvolt Relationship</v>
      </c>
      <c r="C206" s="9">
        <f>countif(Quantities!A:A,A206)</f>
        <v>1</v>
      </c>
      <c r="D206" s="9" t="b">
        <f>IFERROR(__xludf.DUMMYFUNCTION("REGEXMATCH(A206,""(?i)ratio"")"),FALSE)</f>
        <v>0</v>
      </c>
      <c r="E206" s="9" t="b">
        <f>IFERROR(__xludf.DUMMYFUNCTION("REGEXMATCH(A206,""(?i)relationship"")"),TRUE)</f>
        <v>1</v>
      </c>
      <c r="F206" s="12"/>
      <c r="G206" s="17"/>
      <c r="H206" s="17" t="s">
        <v>1341</v>
      </c>
      <c r="I206" s="31"/>
      <c r="J206" s="31"/>
      <c r="K206" s="12"/>
      <c r="L206" s="12"/>
      <c r="M206" s="32"/>
      <c r="N206" s="13" t="str">
        <f t="shared" si="15"/>
        <v/>
      </c>
      <c r="O206" s="14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>
      <c r="A207" s="33" t="s">
        <v>821</v>
      </c>
      <c r="B207" s="27" t="str">
        <f>VLOOKUP(A207,Quantities!A:B,2,false)</f>
        <v>Inverse Meter-Hartree Relationship</v>
      </c>
      <c r="C207" s="9">
        <f>countif(Quantities!A:A,A207)</f>
        <v>1</v>
      </c>
      <c r="D207" s="9" t="b">
        <f>IFERROR(__xludf.DUMMYFUNCTION("REGEXMATCH(A207,""(?i)ratio"")"),FALSE)</f>
        <v>0</v>
      </c>
      <c r="E207" s="9" t="b">
        <f>IFERROR(__xludf.DUMMYFUNCTION("REGEXMATCH(A207,""(?i)relationship"")"),TRUE)</f>
        <v>1</v>
      </c>
      <c r="F207" s="12"/>
      <c r="G207" s="17"/>
      <c r="H207" s="17" t="s">
        <v>1346</v>
      </c>
      <c r="I207" s="31"/>
      <c r="J207" s="31"/>
      <c r="K207" s="12"/>
      <c r="L207" s="12"/>
      <c r="M207" s="32"/>
      <c r="N207" s="13" t="str">
        <f t="shared" si="15"/>
        <v/>
      </c>
      <c r="O207" s="14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>
      <c r="A208" s="33" t="s">
        <v>826</v>
      </c>
      <c r="B208" s="27" t="str">
        <f>VLOOKUP(A208,Quantities!A:B,2,false)</f>
        <v>Inverse Meter - Hertz Relationship</v>
      </c>
      <c r="C208" s="9">
        <f>countif(Quantities!A:A,A208)</f>
        <v>1</v>
      </c>
      <c r="D208" s="9" t="b">
        <f>IFERROR(__xludf.DUMMYFUNCTION("REGEXMATCH(A208,""(?i)ratio"")"),FALSE)</f>
        <v>0</v>
      </c>
      <c r="E208" s="9" t="b">
        <f>IFERROR(__xludf.DUMMYFUNCTION("REGEXMATCH(A208,""(?i)relationship"")"),TRUE)</f>
        <v>1</v>
      </c>
      <c r="F208" s="12"/>
      <c r="G208" s="17"/>
      <c r="H208" s="17" t="s">
        <v>1355</v>
      </c>
      <c r="I208" s="31"/>
      <c r="J208" s="31"/>
      <c r="K208" s="12"/>
      <c r="L208" s="12"/>
      <c r="M208" s="32"/>
      <c r="N208" s="13" t="str">
        <f t="shared" si="15"/>
        <v/>
      </c>
      <c r="O208" s="14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>
      <c r="A209" s="33" t="s">
        <v>830</v>
      </c>
      <c r="B209" s="27" t="str">
        <f>VLOOKUP(A209,Quantities!A:B,2,false)</f>
        <v>Inverse Meter - Joule Relationship</v>
      </c>
      <c r="C209" s="9">
        <f>countif(Quantities!A:A,A209)</f>
        <v>1</v>
      </c>
      <c r="D209" s="9" t="b">
        <f>IFERROR(__xludf.DUMMYFUNCTION("REGEXMATCH(A209,""(?i)ratio"")"),FALSE)</f>
        <v>0</v>
      </c>
      <c r="E209" s="9" t="b">
        <f>IFERROR(__xludf.DUMMYFUNCTION("REGEXMATCH(A209,""(?i)relationship"")"),TRUE)</f>
        <v>1</v>
      </c>
      <c r="F209" s="12"/>
      <c r="G209" s="17"/>
      <c r="H209" s="17" t="s">
        <v>1358</v>
      </c>
      <c r="I209" s="31"/>
      <c r="J209" s="31"/>
      <c r="K209" s="12"/>
      <c r="L209" s="12"/>
      <c r="M209" s="32"/>
      <c r="N209" s="13" t="str">
        <f t="shared" si="15"/>
        <v/>
      </c>
      <c r="O209" s="14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>
      <c r="A210" s="33" t="s">
        <v>838</v>
      </c>
      <c r="B210" s="27" t="str">
        <f>VLOOKUP(A210,Quantities!A:B,2,false)</f>
        <v>Inverse Meter - Kelvin Relationship</v>
      </c>
      <c r="C210" s="9">
        <f>countif(Quantities!A:A,A210)</f>
        <v>1</v>
      </c>
      <c r="D210" s="9" t="b">
        <f>IFERROR(__xludf.DUMMYFUNCTION("REGEXMATCH(A210,""(?i)ratio"")"),FALSE)</f>
        <v>0</v>
      </c>
      <c r="E210" s="9" t="b">
        <f>IFERROR(__xludf.DUMMYFUNCTION("REGEXMATCH(A210,""(?i)relationship"")"),TRUE)</f>
        <v>1</v>
      </c>
      <c r="F210" s="12"/>
      <c r="G210" s="17"/>
      <c r="H210" s="17" t="s">
        <v>1363</v>
      </c>
      <c r="I210" s="31"/>
      <c r="J210" s="31"/>
      <c r="K210" s="12"/>
      <c r="L210" s="12"/>
      <c r="M210" s="32"/>
      <c r="N210" s="13" t="str">
        <f t="shared" si="15"/>
        <v/>
      </c>
      <c r="O210" s="14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>
      <c r="A211" s="33" t="s">
        <v>840</v>
      </c>
      <c r="B211" s="27" t="str">
        <f>VLOOKUP(A211,Quantities!A:B,2,false)</f>
        <v>Inverse Meter - Kilogram Relationship</v>
      </c>
      <c r="C211" s="9">
        <f>countif(Quantities!A:A,A211)</f>
        <v>1</v>
      </c>
      <c r="D211" s="9" t="b">
        <f>IFERROR(__xludf.DUMMYFUNCTION("REGEXMATCH(A211,""(?i)ratio"")"),FALSE)</f>
        <v>0</v>
      </c>
      <c r="E211" s="9" t="b">
        <f>IFERROR(__xludf.DUMMYFUNCTION("REGEXMATCH(A211,""(?i)relationship"")"),TRUE)</f>
        <v>1</v>
      </c>
      <c r="F211" s="12"/>
      <c r="G211" s="17"/>
      <c r="H211" s="17" t="s">
        <v>1369</v>
      </c>
      <c r="I211" s="31"/>
      <c r="J211" s="31"/>
      <c r="K211" s="12"/>
      <c r="L211" s="12"/>
      <c r="M211" s="32"/>
      <c r="N211" s="13" t="str">
        <f t="shared" si="15"/>
        <v/>
      </c>
      <c r="O211" s="14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>
      <c r="A212" s="33" t="s">
        <v>845</v>
      </c>
      <c r="B212" s="27" t="str">
        <f>VLOOKUP(A212,Quantities!A:B,2,false)</f>
        <v>Inverse Of Conductance Quantum</v>
      </c>
      <c r="C212" s="9">
        <f>countif(Quantities!A:A,A212)</f>
        <v>1</v>
      </c>
      <c r="D212" s="9" t="b">
        <f>IFERROR(__xludf.DUMMYFUNCTION("REGEXMATCH(A212,""(?i)ratio"")"),FALSE)</f>
        <v>0</v>
      </c>
      <c r="E212" s="9" t="b">
        <f>IFERROR(__xludf.DUMMYFUNCTION("REGEXMATCH(A212,""(?i)relationship"")"),FALSE)</f>
        <v>0</v>
      </c>
      <c r="F212" s="12"/>
      <c r="G212" s="17"/>
      <c r="H212" s="17" t="s">
        <v>1375</v>
      </c>
      <c r="I212" s="31"/>
      <c r="J212" s="31"/>
      <c r="K212" s="12"/>
      <c r="L212" s="12"/>
      <c r="M212" s="32"/>
      <c r="N212" s="13" t="str">
        <f t="shared" si="15"/>
        <v/>
      </c>
      <c r="O212" s="14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>
      <c r="A213" s="6" t="s">
        <v>1411</v>
      </c>
      <c r="B213" s="6" t="s">
        <v>1411</v>
      </c>
      <c r="C213" s="9">
        <f>countif(Quantities!A:A,A213)</f>
        <v>0</v>
      </c>
      <c r="D213" s="9" t="b">
        <f>IFERROR(__xludf.DUMMYFUNCTION("REGEXMATCH(A213,""(?i)ratio"")"),FALSE)</f>
        <v>0</v>
      </c>
      <c r="E213" s="9" t="b">
        <f>IFERROR(__xludf.DUMMYFUNCTION("REGEXMATCH(A213,""(?i)relationship"")"),FALSE)</f>
        <v>0</v>
      </c>
      <c r="F213" s="6"/>
      <c r="G213" s="12"/>
      <c r="H213" s="12"/>
      <c r="I213" s="12"/>
      <c r="J213" s="12"/>
      <c r="K213" s="12"/>
      <c r="L213" s="12"/>
      <c r="M213" s="13"/>
      <c r="N213" s="13"/>
      <c r="O213" s="20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>
      <c r="A214" s="33" t="s">
        <v>849</v>
      </c>
      <c r="B214" s="27" t="str">
        <f>VLOOKUP(A214,Quantities!A:B,2,false)</f>
        <v>Josephson Constant</v>
      </c>
      <c r="C214" s="9">
        <f>countif(Quantities!A:A,A214)</f>
        <v>1</v>
      </c>
      <c r="D214" s="9" t="b">
        <f>IFERROR(__xludf.DUMMYFUNCTION("REGEXMATCH(A214,""(?i)ratio"")"),FALSE)</f>
        <v>0</v>
      </c>
      <c r="E214" s="9" t="b">
        <f>IFERROR(__xludf.DUMMYFUNCTION("REGEXMATCH(A214,""(?i)relationship"")"),FALSE)</f>
        <v>0</v>
      </c>
      <c r="F214" s="12"/>
      <c r="G214" s="17"/>
      <c r="H214" s="17" t="s">
        <v>1411</v>
      </c>
      <c r="I214" s="31"/>
      <c r="J214" s="31"/>
      <c r="K214" s="12"/>
      <c r="L214" s="12"/>
      <c r="M214" s="32"/>
      <c r="N214" s="13" t="str">
        <f t="shared" ref="N214:N241" si="16">if(isblank(M214),"",hyperlink("https://www.wikidata.org/wiki/"&amp;M214,M214))</f>
        <v/>
      </c>
      <c r="O214" s="14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>
      <c r="A215" s="6" t="s">
        <v>1424</v>
      </c>
      <c r="B215" s="6" t="s">
        <v>1424</v>
      </c>
      <c r="C215" s="9">
        <f>countif(Quantities!A:A,A215)</f>
        <v>0</v>
      </c>
      <c r="D215" s="9" t="b">
        <f>IFERROR(__xludf.DUMMYFUNCTION("REGEXMATCH(A215,""(?i)ratio"")"),FALSE)</f>
        <v>0</v>
      </c>
      <c r="E215" s="9" t="b">
        <f>IFERROR(__xludf.DUMMYFUNCTION("REGEXMATCH(A215,""(?i)relationship"")"),FALSE)</f>
        <v>0</v>
      </c>
      <c r="F215" s="6"/>
      <c r="G215" s="12"/>
      <c r="H215" s="12"/>
      <c r="I215" s="12"/>
      <c r="J215" s="12"/>
      <c r="K215" s="12"/>
      <c r="L215" s="12"/>
      <c r="M215" s="32"/>
      <c r="N215" s="13" t="str">
        <f t="shared" si="16"/>
        <v/>
      </c>
      <c r="O215" s="14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>
      <c r="A216" s="33" t="s">
        <v>851</v>
      </c>
      <c r="B216" s="27" t="str">
        <f>VLOOKUP(A216,Quantities!A:B,2,false)</f>
        <v>Joule - Atomic Mass Unit Relationship</v>
      </c>
      <c r="C216" s="9">
        <f>countif(Quantities!A:A,A216)</f>
        <v>1</v>
      </c>
      <c r="D216" s="9" t="b">
        <f>IFERROR(__xludf.DUMMYFUNCTION("REGEXMATCH(A216,""(?i)ratio"")"),FALSE)</f>
        <v>0</v>
      </c>
      <c r="E216" s="9" t="b">
        <f>IFERROR(__xludf.DUMMYFUNCTION("REGEXMATCH(A216,""(?i)relationship"")"),TRUE)</f>
        <v>1</v>
      </c>
      <c r="F216" s="12"/>
      <c r="G216" s="17"/>
      <c r="H216" s="17" t="s">
        <v>1429</v>
      </c>
      <c r="I216" s="31"/>
      <c r="J216" s="31"/>
      <c r="K216" s="12"/>
      <c r="L216" s="12"/>
      <c r="M216" s="32"/>
      <c r="N216" s="13" t="str">
        <f t="shared" si="16"/>
        <v/>
      </c>
      <c r="O216" s="14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>
      <c r="A217" s="33" t="s">
        <v>854</v>
      </c>
      <c r="B217" s="27" t="str">
        <f>VLOOKUP(A217,Quantities!A:B,2,false)</f>
        <v>Joule - Electronvolt Relationship</v>
      </c>
      <c r="C217" s="9">
        <f>countif(Quantities!A:A,A217)</f>
        <v>1</v>
      </c>
      <c r="D217" s="9" t="b">
        <f>IFERROR(__xludf.DUMMYFUNCTION("REGEXMATCH(A217,""(?i)ratio"")"),FALSE)</f>
        <v>0</v>
      </c>
      <c r="E217" s="9" t="b">
        <f>IFERROR(__xludf.DUMMYFUNCTION("REGEXMATCH(A217,""(?i)relationship"")"),TRUE)</f>
        <v>1</v>
      </c>
      <c r="F217" s="12"/>
      <c r="G217" s="17"/>
      <c r="H217" s="17" t="s">
        <v>1435</v>
      </c>
      <c r="I217" s="31"/>
      <c r="J217" s="31"/>
      <c r="K217" s="12"/>
      <c r="L217" s="12"/>
      <c r="M217" s="32"/>
      <c r="N217" s="13" t="str">
        <f t="shared" si="16"/>
        <v/>
      </c>
      <c r="O217" s="14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>
      <c r="A218" s="33" t="s">
        <v>861</v>
      </c>
      <c r="B218" s="27" t="str">
        <f>VLOOKUP(A218,Quantities!A:B,2,false)</f>
        <v>Joule - Hartree Relationship</v>
      </c>
      <c r="C218" s="9">
        <f>countif(Quantities!A:A,A218)</f>
        <v>1</v>
      </c>
      <c r="D218" s="9" t="b">
        <f>IFERROR(__xludf.DUMMYFUNCTION("REGEXMATCH(A218,""(?i)ratio"")"),FALSE)</f>
        <v>0</v>
      </c>
      <c r="E218" s="9" t="b">
        <f>IFERROR(__xludf.DUMMYFUNCTION("REGEXMATCH(A218,""(?i)relationship"")"),TRUE)</f>
        <v>1</v>
      </c>
      <c r="F218" s="12"/>
      <c r="G218" s="17"/>
      <c r="H218" s="17" t="s">
        <v>1438</v>
      </c>
      <c r="I218" s="31"/>
      <c r="J218" s="31"/>
      <c r="K218" s="12"/>
      <c r="L218" s="12"/>
      <c r="M218" s="32"/>
      <c r="N218" s="13" t="str">
        <f t="shared" si="16"/>
        <v/>
      </c>
      <c r="O218" s="14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>
      <c r="A219" s="33" t="s">
        <v>867</v>
      </c>
      <c r="B219" s="27" t="str">
        <f>VLOOKUP(A219,Quantities!A:B,2,false)</f>
        <v>Joule - Hertz Relationship</v>
      </c>
      <c r="C219" s="9">
        <f>countif(Quantities!A:A,A219)</f>
        <v>1</v>
      </c>
      <c r="D219" s="9" t="b">
        <f>IFERROR(__xludf.DUMMYFUNCTION("REGEXMATCH(A219,""(?i)ratio"")"),FALSE)</f>
        <v>0</v>
      </c>
      <c r="E219" s="9" t="b">
        <f>IFERROR(__xludf.DUMMYFUNCTION("REGEXMATCH(A219,""(?i)relationship"")"),TRUE)</f>
        <v>1</v>
      </c>
      <c r="F219" s="12"/>
      <c r="G219" s="17"/>
      <c r="H219" s="17" t="s">
        <v>1443</v>
      </c>
      <c r="I219" s="31"/>
      <c r="J219" s="31"/>
      <c r="K219" s="12"/>
      <c r="L219" s="12"/>
      <c r="M219" s="32"/>
      <c r="N219" s="13" t="str">
        <f t="shared" si="16"/>
        <v/>
      </c>
      <c r="O219" s="14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>
      <c r="A220" s="33" t="s">
        <v>870</v>
      </c>
      <c r="B220" s="27" t="str">
        <f>VLOOKUP(A220,Quantities!A:B,2,false)</f>
        <v>Joule - Inverse Meter Relationship</v>
      </c>
      <c r="C220" s="9">
        <f>countif(Quantities!A:A,A220)</f>
        <v>1</v>
      </c>
      <c r="D220" s="9" t="b">
        <f>IFERROR(__xludf.DUMMYFUNCTION("REGEXMATCH(A220,""(?i)ratio"")"),FALSE)</f>
        <v>0</v>
      </c>
      <c r="E220" s="9" t="b">
        <f>IFERROR(__xludf.DUMMYFUNCTION("REGEXMATCH(A220,""(?i)relationship"")"),TRUE)</f>
        <v>1</v>
      </c>
      <c r="F220" s="12"/>
      <c r="G220" s="17"/>
      <c r="H220" s="17" t="s">
        <v>1448</v>
      </c>
      <c r="I220" s="31"/>
      <c r="J220" s="31"/>
      <c r="K220" s="12"/>
      <c r="L220" s="12"/>
      <c r="M220" s="32"/>
      <c r="N220" s="13" t="str">
        <f t="shared" si="16"/>
        <v/>
      </c>
      <c r="O220" s="14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>
      <c r="A221" s="33" t="s">
        <v>873</v>
      </c>
      <c r="B221" s="27" t="str">
        <f>VLOOKUP(A221,Quantities!A:B,2,false)</f>
        <v>Joule - Kelvin Relationship</v>
      </c>
      <c r="C221" s="9">
        <f>countif(Quantities!A:A,A221)</f>
        <v>1</v>
      </c>
      <c r="D221" s="9" t="b">
        <f>IFERROR(__xludf.DUMMYFUNCTION("REGEXMATCH(A221,""(?i)ratio"")"),FALSE)</f>
        <v>0</v>
      </c>
      <c r="E221" s="9" t="b">
        <f>IFERROR(__xludf.DUMMYFUNCTION("REGEXMATCH(A221,""(?i)relationship"")"),TRUE)</f>
        <v>1</v>
      </c>
      <c r="F221" s="12"/>
      <c r="G221" s="17"/>
      <c r="H221" s="17" t="s">
        <v>1451</v>
      </c>
      <c r="I221" s="31"/>
      <c r="J221" s="31"/>
      <c r="K221" s="12"/>
      <c r="L221" s="12"/>
      <c r="M221" s="32"/>
      <c r="N221" s="13" t="str">
        <f t="shared" si="16"/>
        <v/>
      </c>
      <c r="O221" s="14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>
      <c r="A222" s="33" t="s">
        <v>876</v>
      </c>
      <c r="B222" s="27" t="str">
        <f>VLOOKUP(A222,Quantities!A:B,2,false)</f>
        <v>Joule - Kilogram Relationship</v>
      </c>
      <c r="C222" s="9">
        <f>countif(Quantities!A:A,A222)</f>
        <v>1</v>
      </c>
      <c r="D222" s="9" t="b">
        <f>IFERROR(__xludf.DUMMYFUNCTION("REGEXMATCH(A222,""(?i)ratio"")"),FALSE)</f>
        <v>0</v>
      </c>
      <c r="E222" s="9" t="b">
        <f>IFERROR(__xludf.DUMMYFUNCTION("REGEXMATCH(A222,""(?i)relationship"")"),TRUE)</f>
        <v>1</v>
      </c>
      <c r="F222" s="12"/>
      <c r="G222" s="17"/>
      <c r="H222" s="17" t="s">
        <v>1457</v>
      </c>
      <c r="I222" s="31"/>
      <c r="J222" s="31"/>
      <c r="K222" s="12"/>
      <c r="L222" s="12"/>
      <c r="M222" s="32"/>
      <c r="N222" s="13" t="str">
        <f t="shared" si="16"/>
        <v/>
      </c>
      <c r="O222" s="14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>
      <c r="A223" s="6" t="s">
        <v>1460</v>
      </c>
      <c r="B223" s="6" t="s">
        <v>1460</v>
      </c>
      <c r="C223" s="9">
        <f>countif(Quantities!A:A,A223)</f>
        <v>0</v>
      </c>
      <c r="D223" s="9" t="b">
        <f>IFERROR(__xludf.DUMMYFUNCTION("REGEXMATCH(A223,""(?i)ratio"")"),FALSE)</f>
        <v>0</v>
      </c>
      <c r="E223" s="9" t="b">
        <f>IFERROR(__xludf.DUMMYFUNCTION("REGEXMATCH(A223,""(?i)relationship"")"),FALSE)</f>
        <v>0</v>
      </c>
      <c r="F223" s="6"/>
      <c r="G223" s="12"/>
      <c r="H223" s="12"/>
      <c r="I223" s="12"/>
      <c r="J223" s="12"/>
      <c r="K223" s="12"/>
      <c r="L223" s="12"/>
      <c r="M223" s="32"/>
      <c r="N223" s="13" t="str">
        <f t="shared" si="16"/>
        <v/>
      </c>
      <c r="O223" s="14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>
      <c r="A224" s="33" t="s">
        <v>878</v>
      </c>
      <c r="B224" s="27" t="str">
        <f>VLOOKUP(A224,Quantities!A:B,2,false)</f>
        <v>Kelvin - Atomic Mass Unit Relationship</v>
      </c>
      <c r="C224" s="9">
        <f>countif(Quantities!A:A,A224)</f>
        <v>1</v>
      </c>
      <c r="D224" s="9" t="b">
        <f>IFERROR(__xludf.DUMMYFUNCTION("REGEXMATCH(A224,""(?i)ratio"")"),FALSE)</f>
        <v>0</v>
      </c>
      <c r="E224" s="9" t="b">
        <f>IFERROR(__xludf.DUMMYFUNCTION("REGEXMATCH(A224,""(?i)relationship"")"),TRUE)</f>
        <v>1</v>
      </c>
      <c r="F224" s="12"/>
      <c r="G224" s="17"/>
      <c r="H224" s="17" t="s">
        <v>1463</v>
      </c>
      <c r="I224" s="31"/>
      <c r="J224" s="31"/>
      <c r="K224" s="12"/>
      <c r="L224" s="12"/>
      <c r="M224" s="32"/>
      <c r="N224" s="13" t="str">
        <f t="shared" si="16"/>
        <v/>
      </c>
      <c r="O224" s="14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>
      <c r="A225" s="33" t="s">
        <v>885</v>
      </c>
      <c r="B225" s="27" t="str">
        <f>VLOOKUP(A225,Quantities!A:B,2,false)</f>
        <v>Kelvin - Electronvolt Relationship</v>
      </c>
      <c r="C225" s="9">
        <f>countif(Quantities!A:A,A225)</f>
        <v>1</v>
      </c>
      <c r="D225" s="9" t="b">
        <f>IFERROR(__xludf.DUMMYFUNCTION("REGEXMATCH(A225,""(?i)ratio"")"),FALSE)</f>
        <v>0</v>
      </c>
      <c r="E225" s="9" t="b">
        <f>IFERROR(__xludf.DUMMYFUNCTION("REGEXMATCH(A225,""(?i)relationship"")"),TRUE)</f>
        <v>1</v>
      </c>
      <c r="F225" s="12"/>
      <c r="G225" s="17"/>
      <c r="H225" s="17" t="s">
        <v>1466</v>
      </c>
      <c r="I225" s="31"/>
      <c r="J225" s="31"/>
      <c r="K225" s="12"/>
      <c r="L225" s="12"/>
      <c r="M225" s="32"/>
      <c r="N225" s="13" t="str">
        <f t="shared" si="16"/>
        <v/>
      </c>
      <c r="O225" s="14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>
      <c r="A226" s="33" t="s">
        <v>888</v>
      </c>
      <c r="B226" s="27" t="str">
        <f>VLOOKUP(A226,Quantities!A:B,2,false)</f>
        <v>Kelvin - Hartree Relationship</v>
      </c>
      <c r="C226" s="9">
        <f>countif(Quantities!A:A,A226)</f>
        <v>1</v>
      </c>
      <c r="D226" s="9" t="b">
        <f>IFERROR(__xludf.DUMMYFUNCTION("REGEXMATCH(A226,""(?i)ratio"")"),FALSE)</f>
        <v>0</v>
      </c>
      <c r="E226" s="9" t="b">
        <f>IFERROR(__xludf.DUMMYFUNCTION("REGEXMATCH(A226,""(?i)relationship"")"),TRUE)</f>
        <v>1</v>
      </c>
      <c r="F226" s="12"/>
      <c r="G226" s="17"/>
      <c r="H226" s="17" t="s">
        <v>1473</v>
      </c>
      <c r="I226" s="31"/>
      <c r="J226" s="31"/>
      <c r="K226" s="12"/>
      <c r="L226" s="12"/>
      <c r="M226" s="32"/>
      <c r="N226" s="13" t="str">
        <f t="shared" si="16"/>
        <v/>
      </c>
      <c r="O226" s="14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>
      <c r="A227" s="33" t="s">
        <v>890</v>
      </c>
      <c r="B227" s="27" t="str">
        <f>VLOOKUP(A227,Quantities!A:B,2,false)</f>
        <v>Kelvin - Hertz Relationship</v>
      </c>
      <c r="C227" s="9">
        <f>countif(Quantities!A:A,A227)</f>
        <v>1</v>
      </c>
      <c r="D227" s="9" t="b">
        <f>IFERROR(__xludf.DUMMYFUNCTION("REGEXMATCH(A227,""(?i)ratio"")"),FALSE)</f>
        <v>0</v>
      </c>
      <c r="E227" s="9" t="b">
        <f>IFERROR(__xludf.DUMMYFUNCTION("REGEXMATCH(A227,""(?i)relationship"")"),TRUE)</f>
        <v>1</v>
      </c>
      <c r="F227" s="12"/>
      <c r="G227" s="17"/>
      <c r="H227" s="17" t="s">
        <v>1476</v>
      </c>
      <c r="I227" s="31"/>
      <c r="J227" s="31"/>
      <c r="K227" s="12"/>
      <c r="L227" s="12"/>
      <c r="M227" s="32"/>
      <c r="N227" s="13" t="str">
        <f t="shared" si="16"/>
        <v/>
      </c>
      <c r="O227" s="14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>
      <c r="A228" s="33" t="s">
        <v>893</v>
      </c>
      <c r="B228" s="27" t="str">
        <f>VLOOKUP(A228,Quantities!A:B,2,false)</f>
        <v>Kelvin - Inverse Meter Relationship</v>
      </c>
      <c r="C228" s="9">
        <f>countif(Quantities!A:A,A228)</f>
        <v>1</v>
      </c>
      <c r="D228" s="9" t="b">
        <f>IFERROR(__xludf.DUMMYFUNCTION("REGEXMATCH(A228,""(?i)ratio"")"),FALSE)</f>
        <v>0</v>
      </c>
      <c r="E228" s="9" t="b">
        <f>IFERROR(__xludf.DUMMYFUNCTION("REGEXMATCH(A228,""(?i)relationship"")"),TRUE)</f>
        <v>1</v>
      </c>
      <c r="F228" s="12"/>
      <c r="G228" s="17"/>
      <c r="H228" s="17" t="s">
        <v>1479</v>
      </c>
      <c r="I228" s="31"/>
      <c r="J228" s="31"/>
      <c r="K228" s="12"/>
      <c r="L228" s="12"/>
      <c r="M228" s="32"/>
      <c r="N228" s="13" t="str">
        <f t="shared" si="16"/>
        <v/>
      </c>
      <c r="O228" s="14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>
      <c r="A229" s="33" t="s">
        <v>895</v>
      </c>
      <c r="B229" s="27" t="str">
        <f>VLOOKUP(A229,Quantities!A:B,2,false)</f>
        <v>Kelvin - Joule Relationship</v>
      </c>
      <c r="C229" s="9">
        <f>countif(Quantities!A:A,A229)</f>
        <v>1</v>
      </c>
      <c r="D229" s="9" t="b">
        <f>IFERROR(__xludf.DUMMYFUNCTION("REGEXMATCH(A229,""(?i)ratio"")"),FALSE)</f>
        <v>0</v>
      </c>
      <c r="E229" s="9" t="b">
        <f>IFERROR(__xludf.DUMMYFUNCTION("REGEXMATCH(A229,""(?i)relationship"")"),TRUE)</f>
        <v>1</v>
      </c>
      <c r="F229" s="12"/>
      <c r="G229" s="17"/>
      <c r="H229" s="17" t="s">
        <v>1485</v>
      </c>
      <c r="I229" s="31"/>
      <c r="J229" s="31"/>
      <c r="K229" s="12"/>
      <c r="L229" s="12"/>
      <c r="M229" s="32"/>
      <c r="N229" s="13" t="str">
        <f t="shared" si="16"/>
        <v/>
      </c>
      <c r="O229" s="14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>
      <c r="A230" s="33" t="s">
        <v>898</v>
      </c>
      <c r="B230" s="27" t="str">
        <f>VLOOKUP(A230,Quantities!A:B,2,false)</f>
        <v>Kelvin - Kilogram Relationship</v>
      </c>
      <c r="C230" s="9">
        <f>countif(Quantities!A:A,A230)</f>
        <v>1</v>
      </c>
      <c r="D230" s="9" t="b">
        <f>IFERROR(__xludf.DUMMYFUNCTION("REGEXMATCH(A230,""(?i)ratio"")"),FALSE)</f>
        <v>0</v>
      </c>
      <c r="E230" s="9" t="b">
        <f>IFERROR(__xludf.DUMMYFUNCTION("REGEXMATCH(A230,""(?i)relationship"")"),TRUE)</f>
        <v>1</v>
      </c>
      <c r="F230" s="12"/>
      <c r="G230" s="17"/>
      <c r="H230" s="17" t="s">
        <v>1486</v>
      </c>
      <c r="I230" s="31"/>
      <c r="J230" s="31"/>
      <c r="K230" s="12"/>
      <c r="L230" s="12"/>
      <c r="M230" s="32"/>
      <c r="N230" s="13" t="str">
        <f t="shared" si="16"/>
        <v/>
      </c>
      <c r="O230" s="14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>
      <c r="A231" s="6" t="s">
        <v>1487</v>
      </c>
      <c r="B231" s="6" t="s">
        <v>1487</v>
      </c>
      <c r="C231" s="9">
        <f>countif(Quantities!A:A,A231)</f>
        <v>0</v>
      </c>
      <c r="D231" s="9" t="b">
        <f>IFERROR(__xludf.DUMMYFUNCTION("REGEXMATCH(A231,""(?i)ratio"")"),FALSE)</f>
        <v>0</v>
      </c>
      <c r="E231" s="9" t="b">
        <f>IFERROR(__xludf.DUMMYFUNCTION("REGEXMATCH(A231,""(?i)relationship"")"),FALSE)</f>
        <v>0</v>
      </c>
      <c r="F231" s="6"/>
      <c r="G231" s="12"/>
      <c r="H231" s="12"/>
      <c r="I231" s="12"/>
      <c r="J231" s="12"/>
      <c r="K231" s="12"/>
      <c r="L231" s="12"/>
      <c r="M231" s="32"/>
      <c r="N231" s="13" t="str">
        <f t="shared" si="16"/>
        <v/>
      </c>
      <c r="O231" s="14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>
      <c r="A232" s="33" t="s">
        <v>903</v>
      </c>
      <c r="B232" s="27" t="str">
        <f>VLOOKUP(A232,Quantities!A:B,2,false)</f>
        <v>Kilogram - Atomic Mass Unit Relationship</v>
      </c>
      <c r="C232" s="9">
        <f>countif(Quantities!A:A,A232)</f>
        <v>1</v>
      </c>
      <c r="D232" s="9" t="b">
        <f>IFERROR(__xludf.DUMMYFUNCTION("REGEXMATCH(A232,""(?i)ratio"")"),FALSE)</f>
        <v>0</v>
      </c>
      <c r="E232" s="9" t="b">
        <f>IFERROR(__xludf.DUMMYFUNCTION("REGEXMATCH(A232,""(?i)relationship"")"),TRUE)</f>
        <v>1</v>
      </c>
      <c r="F232" s="12"/>
      <c r="G232" s="17"/>
      <c r="H232" s="17" t="s">
        <v>1490</v>
      </c>
      <c r="I232" s="31"/>
      <c r="J232" s="31"/>
      <c r="K232" s="12"/>
      <c r="L232" s="12"/>
      <c r="M232" s="32"/>
      <c r="N232" s="13" t="str">
        <f t="shared" si="16"/>
        <v/>
      </c>
      <c r="O232" s="14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>
      <c r="A233" s="33" t="s">
        <v>906</v>
      </c>
      <c r="B233" s="27" t="str">
        <f>VLOOKUP(A233,Quantities!A:B,2,false)</f>
        <v>Kilogram - Electronvolt Relationship</v>
      </c>
      <c r="C233" s="9">
        <f>countif(Quantities!A:A,A233)</f>
        <v>1</v>
      </c>
      <c r="D233" s="9" t="b">
        <f>IFERROR(__xludf.DUMMYFUNCTION("REGEXMATCH(A233,""(?i)ratio"")"),FALSE)</f>
        <v>0</v>
      </c>
      <c r="E233" s="9" t="b">
        <f>IFERROR(__xludf.DUMMYFUNCTION("REGEXMATCH(A233,""(?i)relationship"")"),TRUE)</f>
        <v>1</v>
      </c>
      <c r="F233" s="12"/>
      <c r="G233" s="17"/>
      <c r="H233" s="17" t="s">
        <v>1496</v>
      </c>
      <c r="I233" s="31"/>
      <c r="J233" s="31"/>
      <c r="K233" s="12"/>
      <c r="L233" s="12"/>
      <c r="M233" s="32"/>
      <c r="N233" s="13" t="str">
        <f t="shared" si="16"/>
        <v/>
      </c>
      <c r="O233" s="14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>
      <c r="A234" s="33" t="s">
        <v>908</v>
      </c>
      <c r="B234" s="27" t="str">
        <f>VLOOKUP(A234,Quantities!A:B,2,false)</f>
        <v>Kilogram - Hartree Relationship</v>
      </c>
      <c r="C234" s="9">
        <f>countif(Quantities!A:A,A234)</f>
        <v>1</v>
      </c>
      <c r="D234" s="9" t="b">
        <f>IFERROR(__xludf.DUMMYFUNCTION("REGEXMATCH(A234,""(?i)ratio"")"),FALSE)</f>
        <v>0</v>
      </c>
      <c r="E234" s="9" t="b">
        <f>IFERROR(__xludf.DUMMYFUNCTION("REGEXMATCH(A234,""(?i)relationship"")"),TRUE)</f>
        <v>1</v>
      </c>
      <c r="F234" s="12"/>
      <c r="G234" s="17"/>
      <c r="H234" s="17" t="s">
        <v>1499</v>
      </c>
      <c r="I234" s="31"/>
      <c r="J234" s="31"/>
      <c r="K234" s="12"/>
      <c r="L234" s="12"/>
      <c r="M234" s="32"/>
      <c r="N234" s="13" t="str">
        <f t="shared" si="16"/>
        <v/>
      </c>
      <c r="O234" s="14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>
      <c r="A235" s="33" t="s">
        <v>910</v>
      </c>
      <c r="B235" s="27" t="str">
        <f>VLOOKUP(A235,Quantities!A:B,2,false)</f>
        <v>Kilogram - Hertz Relationship</v>
      </c>
      <c r="C235" s="9">
        <f>countif(Quantities!A:A,A235)</f>
        <v>1</v>
      </c>
      <c r="D235" s="9" t="b">
        <f>IFERROR(__xludf.DUMMYFUNCTION("REGEXMATCH(A235,""(?i)ratio"")"),FALSE)</f>
        <v>0</v>
      </c>
      <c r="E235" s="9" t="b">
        <f>IFERROR(__xludf.DUMMYFUNCTION("REGEXMATCH(A235,""(?i)relationship"")"),TRUE)</f>
        <v>1</v>
      </c>
      <c r="F235" s="12"/>
      <c r="G235" s="17"/>
      <c r="H235" s="17" t="s">
        <v>1503</v>
      </c>
      <c r="I235" s="31"/>
      <c r="J235" s="31"/>
      <c r="K235" s="12"/>
      <c r="L235" s="12"/>
      <c r="M235" s="32"/>
      <c r="N235" s="13" t="str">
        <f t="shared" si="16"/>
        <v/>
      </c>
      <c r="O235" s="14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>
      <c r="A236" s="33" t="s">
        <v>912</v>
      </c>
      <c r="B236" s="27" t="str">
        <f>VLOOKUP(A236,Quantities!A:B,2,false)</f>
        <v>Kilogram - Inverse Meter Relationship</v>
      </c>
      <c r="C236" s="9">
        <f>countif(Quantities!A:A,A236)</f>
        <v>1</v>
      </c>
      <c r="D236" s="9" t="b">
        <f>IFERROR(__xludf.DUMMYFUNCTION("REGEXMATCH(A236,""(?i)ratio"")"),FALSE)</f>
        <v>0</v>
      </c>
      <c r="E236" s="9" t="b">
        <f>IFERROR(__xludf.DUMMYFUNCTION("REGEXMATCH(A236,""(?i)relationship"")"),TRUE)</f>
        <v>1</v>
      </c>
      <c r="F236" s="12"/>
      <c r="G236" s="17"/>
      <c r="H236" s="17" t="s">
        <v>1507</v>
      </c>
      <c r="I236" s="31"/>
      <c r="J236" s="31"/>
      <c r="K236" s="12"/>
      <c r="L236" s="12"/>
      <c r="M236" s="32"/>
      <c r="N236" s="13" t="str">
        <f t="shared" si="16"/>
        <v/>
      </c>
      <c r="O236" s="14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>
      <c r="A237" s="33" t="s">
        <v>915</v>
      </c>
      <c r="B237" s="27" t="str">
        <f>VLOOKUP(A237,Quantities!A:B,2,false)</f>
        <v>Kilogram - Joule Relationship</v>
      </c>
      <c r="C237" s="9">
        <f>countif(Quantities!A:A,A237)</f>
        <v>1</v>
      </c>
      <c r="D237" s="9" t="b">
        <f>IFERROR(__xludf.DUMMYFUNCTION("REGEXMATCH(A237,""(?i)ratio"")"),FALSE)</f>
        <v>0</v>
      </c>
      <c r="E237" s="9" t="b">
        <f>IFERROR(__xludf.DUMMYFUNCTION("REGEXMATCH(A237,""(?i)relationship"")"),TRUE)</f>
        <v>1</v>
      </c>
      <c r="F237" s="12"/>
      <c r="G237" s="17"/>
      <c r="H237" s="17" t="s">
        <v>1510</v>
      </c>
      <c r="I237" s="31"/>
      <c r="J237" s="31"/>
      <c r="K237" s="12"/>
      <c r="L237" s="12"/>
      <c r="M237" s="32"/>
      <c r="N237" s="13" t="str">
        <f t="shared" si="16"/>
        <v/>
      </c>
      <c r="O237" s="14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>
      <c r="A238" s="33" t="s">
        <v>917</v>
      </c>
      <c r="B238" s="27" t="str">
        <f>VLOOKUP(A238,Quantities!A:B,2,false)</f>
        <v>Kilogram - Kelvin Relationship</v>
      </c>
      <c r="C238" s="9">
        <f>countif(Quantities!A:A,A238)</f>
        <v>1</v>
      </c>
      <c r="D238" s="9" t="b">
        <f>IFERROR(__xludf.DUMMYFUNCTION("REGEXMATCH(A238,""(?i)ratio"")"),FALSE)</f>
        <v>0</v>
      </c>
      <c r="E238" s="9" t="b">
        <f>IFERROR(__xludf.DUMMYFUNCTION("REGEXMATCH(A238,""(?i)relationship"")"),TRUE)</f>
        <v>1</v>
      </c>
      <c r="F238" s="12"/>
      <c r="G238" s="17"/>
      <c r="H238" s="17" t="s">
        <v>1515</v>
      </c>
      <c r="I238" s="31"/>
      <c r="J238" s="31"/>
      <c r="K238" s="12"/>
      <c r="L238" s="12"/>
      <c r="M238" s="32"/>
      <c r="N238" s="13" t="str">
        <f t="shared" si="16"/>
        <v/>
      </c>
      <c r="O238" s="14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>
      <c r="A239" s="33" t="s">
        <v>923</v>
      </c>
      <c r="B239" s="27" t="str">
        <f>VLOOKUP(A239,Quantities!A:B,2,false)</f>
        <v>Lattice Parameter Of Silicon</v>
      </c>
      <c r="C239" s="9">
        <f>countif(Quantities!A:A,A239)</f>
        <v>1</v>
      </c>
      <c r="D239" s="9" t="b">
        <f>IFERROR(__xludf.DUMMYFUNCTION("REGEXMATCH(A239,""(?i)ratio"")"),FALSE)</f>
        <v>0</v>
      </c>
      <c r="E239" s="9" t="b">
        <f>IFERROR(__xludf.DUMMYFUNCTION("REGEXMATCH(A239,""(?i)relationship"")"),FALSE)</f>
        <v>0</v>
      </c>
      <c r="F239" s="12"/>
      <c r="G239" s="17"/>
      <c r="H239" s="17" t="s">
        <v>1520</v>
      </c>
      <c r="I239" s="31"/>
      <c r="J239" s="31"/>
      <c r="K239" s="12"/>
      <c r="L239" s="12"/>
      <c r="M239" s="32"/>
      <c r="N239" s="13" t="str">
        <f t="shared" si="16"/>
        <v/>
      </c>
      <c r="O239" s="14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>
      <c r="A240" s="33" t="s">
        <v>926</v>
      </c>
      <c r="B240" s="27" t="str">
        <f>VLOOKUP(A240,Quantities!A:B,2,false)</f>
        <v>Lattice Spacing Of Ideal Si (220)</v>
      </c>
      <c r="C240" s="9">
        <f>countif(Quantities!A:A,A240)</f>
        <v>1</v>
      </c>
      <c r="D240" s="9" t="b">
        <f>IFERROR(__xludf.DUMMYFUNCTION("REGEXMATCH(A240,""(?i)ratio"")"),FALSE)</f>
        <v>0</v>
      </c>
      <c r="E240" s="9" t="b">
        <f>IFERROR(__xludf.DUMMYFUNCTION("REGEXMATCH(A240,""(?i)relationship"")"),FALSE)</f>
        <v>0</v>
      </c>
      <c r="F240" s="12"/>
      <c r="G240" s="17"/>
      <c r="H240" s="17" t="s">
        <v>1520</v>
      </c>
      <c r="I240" s="31"/>
      <c r="J240" s="31"/>
      <c r="K240" s="12"/>
      <c r="L240" s="12"/>
      <c r="M240" s="32"/>
      <c r="N240" s="13" t="str">
        <f t="shared" si="16"/>
        <v/>
      </c>
      <c r="O240" s="14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>
      <c r="A241" s="6" t="s">
        <v>1523</v>
      </c>
      <c r="B241" s="6" t="s">
        <v>1523</v>
      </c>
      <c r="C241" s="9">
        <f>countif(Quantities!A:A,A241)</f>
        <v>0</v>
      </c>
      <c r="D241" s="9" t="b">
        <f>IFERROR(__xludf.DUMMYFUNCTION("REGEXMATCH(A241,""(?i)ratio"")"),FALSE)</f>
        <v>0</v>
      </c>
      <c r="E241" s="9" t="b">
        <f>IFERROR(__xludf.DUMMYFUNCTION("REGEXMATCH(A241,""(?i)relationship"")"),FALSE)</f>
        <v>0</v>
      </c>
      <c r="F241" s="6"/>
      <c r="G241" s="12"/>
      <c r="H241" s="12"/>
      <c r="I241" s="12"/>
      <c r="J241" s="12"/>
      <c r="K241" s="12"/>
      <c r="L241" s="12"/>
      <c r="M241" s="13"/>
      <c r="N241" s="13" t="str">
        <f t="shared" si="16"/>
        <v/>
      </c>
      <c r="O241" s="20" t="s">
        <v>1525</v>
      </c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>
      <c r="A242" s="6" t="s">
        <v>1527</v>
      </c>
      <c r="B242" s="6" t="s">
        <v>1527</v>
      </c>
      <c r="C242" s="9">
        <f>countif(Quantities!A:A,A242)</f>
        <v>0</v>
      </c>
      <c r="D242" s="9" t="b">
        <f>IFERROR(__xludf.DUMMYFUNCTION("REGEXMATCH(A242,""(?i)ratio"")"),FALSE)</f>
        <v>0</v>
      </c>
      <c r="E242" s="9" t="b">
        <f>IFERROR(__xludf.DUMMYFUNCTION("REGEXMATCH(A242,""(?i)relationship"")"),FALSE)</f>
        <v>0</v>
      </c>
      <c r="F242" s="6"/>
      <c r="G242" s="12"/>
      <c r="H242" s="12"/>
      <c r="I242" s="12"/>
      <c r="J242" s="12"/>
      <c r="K242" s="12"/>
      <c r="L242" s="12"/>
      <c r="M242" s="13"/>
      <c r="N242" s="13"/>
      <c r="O242" s="20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>
      <c r="A243" s="6" t="s">
        <v>1528</v>
      </c>
      <c r="B243" s="6" t="s">
        <v>1528</v>
      </c>
      <c r="C243" s="9">
        <f>countif(Quantities!A:A,A243)</f>
        <v>0</v>
      </c>
      <c r="D243" s="9" t="b">
        <f>IFERROR(__xludf.DUMMYFUNCTION("REGEXMATCH(A243,""(?i)ratio"")"),FALSE)</f>
        <v>0</v>
      </c>
      <c r="E243" s="9" t="b">
        <f>IFERROR(__xludf.DUMMYFUNCTION("REGEXMATCH(A243,""(?i)relationship"")"),FALSE)</f>
        <v>0</v>
      </c>
      <c r="F243" s="6"/>
      <c r="G243" s="6"/>
      <c r="H243" s="6"/>
      <c r="I243" s="12"/>
      <c r="J243" s="12"/>
      <c r="K243" s="12"/>
      <c r="L243" s="12"/>
      <c r="M243" s="13"/>
      <c r="N243" s="13"/>
      <c r="O243" s="14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>
      <c r="A244" s="33" t="s">
        <v>928</v>
      </c>
      <c r="B244" s="27" t="str">
        <f>VLOOKUP(A244,Quantities!A:B,2,false)</f>
        <v>Loschmidt Constant (273.15 K, 100 KPa)</v>
      </c>
      <c r="C244" s="9">
        <f>countif(Quantities!A:A,A244)</f>
        <v>1</v>
      </c>
      <c r="D244" s="9" t="b">
        <f>IFERROR(__xludf.DUMMYFUNCTION("REGEXMATCH(A244,""(?i)ratio"")"),FALSE)</f>
        <v>0</v>
      </c>
      <c r="E244" s="9" t="b">
        <f>IFERROR(__xludf.DUMMYFUNCTION("REGEXMATCH(A244,""(?i)relationship"")"),FALSE)</f>
        <v>0</v>
      </c>
      <c r="F244" s="12"/>
      <c r="G244" s="17"/>
      <c r="H244" s="17" t="s">
        <v>1528</v>
      </c>
      <c r="I244" s="31"/>
      <c r="J244" s="31"/>
      <c r="K244" s="12"/>
      <c r="L244" s="12"/>
      <c r="M244" s="32"/>
      <c r="N244" s="13" t="str">
        <f t="shared" ref="N244:N250" si="17">if(isblank(M244),"",hyperlink("https://www.wikidata.org/wiki/"&amp;M244,M244))</f>
        <v/>
      </c>
      <c r="O244" s="14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>
      <c r="A245" s="33" t="s">
        <v>931</v>
      </c>
      <c r="B245" s="27" t="str">
        <f>VLOOKUP(A245,Quantities!A:B,2,false)</f>
        <v>Luminous Efficacy</v>
      </c>
      <c r="C245" s="9">
        <f>countif(Quantities!A:A,A245)</f>
        <v>1</v>
      </c>
      <c r="D245" s="9" t="b">
        <f>IFERROR(__xludf.DUMMYFUNCTION("REGEXMATCH(A245,""(?i)ratio"")"),FALSE)</f>
        <v>0</v>
      </c>
      <c r="E245" s="9" t="b">
        <f>IFERROR(__xludf.DUMMYFUNCTION("REGEXMATCH(A245,""(?i)relationship"")"),FALSE)</f>
        <v>0</v>
      </c>
      <c r="F245" s="12"/>
      <c r="G245" s="17" t="s">
        <v>494</v>
      </c>
      <c r="H245" s="17"/>
      <c r="I245" s="31"/>
      <c r="J245" s="31"/>
      <c r="K245" s="12"/>
      <c r="L245" s="12"/>
      <c r="M245" s="32"/>
      <c r="N245" s="13" t="str">
        <f t="shared" si="17"/>
        <v/>
      </c>
      <c r="O245" s="14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>
      <c r="A246" s="33" t="s">
        <v>855</v>
      </c>
      <c r="B246" s="6" t="s">
        <v>1550</v>
      </c>
      <c r="C246" s="9">
        <f>countif(Quantities!A:A,A246)</f>
        <v>0</v>
      </c>
      <c r="D246" s="9" t="b">
        <f>IFERROR(__xludf.DUMMYFUNCTION("REGEXMATCH(A246,""(?i)ratio"")"),FALSE)</f>
        <v>0</v>
      </c>
      <c r="E246" s="9" t="b">
        <f>IFERROR(__xludf.DUMMYFUNCTION("REGEXMATCH(A246,""(?i)relationship"")"),FALSE)</f>
        <v>0</v>
      </c>
      <c r="F246" s="12"/>
      <c r="G246" s="17"/>
      <c r="I246" s="56"/>
      <c r="J246" s="56" t="s">
        <v>495</v>
      </c>
      <c r="K246" s="12"/>
      <c r="L246" s="12"/>
      <c r="M246" s="32"/>
      <c r="N246" s="13" t="str">
        <f t="shared" si="17"/>
        <v/>
      </c>
      <c r="O246" s="14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>
      <c r="A247" s="16" t="s">
        <v>1553</v>
      </c>
      <c r="B247" s="6" t="s">
        <v>1554</v>
      </c>
      <c r="C247" s="9">
        <f>countif(Quantities!A:A,A247)</f>
        <v>0</v>
      </c>
      <c r="D247" s="9" t="b">
        <f>IFERROR(__xludf.DUMMYFUNCTION("REGEXMATCH(A247,""(?i)ratio"")"),FALSE)</f>
        <v>0</v>
      </c>
      <c r="E247" s="9" t="b">
        <f>IFERROR(__xludf.DUMMYFUNCTION("REGEXMATCH(A247,""(?i)relationship"")"),FALSE)</f>
        <v>0</v>
      </c>
      <c r="F247" s="6"/>
      <c r="G247" s="12"/>
      <c r="H247" s="12"/>
      <c r="I247" s="12"/>
      <c r="J247" s="12"/>
      <c r="K247" s="12"/>
      <c r="L247" s="12"/>
      <c r="M247" s="32"/>
      <c r="N247" s="13" t="str">
        <f t="shared" si="17"/>
        <v/>
      </c>
      <c r="O247" s="14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>
      <c r="A248" s="16" t="s">
        <v>1555</v>
      </c>
      <c r="B248" s="6" t="s">
        <v>1557</v>
      </c>
      <c r="C248" s="9">
        <f>countif(Quantities!A:A,A248)</f>
        <v>0</v>
      </c>
      <c r="D248" s="9" t="b">
        <f>IFERROR(__xludf.DUMMYFUNCTION("REGEXMATCH(A248,""(?i)ratio"")"),FALSE)</f>
        <v>0</v>
      </c>
      <c r="E248" s="9" t="b">
        <f>IFERROR(__xludf.DUMMYFUNCTION("REGEXMATCH(A248,""(?i)relationship"")"),FALSE)</f>
        <v>0</v>
      </c>
      <c r="F248" s="6"/>
      <c r="G248" s="12"/>
      <c r="H248" s="12"/>
      <c r="I248" s="12"/>
      <c r="J248" s="12"/>
      <c r="K248" s="12"/>
      <c r="L248" s="12"/>
      <c r="M248" s="32"/>
      <c r="N248" s="13" t="str">
        <f t="shared" si="17"/>
        <v/>
      </c>
      <c r="O248" s="14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>
      <c r="A249" s="33" t="s">
        <v>934</v>
      </c>
      <c r="B249" s="27" t="str">
        <f>VLOOKUP(A249,Quantities!A:B,2,false)</f>
        <v>Magnetic Flux Quantum</v>
      </c>
      <c r="C249" s="9">
        <f>countif(Quantities!A:A,A249)</f>
        <v>1</v>
      </c>
      <c r="D249" s="9" t="b">
        <f>IFERROR(__xludf.DUMMYFUNCTION("REGEXMATCH(A249,""(?i)ratio"")"),FALSE)</f>
        <v>0</v>
      </c>
      <c r="E249" s="9" t="b">
        <f>IFERROR(__xludf.DUMMYFUNCTION("REGEXMATCH(A249,""(?i)relationship"")"),FALSE)</f>
        <v>0</v>
      </c>
      <c r="F249" s="12"/>
      <c r="G249" s="17"/>
      <c r="H249" s="17"/>
      <c r="I249" s="31"/>
      <c r="J249" s="31"/>
      <c r="K249" s="12"/>
      <c r="L249" s="12"/>
      <c r="M249" s="32"/>
      <c r="N249" s="13" t="str">
        <f t="shared" si="17"/>
        <v/>
      </c>
      <c r="O249" s="14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>
      <c r="A250" s="6" t="s">
        <v>1565</v>
      </c>
      <c r="B250" s="6" t="s">
        <v>1566</v>
      </c>
      <c r="C250" s="9">
        <f>countif(Quantities!A:A,A250)</f>
        <v>0</v>
      </c>
      <c r="D250" s="9" t="b">
        <f>IFERROR(__xludf.DUMMYFUNCTION("REGEXMATCH(A250,""(?i)ratio"")"),FALSE)</f>
        <v>0</v>
      </c>
      <c r="E250" s="9" t="b">
        <f>IFERROR(__xludf.DUMMYFUNCTION("REGEXMATCH(A250,""(?i)relationship"")"),FALSE)</f>
        <v>0</v>
      </c>
      <c r="F250" s="6"/>
      <c r="G250" s="12"/>
      <c r="H250" s="12"/>
      <c r="I250" s="12"/>
      <c r="J250" s="12"/>
      <c r="K250" s="12"/>
      <c r="L250" s="12"/>
      <c r="M250" s="13"/>
      <c r="N250" s="13" t="str">
        <f t="shared" si="17"/>
        <v/>
      </c>
      <c r="O250" s="20" t="s">
        <v>1569</v>
      </c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>
      <c r="A251" s="6" t="s">
        <v>1570</v>
      </c>
      <c r="B251" s="6" t="s">
        <v>1570</v>
      </c>
      <c r="C251" s="9">
        <f>countif(Quantities!A:A,A251)</f>
        <v>0</v>
      </c>
      <c r="D251" s="9" t="b">
        <f>IFERROR(__xludf.DUMMYFUNCTION("REGEXMATCH(A251,""(?i)ratio"")"),FALSE)</f>
        <v>0</v>
      </c>
      <c r="E251" s="9" t="b">
        <f>IFERROR(__xludf.DUMMYFUNCTION("REGEXMATCH(A251,""(?i)relationship"")"),FALSE)</f>
        <v>0</v>
      </c>
      <c r="F251" s="6"/>
      <c r="G251" s="12"/>
      <c r="H251" s="12"/>
      <c r="I251" s="12"/>
      <c r="J251" s="12"/>
      <c r="K251" s="12"/>
      <c r="L251" s="12"/>
      <c r="M251" s="32"/>
      <c r="N251" s="13"/>
      <c r="O251" s="14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>
      <c r="A252" s="16" t="s">
        <v>1574</v>
      </c>
      <c r="B252" s="16" t="s">
        <v>1574</v>
      </c>
      <c r="C252" s="9">
        <f>countif(Quantities!A:A,A252)</f>
        <v>0</v>
      </c>
      <c r="D252" s="9" t="b">
        <f>IFERROR(__xludf.DUMMYFUNCTION("REGEXMATCH(A252,""(?i)ratio"")"),FALSE)</f>
        <v>0</v>
      </c>
      <c r="E252" s="9" t="b">
        <f>IFERROR(__xludf.DUMMYFUNCTION("REGEXMATCH(A252,""(?i)relationship"")"),FALSE)</f>
        <v>0</v>
      </c>
      <c r="F252" s="6"/>
      <c r="G252" s="12"/>
      <c r="H252" s="12"/>
      <c r="I252" s="12"/>
      <c r="J252" s="12"/>
      <c r="K252" s="12"/>
      <c r="L252" s="12"/>
      <c r="M252" s="32"/>
      <c r="N252" s="13" t="str">
        <f t="shared" ref="N252:N253" si="18">if(isblank(M252),"",hyperlink("https://www.wikidata.org/wiki/"&amp;M252,M252))</f>
        <v/>
      </c>
      <c r="O252" s="14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>
      <c r="A253" s="6" t="s">
        <v>1577</v>
      </c>
      <c r="B253" s="6" t="s">
        <v>1577</v>
      </c>
      <c r="C253" s="9">
        <f>countif(Quantities!A:A,A253)</f>
        <v>0</v>
      </c>
      <c r="D253" s="9" t="b">
        <f>IFERROR(__xludf.DUMMYFUNCTION("REGEXMATCH(A253,""(?i)ratio"")"),FALSE)</f>
        <v>0</v>
      </c>
      <c r="E253" s="9" t="b">
        <f>IFERROR(__xludf.DUMMYFUNCTION("REGEXMATCH(A253,""(?i)relationship"")"),FALSE)</f>
        <v>0</v>
      </c>
      <c r="F253" s="6"/>
      <c r="G253" s="12"/>
      <c r="H253" s="12"/>
      <c r="I253" s="12"/>
      <c r="J253" s="12"/>
      <c r="K253" s="12"/>
      <c r="L253" s="12"/>
      <c r="M253" s="13"/>
      <c r="N253" s="13" t="str">
        <f t="shared" si="18"/>
        <v/>
      </c>
      <c r="O253" s="20" t="s">
        <v>1579</v>
      </c>
      <c r="P253" s="6"/>
      <c r="Q253" s="6"/>
      <c r="R253" s="6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>
      <c r="A254" s="6" t="s">
        <v>1580</v>
      </c>
      <c r="B254" s="6" t="s">
        <v>1581</v>
      </c>
      <c r="C254" s="9">
        <f>countif(Quantities!A:A,A254)</f>
        <v>0</v>
      </c>
      <c r="D254" s="9" t="b">
        <f>IFERROR(__xludf.DUMMYFUNCTION("REGEXMATCH(A254,""(?i)ratio"")"),FALSE)</f>
        <v>0</v>
      </c>
      <c r="E254" s="9" t="b">
        <f>IFERROR(__xludf.DUMMYFUNCTION("REGEXMATCH(A254,""(?i)relationship"")"),FALSE)</f>
        <v>0</v>
      </c>
      <c r="F254" s="6"/>
      <c r="G254" s="6"/>
      <c r="H254" s="6" t="s">
        <v>1582</v>
      </c>
      <c r="I254" s="6"/>
      <c r="J254" s="6"/>
      <c r="K254" s="12"/>
      <c r="L254" s="12"/>
      <c r="M254" s="32"/>
      <c r="N254" s="13"/>
      <c r="O254" s="14"/>
      <c r="P254" s="6"/>
      <c r="Q254" s="6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>
      <c r="A255" s="6" t="s">
        <v>1585</v>
      </c>
      <c r="B255" s="6" t="s">
        <v>1586</v>
      </c>
      <c r="C255" s="9">
        <f>countif(Quantities!A:A,A255)</f>
        <v>0</v>
      </c>
      <c r="D255" s="9" t="b">
        <f>IFERROR(__xludf.DUMMYFUNCTION("REGEXMATCH(A255,""(?i)ratio"")"),TRUE)</f>
        <v>1</v>
      </c>
      <c r="E255" s="9" t="b">
        <f>IFERROR(__xludf.DUMMYFUNCTION("REGEXMATCH(A255,""(?i)relationship"")"),FALSE)</f>
        <v>0</v>
      </c>
      <c r="F255" s="6"/>
      <c r="G255" s="6"/>
      <c r="H255" s="6" t="s">
        <v>1593</v>
      </c>
      <c r="I255" s="6"/>
      <c r="J255" s="6"/>
      <c r="K255" s="12"/>
      <c r="L255" s="12"/>
      <c r="M255" s="32"/>
      <c r="N255" s="13" t="str">
        <f t="shared" ref="N255:N256" si="19">if(isblank(M255),"",hyperlink("https://www.wikidata.org/wiki/"&amp;M255,M255))</f>
        <v/>
      </c>
      <c r="O255" s="14"/>
      <c r="P255" s="6"/>
      <c r="Q255" s="6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>
      <c r="A256" s="6" t="s">
        <v>1598</v>
      </c>
      <c r="B256" s="6" t="s">
        <v>1598</v>
      </c>
      <c r="C256" s="9">
        <f>countif(Quantities!A:A,A256)</f>
        <v>0</v>
      </c>
      <c r="D256" s="9" t="b">
        <f>IFERROR(__xludf.DUMMYFUNCTION("REGEXMATCH(A256,""(?i)ratio"")"),FALSE)</f>
        <v>0</v>
      </c>
      <c r="E256" s="9" t="b">
        <f>IFERROR(__xludf.DUMMYFUNCTION("REGEXMATCH(A256,""(?i)relationship"")"),FALSE)</f>
        <v>0</v>
      </c>
      <c r="F256" s="6"/>
      <c r="G256" s="12"/>
      <c r="H256" s="12"/>
      <c r="I256" s="12"/>
      <c r="J256" s="12"/>
      <c r="K256" s="12"/>
      <c r="L256" s="12"/>
      <c r="M256" s="32"/>
      <c r="N256" s="13" t="str">
        <f t="shared" si="19"/>
        <v/>
      </c>
      <c r="O256" s="14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>
      <c r="A257" s="6" t="s">
        <v>1603</v>
      </c>
      <c r="B257" s="6" t="s">
        <v>1603</v>
      </c>
      <c r="C257" s="9">
        <f>countif(Quantities!A:A,A257)</f>
        <v>0</v>
      </c>
      <c r="D257" s="9" t="b">
        <f>IFERROR(__xludf.DUMMYFUNCTION("REGEXMATCH(A257,""(?i)ratio"")"),FALSE)</f>
        <v>0</v>
      </c>
      <c r="E257" s="9" t="b">
        <f>IFERROR(__xludf.DUMMYFUNCTION("REGEXMATCH(A257,""(?i)relationship"")"),FALSE)</f>
        <v>0</v>
      </c>
      <c r="F257" s="6"/>
      <c r="G257" s="12"/>
      <c r="H257" s="12"/>
      <c r="I257" s="12"/>
      <c r="J257" s="12"/>
      <c r="K257" s="12"/>
      <c r="L257" s="12"/>
      <c r="M257" s="13"/>
      <c r="N257" s="13"/>
      <c r="O257" s="20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>
      <c r="A258" s="33" t="s">
        <v>938</v>
      </c>
      <c r="B258" s="27" t="str">
        <f>VLOOKUP(A258,Quantities!A:B,2,false)</f>
        <v>Molar Gas Constant</v>
      </c>
      <c r="C258" s="9">
        <f>countif(Quantities!A:A,A258)</f>
        <v>1</v>
      </c>
      <c r="D258" s="9" t="b">
        <f>IFERROR(__xludf.DUMMYFUNCTION("REGEXMATCH(A258,""(?i)ratio"")"),FALSE)</f>
        <v>0</v>
      </c>
      <c r="E258" s="9" t="b">
        <f>IFERROR(__xludf.DUMMYFUNCTION("REGEXMATCH(A258,""(?i)relationship"")"),FALSE)</f>
        <v>0</v>
      </c>
      <c r="F258" s="12"/>
      <c r="G258" s="17"/>
      <c r="H258" s="17" t="s">
        <v>1605</v>
      </c>
      <c r="I258" s="31"/>
      <c r="J258" s="31"/>
      <c r="K258" s="12"/>
      <c r="L258" s="12"/>
      <c r="M258" s="32"/>
      <c r="N258" s="13" t="str">
        <f t="shared" ref="N258:N263" si="20">if(isblank(M258),"",hyperlink("https://www.wikidata.org/wiki/"&amp;M258,M258))</f>
        <v/>
      </c>
      <c r="O258" s="14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>
      <c r="A259" s="6" t="s">
        <v>1607</v>
      </c>
      <c r="B259" s="6" t="s">
        <v>1608</v>
      </c>
      <c r="C259" s="9">
        <f>countif(Quantities!A:A,A259)</f>
        <v>0</v>
      </c>
      <c r="D259" s="9" t="b">
        <f>IFERROR(__xludf.DUMMYFUNCTION("REGEXMATCH(A259,""(?i)ratio"")"),FALSE)</f>
        <v>0</v>
      </c>
      <c r="E259" s="9" t="b">
        <f>IFERROR(__xludf.DUMMYFUNCTION("REGEXMATCH(A259,""(?i)relationship"")"),FALSE)</f>
        <v>0</v>
      </c>
      <c r="F259" s="6"/>
      <c r="G259" s="12"/>
      <c r="H259" s="12"/>
      <c r="I259" s="12"/>
      <c r="J259" s="12"/>
      <c r="K259" s="12"/>
      <c r="L259" s="12"/>
      <c r="M259" s="13"/>
      <c r="N259" s="13" t="str">
        <f t="shared" si="20"/>
        <v/>
      </c>
      <c r="O259" s="20" t="s">
        <v>1612</v>
      </c>
      <c r="P259" s="6"/>
      <c r="Q259" s="6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>
      <c r="A260" s="33" t="s">
        <v>942</v>
      </c>
      <c r="B260" s="27" t="str">
        <f>VLOOKUP(A260,Quantities!A:B,2,false)</f>
        <v>Molar Mass Constant</v>
      </c>
      <c r="C260" s="9">
        <f>countif(Quantities!A:A,A260)</f>
        <v>1</v>
      </c>
      <c r="D260" s="9" t="b">
        <f>IFERROR(__xludf.DUMMYFUNCTION("REGEXMATCH(A260,""(?i)ratio"")"),FALSE)</f>
        <v>0</v>
      </c>
      <c r="E260" s="9" t="b">
        <f>IFERROR(__xludf.DUMMYFUNCTION("REGEXMATCH(A260,""(?i)relationship"")"),FALSE)</f>
        <v>0</v>
      </c>
      <c r="F260" s="12"/>
      <c r="G260" s="17"/>
      <c r="H260" s="17" t="s">
        <v>1614</v>
      </c>
      <c r="I260" s="31"/>
      <c r="J260" s="31"/>
      <c r="K260" s="12"/>
      <c r="L260" s="12"/>
      <c r="M260" s="32"/>
      <c r="N260" s="13" t="str">
        <f t="shared" si="20"/>
        <v/>
      </c>
      <c r="O260" s="14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>
      <c r="A261" s="33" t="s">
        <v>945</v>
      </c>
      <c r="B261" s="27" t="str">
        <f>VLOOKUP(A261,Quantities!A:B,2,false)</f>
        <v>Molar Mass Of Carbon-12</v>
      </c>
      <c r="C261" s="9">
        <f>countif(Quantities!A:A,A261)</f>
        <v>1</v>
      </c>
      <c r="D261" s="9" t="b">
        <f>IFERROR(__xludf.DUMMYFUNCTION("REGEXMATCH(A261,""(?i)ratio"")"),FALSE)</f>
        <v>0</v>
      </c>
      <c r="E261" s="9" t="b">
        <f>IFERROR(__xludf.DUMMYFUNCTION("REGEXMATCH(A261,""(?i)relationship"")"),FALSE)</f>
        <v>0</v>
      </c>
      <c r="F261" s="12"/>
      <c r="G261" s="17"/>
      <c r="H261" s="17" t="s">
        <v>1616</v>
      </c>
      <c r="I261" s="31"/>
      <c r="J261" s="31"/>
      <c r="K261" s="12"/>
      <c r="L261" s="12"/>
      <c r="M261" s="32"/>
      <c r="N261" s="13" t="str">
        <f t="shared" si="20"/>
        <v/>
      </c>
      <c r="O261" s="14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>
      <c r="A262" s="33" t="s">
        <v>948</v>
      </c>
      <c r="B262" s="27" t="str">
        <f>VLOOKUP(A262,Quantities!A:B,2,false)</f>
        <v>Molar Planck Constant</v>
      </c>
      <c r="C262" s="9">
        <f>countif(Quantities!A:A,A262)</f>
        <v>1</v>
      </c>
      <c r="D262" s="9" t="b">
        <f>IFERROR(__xludf.DUMMYFUNCTION("REGEXMATCH(A262,""(?i)ratio"")"),FALSE)</f>
        <v>0</v>
      </c>
      <c r="E262" s="9" t="b">
        <f>IFERROR(__xludf.DUMMYFUNCTION("REGEXMATCH(A262,""(?i)relationship"")"),FALSE)</f>
        <v>0</v>
      </c>
      <c r="F262" s="12"/>
      <c r="G262" s="17"/>
      <c r="H262" s="17" t="s">
        <v>1620</v>
      </c>
      <c r="I262" s="31"/>
      <c r="J262" s="31"/>
      <c r="K262" s="12"/>
      <c r="L262" s="12"/>
      <c r="M262" s="32"/>
      <c r="N262" s="13" t="str">
        <f t="shared" si="20"/>
        <v/>
      </c>
      <c r="O262" s="14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>
      <c r="A263" s="33" t="s">
        <v>950</v>
      </c>
      <c r="B263" s="27" t="str">
        <f>VLOOKUP(A263,Quantities!A:B,2,false)</f>
        <v>Molar Planck Constant Times C</v>
      </c>
      <c r="C263" s="9">
        <f>countif(Quantities!A:A,A263)</f>
        <v>1</v>
      </c>
      <c r="D263" s="9" t="b">
        <f>IFERROR(__xludf.DUMMYFUNCTION("REGEXMATCH(A263,""(?i)ratio"")"),FALSE)</f>
        <v>0</v>
      </c>
      <c r="E263" s="9" t="b">
        <f>IFERROR(__xludf.DUMMYFUNCTION("REGEXMATCH(A263,""(?i)relationship"")"),FALSE)</f>
        <v>0</v>
      </c>
      <c r="F263" s="12"/>
      <c r="G263" s="17"/>
      <c r="H263" s="17" t="s">
        <v>1624</v>
      </c>
      <c r="I263" s="31"/>
      <c r="J263" s="31"/>
      <c r="K263" s="12"/>
      <c r="L263" s="12"/>
      <c r="M263" s="32"/>
      <c r="N263" s="13" t="str">
        <f t="shared" si="20"/>
        <v/>
      </c>
      <c r="O263" s="14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>
      <c r="A264" s="6" t="s">
        <v>1625</v>
      </c>
      <c r="B264" s="6" t="s">
        <v>1625</v>
      </c>
      <c r="C264" s="9">
        <f>countif(Quantities!A:A,A264)</f>
        <v>0</v>
      </c>
      <c r="D264" s="9" t="b">
        <f>IFERROR(__xludf.DUMMYFUNCTION("REGEXMATCH(A264,""(?i)ratio"")"),FALSE)</f>
        <v>0</v>
      </c>
      <c r="E264" s="9" t="b">
        <f>IFERROR(__xludf.DUMMYFUNCTION("REGEXMATCH(A264,""(?i)relationship"")"),FALSE)</f>
        <v>0</v>
      </c>
      <c r="F264" s="6"/>
      <c r="G264" s="12"/>
      <c r="H264" s="6" t="s">
        <v>1603</v>
      </c>
      <c r="I264" s="12"/>
      <c r="J264" s="12"/>
      <c r="K264" s="12"/>
      <c r="L264" s="12"/>
      <c r="M264" s="13"/>
      <c r="N264" s="13"/>
      <c r="O264" s="20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>
      <c r="A265" s="33" t="s">
        <v>953</v>
      </c>
      <c r="B265" s="27" t="str">
        <f>VLOOKUP(A265,Quantities!A:B,2,false)</f>
        <v>Molar Volume Of Ideal Gas (273.15 K, 100 KPa)</v>
      </c>
      <c r="C265" s="9">
        <f>countif(Quantities!A:A,A265)</f>
        <v>1</v>
      </c>
      <c r="D265" s="9" t="b">
        <f>IFERROR(__xludf.DUMMYFUNCTION("REGEXMATCH(A265,""(?i)ratio"")"),FALSE)</f>
        <v>0</v>
      </c>
      <c r="E265" s="9" t="b">
        <f>IFERROR(__xludf.DUMMYFUNCTION("REGEXMATCH(A265,""(?i)relationship"")"),FALSE)</f>
        <v>0</v>
      </c>
      <c r="F265" s="12"/>
      <c r="G265" s="17"/>
      <c r="H265" s="17" t="s">
        <v>1626</v>
      </c>
      <c r="I265" s="31"/>
      <c r="J265" s="31"/>
      <c r="K265" s="12"/>
      <c r="L265" s="12"/>
      <c r="M265" s="32"/>
      <c r="N265" s="13" t="str">
        <f t="shared" ref="N265:N266" si="21">if(isblank(M265),"",hyperlink("https://www.wikidata.org/wiki/"&amp;M265,M265))</f>
        <v/>
      </c>
      <c r="O265" s="14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>
      <c r="A266" s="33" t="s">
        <v>956</v>
      </c>
      <c r="B266" s="27" t="str">
        <f>VLOOKUP(A266,Quantities!A:B,2,false)</f>
        <v>Molar Volume Of Silicon</v>
      </c>
      <c r="C266" s="9">
        <f>countif(Quantities!A:A,A266)</f>
        <v>1</v>
      </c>
      <c r="D266" s="9" t="b">
        <f>IFERROR(__xludf.DUMMYFUNCTION("REGEXMATCH(A266,""(?i)ratio"")"),FALSE)</f>
        <v>0</v>
      </c>
      <c r="E266" s="9" t="b">
        <f>IFERROR(__xludf.DUMMYFUNCTION("REGEXMATCH(A266,""(?i)relationship"")"),FALSE)</f>
        <v>0</v>
      </c>
      <c r="F266" s="12"/>
      <c r="G266" s="17"/>
      <c r="H266" s="17" t="s">
        <v>1627</v>
      </c>
      <c r="I266" s="31"/>
      <c r="J266" s="31"/>
      <c r="K266" s="12"/>
      <c r="L266" s="12"/>
      <c r="M266" s="32"/>
      <c r="N266" s="13" t="str">
        <f t="shared" si="21"/>
        <v/>
      </c>
      <c r="O266" s="14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>
      <c r="A267" s="6" t="s">
        <v>1628</v>
      </c>
      <c r="B267" s="6" t="s">
        <v>1628</v>
      </c>
      <c r="C267" s="9">
        <f>countif(Quantities!A:A,A267)</f>
        <v>0</v>
      </c>
      <c r="D267" s="9" t="b">
        <f>IFERROR(__xludf.DUMMYFUNCTION("REGEXMATCH(A267,""(?i)ratio"")"),FALSE)</f>
        <v>0</v>
      </c>
      <c r="E267" s="9" t="b">
        <f>IFERROR(__xludf.DUMMYFUNCTION("REGEXMATCH(A267,""(?i)relationship"")"),FALSE)</f>
        <v>0</v>
      </c>
      <c r="F267" s="6"/>
      <c r="G267" s="12"/>
      <c r="H267" s="12"/>
      <c r="I267" s="12"/>
      <c r="J267" s="12"/>
      <c r="K267" s="12"/>
      <c r="L267" s="12"/>
      <c r="M267" s="32"/>
      <c r="N267" s="13"/>
      <c r="O267" s="14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>
      <c r="A268" s="16" t="s">
        <v>1633</v>
      </c>
      <c r="B268" s="16" t="s">
        <v>1633</v>
      </c>
      <c r="C268" s="9">
        <f>countif(Quantities!A:A,A268)</f>
        <v>0</v>
      </c>
      <c r="D268" s="9" t="b">
        <f>IFERROR(__xludf.DUMMYFUNCTION("REGEXMATCH(A268,""(?i)ratio"")"),FALSE)</f>
        <v>0</v>
      </c>
      <c r="E268" s="9" t="b">
        <f>IFERROR(__xludf.DUMMYFUNCTION("REGEXMATCH(A268,""(?i)relationship"")"),FALSE)</f>
        <v>0</v>
      </c>
      <c r="F268" s="6"/>
      <c r="G268" s="12"/>
      <c r="H268" s="12"/>
      <c r="I268" s="12"/>
      <c r="J268" s="12"/>
      <c r="K268" s="12"/>
      <c r="L268" s="12"/>
      <c r="M268" s="32"/>
      <c r="N268" s="13" t="str">
        <f t="shared" ref="N268:N284" si="22">if(isblank(M268),"",hyperlink("https://www.wikidata.org/wiki/"&amp;M268,M268))</f>
        <v/>
      </c>
      <c r="O268" s="14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>
      <c r="A269" s="33" t="s">
        <v>958</v>
      </c>
      <c r="B269" s="27" t="str">
        <f>VLOOKUP(A269,Quantities!A:B,2,false)</f>
        <v>Molybdenum X Unit</v>
      </c>
      <c r="C269" s="9">
        <f>countif(Quantities!A:A,A269)</f>
        <v>1</v>
      </c>
      <c r="D269" s="9" t="b">
        <f>IFERROR(__xludf.DUMMYFUNCTION("REGEXMATCH(A269,""(?i)ratio"")"),FALSE)</f>
        <v>0</v>
      </c>
      <c r="E269" s="9" t="b">
        <f>IFERROR(__xludf.DUMMYFUNCTION("REGEXMATCH(A269,""(?i)relationship"")"),FALSE)</f>
        <v>0</v>
      </c>
      <c r="F269" s="12"/>
      <c r="G269" s="17"/>
      <c r="H269" s="17" t="s">
        <v>1628</v>
      </c>
      <c r="I269" s="31"/>
      <c r="J269" s="31"/>
      <c r="K269" s="12"/>
      <c r="L269" s="12"/>
      <c r="M269" s="32"/>
      <c r="N269" s="13" t="str">
        <f t="shared" si="22"/>
        <v/>
      </c>
      <c r="O269" s="14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>
      <c r="A270" s="22" t="s">
        <v>1635</v>
      </c>
      <c r="B270" s="66" t="s">
        <v>1635</v>
      </c>
      <c r="C270" s="9">
        <f>countif(Quantities!A:A,A270)</f>
        <v>0</v>
      </c>
      <c r="D270" s="9" t="b">
        <f>IFERROR(__xludf.DUMMYFUNCTION("REGEXMATCH(A270,""(?i)ratio"")"),FALSE)</f>
        <v>0</v>
      </c>
      <c r="E270" s="9" t="b">
        <f>IFERROR(__xludf.DUMMYFUNCTION("REGEXMATCH(A270,""(?i)relationship"")"),FALSE)</f>
        <v>0</v>
      </c>
      <c r="F270" s="12"/>
      <c r="G270" s="17" t="s">
        <v>864</v>
      </c>
      <c r="H270" s="17"/>
      <c r="I270" s="31"/>
      <c r="J270" s="31"/>
      <c r="K270" s="12"/>
      <c r="L270" s="12"/>
      <c r="M270" s="13" t="s">
        <v>1638</v>
      </c>
      <c r="N270" s="25" t="str">
        <f t="shared" si="22"/>
        <v>Q3151</v>
      </c>
      <c r="O270" s="14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>
      <c r="A271" s="33" t="s">
        <v>965</v>
      </c>
      <c r="B271" s="27" t="str">
        <f>VLOOKUP(A271,Quantities!A:B,2,false)</f>
        <v>Muon Compton Wavelength</v>
      </c>
      <c r="C271" s="9">
        <f>countif(Quantities!A:A,A271)</f>
        <v>1</v>
      </c>
      <c r="D271" s="9" t="b">
        <f>IFERROR(__xludf.DUMMYFUNCTION("REGEXMATCH(A271,""(?i)ratio"")"),FALSE)</f>
        <v>0</v>
      </c>
      <c r="E271" s="9" t="b">
        <f>IFERROR(__xludf.DUMMYFUNCTION("REGEXMATCH(A271,""(?i)relationship"")"),FALSE)</f>
        <v>0</v>
      </c>
      <c r="F271" s="12"/>
      <c r="G271" s="17"/>
      <c r="H271" s="17" t="s">
        <v>1645</v>
      </c>
      <c r="I271" s="31"/>
      <c r="J271" s="31"/>
      <c r="K271" s="12"/>
      <c r="L271" s="12"/>
      <c r="M271" s="32"/>
      <c r="N271" s="13" t="str">
        <f t="shared" si="22"/>
        <v/>
      </c>
      <c r="O271" s="14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>
      <c r="A272" s="33" t="s">
        <v>968</v>
      </c>
      <c r="B272" s="27" t="str">
        <f>VLOOKUP(A272,Quantities!A:B,2,false)</f>
        <v>Muon - Electron Mass Ratio</v>
      </c>
      <c r="C272" s="9">
        <f>countif(Quantities!A:A,A272)</f>
        <v>1</v>
      </c>
      <c r="D272" s="9" t="b">
        <f>IFERROR(__xludf.DUMMYFUNCTION("REGEXMATCH(A272,""(?i)ratio"")"),TRUE)</f>
        <v>1</v>
      </c>
      <c r="E272" s="9" t="b">
        <f>IFERROR(__xludf.DUMMYFUNCTION("REGEXMATCH(A272,""(?i)relationship"")"),FALSE)</f>
        <v>0</v>
      </c>
      <c r="F272" s="12"/>
      <c r="G272" s="17"/>
      <c r="H272" s="17" t="s">
        <v>1647</v>
      </c>
      <c r="I272" s="31"/>
      <c r="J272" s="31"/>
      <c r="K272" s="12"/>
      <c r="L272" s="12"/>
      <c r="M272" s="32"/>
      <c r="N272" s="13" t="str">
        <f t="shared" si="22"/>
        <v/>
      </c>
      <c r="O272" s="14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>
      <c r="A273" s="33" t="s">
        <v>970</v>
      </c>
      <c r="B273" s="27" t="str">
        <f>VLOOKUP(A273,Quantities!A:B,2,false)</f>
        <v>Muon G Factor</v>
      </c>
      <c r="C273" s="9">
        <f>countif(Quantities!A:A,A273)</f>
        <v>1</v>
      </c>
      <c r="D273" s="9" t="b">
        <f>IFERROR(__xludf.DUMMYFUNCTION("REGEXMATCH(A273,""(?i)ratio"")"),FALSE)</f>
        <v>0</v>
      </c>
      <c r="E273" s="9" t="b">
        <f>IFERROR(__xludf.DUMMYFUNCTION("REGEXMATCH(A273,""(?i)relationship"")"),FALSE)</f>
        <v>0</v>
      </c>
      <c r="F273" s="12"/>
      <c r="G273" s="17"/>
      <c r="H273" s="17" t="s">
        <v>1649</v>
      </c>
      <c r="I273" s="31"/>
      <c r="J273" s="31"/>
      <c r="K273" s="12"/>
      <c r="L273" s="12"/>
      <c r="M273" s="32"/>
      <c r="N273" s="13" t="str">
        <f t="shared" si="22"/>
        <v/>
      </c>
      <c r="O273" s="14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>
      <c r="A274" s="33" t="s">
        <v>973</v>
      </c>
      <c r="B274" s="27" t="str">
        <f>VLOOKUP(A274,Quantities!A:B,2,false)</f>
        <v>Muon Magnetic Moment</v>
      </c>
      <c r="C274" s="9">
        <f>countif(Quantities!A:A,A274)</f>
        <v>1</v>
      </c>
      <c r="D274" s="9" t="b">
        <f>IFERROR(__xludf.DUMMYFUNCTION("REGEXMATCH(A274,""(?i)ratio"")"),FALSE)</f>
        <v>0</v>
      </c>
      <c r="E274" s="9" t="b">
        <f>IFERROR(__xludf.DUMMYFUNCTION("REGEXMATCH(A274,""(?i)relationship"")"),FALSE)</f>
        <v>0</v>
      </c>
      <c r="F274" s="12"/>
      <c r="G274" s="17"/>
      <c r="H274" s="17" t="s">
        <v>1653</v>
      </c>
      <c r="I274" s="31"/>
      <c r="J274" s="31"/>
      <c r="K274" s="12"/>
      <c r="L274" s="12"/>
      <c r="M274" s="32"/>
      <c r="N274" s="13" t="str">
        <f t="shared" si="22"/>
        <v/>
      </c>
      <c r="O274" s="14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>
      <c r="A275" s="33" t="s">
        <v>976</v>
      </c>
      <c r="B275" s="27" t="str">
        <f>VLOOKUP(A275,Quantities!A:B,2,false)</f>
        <v>Muon Magnetic Moment Anomaly</v>
      </c>
      <c r="C275" s="9">
        <f>countif(Quantities!A:A,A275)</f>
        <v>1</v>
      </c>
      <c r="D275" s="9" t="b">
        <f>IFERROR(__xludf.DUMMYFUNCTION("REGEXMATCH(A275,""(?i)ratio"")"),FALSE)</f>
        <v>0</v>
      </c>
      <c r="E275" s="9" t="b">
        <f>IFERROR(__xludf.DUMMYFUNCTION("REGEXMATCH(A275,""(?i)relationship"")"),FALSE)</f>
        <v>0</v>
      </c>
      <c r="F275" s="12"/>
      <c r="G275" s="17"/>
      <c r="H275" s="17" t="s">
        <v>1653</v>
      </c>
      <c r="I275" s="31"/>
      <c r="J275" s="31"/>
      <c r="K275" s="12"/>
      <c r="L275" s="12"/>
      <c r="M275" s="32"/>
      <c r="N275" s="13" t="str">
        <f t="shared" si="22"/>
        <v/>
      </c>
      <c r="O275" s="14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>
      <c r="A276" s="33" t="s">
        <v>981</v>
      </c>
      <c r="B276" s="27" t="str">
        <f>VLOOKUP(A276,Quantities!A:B,2,false)</f>
        <v>Muon Magnetic Moment To Bohr Magneton Ratio</v>
      </c>
      <c r="C276" s="9">
        <f>countif(Quantities!A:A,A276)</f>
        <v>1</v>
      </c>
      <c r="D276" s="9" t="b">
        <f>IFERROR(__xludf.DUMMYFUNCTION("REGEXMATCH(A276,""(?i)ratio"")"),TRUE)</f>
        <v>1</v>
      </c>
      <c r="E276" s="9" t="b">
        <f>IFERROR(__xludf.DUMMYFUNCTION("REGEXMATCH(A276,""(?i)relationship"")"),FALSE)</f>
        <v>0</v>
      </c>
      <c r="F276" s="12"/>
      <c r="G276" s="17"/>
      <c r="H276" s="17" t="s">
        <v>1656</v>
      </c>
      <c r="I276" s="31"/>
      <c r="J276" s="31"/>
      <c r="K276" s="12"/>
      <c r="L276" s="12"/>
      <c r="M276" s="32"/>
      <c r="N276" s="13" t="str">
        <f t="shared" si="22"/>
        <v/>
      </c>
      <c r="O276" s="14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>
      <c r="A277" s="33" t="s">
        <v>984</v>
      </c>
      <c r="B277" s="27" t="str">
        <f>VLOOKUP(A277,Quantities!A:B,2,false)</f>
        <v>Muon Magnetic Moment To Nuclear Magneton Ratio</v>
      </c>
      <c r="C277" s="9">
        <f>countif(Quantities!A:A,A277)</f>
        <v>1</v>
      </c>
      <c r="D277" s="9" t="b">
        <f>IFERROR(__xludf.DUMMYFUNCTION("REGEXMATCH(A277,""(?i)ratio"")"),TRUE)</f>
        <v>1</v>
      </c>
      <c r="E277" s="9" t="b">
        <f>IFERROR(__xludf.DUMMYFUNCTION("REGEXMATCH(A277,""(?i)relationship"")"),FALSE)</f>
        <v>0</v>
      </c>
      <c r="F277" s="12"/>
      <c r="G277" s="17"/>
      <c r="H277" s="17" t="s">
        <v>1661</v>
      </c>
      <c r="I277" s="31"/>
      <c r="J277" s="31"/>
      <c r="K277" s="12"/>
      <c r="L277" s="12"/>
      <c r="M277" s="32"/>
      <c r="N277" s="13" t="str">
        <f t="shared" si="22"/>
        <v/>
      </c>
      <c r="O277" s="14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>
      <c r="A278" s="33" t="s">
        <v>986</v>
      </c>
      <c r="B278" s="27" t="str">
        <f>VLOOKUP(A278,Quantities!A:B,2,false)</f>
        <v>Muon Mass</v>
      </c>
      <c r="C278" s="9">
        <f>countif(Quantities!A:A,A278)</f>
        <v>1</v>
      </c>
      <c r="D278" s="9" t="b">
        <f>IFERROR(__xludf.DUMMYFUNCTION("REGEXMATCH(A278,""(?i)ratio"")"),FALSE)</f>
        <v>0</v>
      </c>
      <c r="E278" s="9" t="b">
        <f>IFERROR(__xludf.DUMMYFUNCTION("REGEXMATCH(A278,""(?i)relationship"")"),FALSE)</f>
        <v>0</v>
      </c>
      <c r="F278" s="12"/>
      <c r="G278" s="17"/>
      <c r="H278" s="17" t="s">
        <v>1662</v>
      </c>
      <c r="I278" s="31"/>
      <c r="J278" s="31"/>
      <c r="K278" s="12"/>
      <c r="L278" s="12"/>
      <c r="M278" s="32"/>
      <c r="N278" s="13" t="str">
        <f t="shared" si="22"/>
        <v/>
      </c>
      <c r="O278" s="14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>
      <c r="A279" s="17" t="s">
        <v>989</v>
      </c>
      <c r="B279" s="27" t="str">
        <f>VLOOKUP(A279,Quantities!A:B,2,false)</f>
        <v>Muon Mass Energy Equivalent</v>
      </c>
      <c r="C279" s="9">
        <f>countif(Quantities!A:A,A279)</f>
        <v>1</v>
      </c>
      <c r="D279" s="9" t="b">
        <f>IFERROR(__xludf.DUMMYFUNCTION("REGEXMATCH(A279,""(?i)ratio"")"),FALSE)</f>
        <v>0</v>
      </c>
      <c r="E279" s="9" t="b">
        <f>IFERROR(__xludf.DUMMYFUNCTION("REGEXMATCH(A279,""(?i)relationship"")"),FALSE)</f>
        <v>0</v>
      </c>
      <c r="F279" s="12"/>
      <c r="G279" s="17"/>
      <c r="H279" s="17" t="s">
        <v>1663</v>
      </c>
      <c r="I279" s="31"/>
      <c r="J279" s="31"/>
      <c r="K279" s="12"/>
      <c r="L279" s="12"/>
      <c r="M279" s="32"/>
      <c r="N279" s="13" t="str">
        <f t="shared" si="22"/>
        <v/>
      </c>
      <c r="O279" s="14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>
      <c r="A280" s="33" t="s">
        <v>992</v>
      </c>
      <c r="B280" s="27" t="str">
        <f>VLOOKUP(A280,Quantities!A:B,2,false)</f>
        <v>Muon Molar Mass</v>
      </c>
      <c r="C280" s="9">
        <f>countif(Quantities!A:A,A280)</f>
        <v>1</v>
      </c>
      <c r="D280" s="9" t="b">
        <f>IFERROR(__xludf.DUMMYFUNCTION("REGEXMATCH(A280,""(?i)ratio"")"),FALSE)</f>
        <v>0</v>
      </c>
      <c r="E280" s="9" t="b">
        <f>IFERROR(__xludf.DUMMYFUNCTION("REGEXMATCH(A280,""(?i)relationship"")"),FALSE)</f>
        <v>0</v>
      </c>
      <c r="F280" s="12"/>
      <c r="G280" s="17"/>
      <c r="H280" s="17" t="s">
        <v>1667</v>
      </c>
      <c r="I280" s="31"/>
      <c r="J280" s="31"/>
      <c r="K280" s="12"/>
      <c r="L280" s="12"/>
      <c r="M280" s="32"/>
      <c r="N280" s="13" t="str">
        <f t="shared" si="22"/>
        <v/>
      </c>
      <c r="O280" s="14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>
      <c r="A281" s="33" t="s">
        <v>995</v>
      </c>
      <c r="B281" s="27" t="str">
        <f>VLOOKUP(A281,Quantities!A:B,2,false)</f>
        <v>Muon - Neutron Mass Ratio</v>
      </c>
      <c r="C281" s="9">
        <f>countif(Quantities!A:A,A281)</f>
        <v>1</v>
      </c>
      <c r="D281" s="9" t="b">
        <f>IFERROR(__xludf.DUMMYFUNCTION("REGEXMATCH(A281,""(?i)ratio"")"),TRUE)</f>
        <v>1</v>
      </c>
      <c r="E281" s="9" t="b">
        <f>IFERROR(__xludf.DUMMYFUNCTION("REGEXMATCH(A281,""(?i)relationship"")"),FALSE)</f>
        <v>0</v>
      </c>
      <c r="F281" s="12"/>
      <c r="G281" s="17"/>
      <c r="H281" s="17" t="s">
        <v>1668</v>
      </c>
      <c r="I281" s="31"/>
      <c r="J281" s="31"/>
      <c r="K281" s="12"/>
      <c r="L281" s="12"/>
      <c r="M281" s="32"/>
      <c r="N281" s="13" t="str">
        <f t="shared" si="22"/>
        <v/>
      </c>
      <c r="O281" s="14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>
      <c r="A282" s="33" t="s">
        <v>1001</v>
      </c>
      <c r="B282" s="27" t="str">
        <f>VLOOKUP(A282,Quantities!A:B,2,false)</f>
        <v>Muon - Proton Magnetic Moment Ratio</v>
      </c>
      <c r="C282" s="9">
        <f>countif(Quantities!A:A,A282)</f>
        <v>1</v>
      </c>
      <c r="D282" s="9" t="b">
        <f>IFERROR(__xludf.DUMMYFUNCTION("REGEXMATCH(A282,""(?i)ratio"")"),TRUE)</f>
        <v>1</v>
      </c>
      <c r="E282" s="9" t="b">
        <f>IFERROR(__xludf.DUMMYFUNCTION("REGEXMATCH(A282,""(?i)relationship"")"),FALSE)</f>
        <v>0</v>
      </c>
      <c r="F282" s="12"/>
      <c r="G282" s="17"/>
      <c r="H282" s="17" t="s">
        <v>1672</v>
      </c>
      <c r="I282" s="31"/>
      <c r="J282" s="31"/>
      <c r="K282" s="12"/>
      <c r="L282" s="12"/>
      <c r="M282" s="32"/>
      <c r="N282" s="13" t="str">
        <f t="shared" si="22"/>
        <v/>
      </c>
      <c r="O282" s="14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>
      <c r="A283" s="33" t="s">
        <v>1003</v>
      </c>
      <c r="B283" s="27" t="str">
        <f>VLOOKUP(A283,Quantities!A:B,2,false)</f>
        <v>Muon - Proton Mass Ratio</v>
      </c>
      <c r="C283" s="9">
        <f>countif(Quantities!A:A,A283)</f>
        <v>1</v>
      </c>
      <c r="D283" s="9" t="b">
        <f>IFERROR(__xludf.DUMMYFUNCTION("REGEXMATCH(A283,""(?i)ratio"")"),TRUE)</f>
        <v>1</v>
      </c>
      <c r="E283" s="9" t="b">
        <f>IFERROR(__xludf.DUMMYFUNCTION("REGEXMATCH(A283,""(?i)relationship"")"),FALSE)</f>
        <v>0</v>
      </c>
      <c r="F283" s="12"/>
      <c r="G283" s="17"/>
      <c r="H283" s="17" t="s">
        <v>1673</v>
      </c>
      <c r="I283" s="31"/>
      <c r="J283" s="31"/>
      <c r="K283" s="12"/>
      <c r="L283" s="12"/>
      <c r="M283" s="32"/>
      <c r="N283" s="13" t="str">
        <f t="shared" si="22"/>
        <v/>
      </c>
      <c r="O283" s="14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>
      <c r="A284" s="33" t="s">
        <v>1006</v>
      </c>
      <c r="B284" s="27" t="str">
        <f>VLOOKUP(A284,Quantities!A:B,2,false)</f>
        <v>Muon - Tau Mass Ratio</v>
      </c>
      <c r="C284" s="9">
        <f>countif(Quantities!A:A,A284)</f>
        <v>1</v>
      </c>
      <c r="D284" s="9" t="b">
        <f>IFERROR(__xludf.DUMMYFUNCTION("REGEXMATCH(A284,""(?i)ratio"")"),TRUE)</f>
        <v>1</v>
      </c>
      <c r="E284" s="9" t="b">
        <f>IFERROR(__xludf.DUMMYFUNCTION("REGEXMATCH(A284,""(?i)relationship"")"),FALSE)</f>
        <v>0</v>
      </c>
      <c r="F284" s="12"/>
      <c r="G284" s="17"/>
      <c r="H284" s="17" t="s">
        <v>1674</v>
      </c>
      <c r="I284" s="31"/>
      <c r="J284" s="31"/>
      <c r="K284" s="12"/>
      <c r="L284" s="12"/>
      <c r="M284" s="32"/>
      <c r="N284" s="13" t="str">
        <f t="shared" si="22"/>
        <v/>
      </c>
      <c r="O284" s="14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>
      <c r="A285" s="22" t="s">
        <v>1675</v>
      </c>
      <c r="B285" s="22" t="s">
        <v>1675</v>
      </c>
      <c r="C285" s="9">
        <f>countif(Quantities!A:A,A285)</f>
        <v>0</v>
      </c>
      <c r="D285" s="9" t="b">
        <f>IFERROR(__xludf.DUMMYFUNCTION("REGEXMATCH(A285,""(?i)ratio"")"),FALSE)</f>
        <v>0</v>
      </c>
      <c r="E285" s="9" t="b">
        <f>IFERROR(__xludf.DUMMYFUNCTION("REGEXMATCH(A285,""(?i)relationship"")"),FALSE)</f>
        <v>0</v>
      </c>
      <c r="F285" s="12"/>
      <c r="G285" s="17"/>
      <c r="H285" s="17"/>
      <c r="I285" s="31"/>
      <c r="J285" s="31"/>
      <c r="K285" s="12"/>
      <c r="L285" s="12"/>
      <c r="M285" s="32"/>
      <c r="N285" s="13"/>
      <c r="O285" s="14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>
      <c r="A286" s="33" t="s">
        <v>1009</v>
      </c>
      <c r="B286" s="27" t="str">
        <f>VLOOKUP(A286,Quantities!A:B,2,false)</f>
        <v>Natural Unit Of Action</v>
      </c>
      <c r="C286" s="9">
        <f>countif(Quantities!A:A,A286)</f>
        <v>1</v>
      </c>
      <c r="D286" s="9" t="b">
        <f>IFERROR(__xludf.DUMMYFUNCTION("REGEXMATCH(A286,""(?i)ratio"")"),FALSE)</f>
        <v>0</v>
      </c>
      <c r="E286" s="9" t="b">
        <f>IFERROR(__xludf.DUMMYFUNCTION("REGEXMATCH(A286,""(?i)relationship"")"),FALSE)</f>
        <v>0</v>
      </c>
      <c r="F286" s="12"/>
      <c r="G286" s="17"/>
      <c r="H286" s="17" t="s">
        <v>1679</v>
      </c>
      <c r="I286" s="31"/>
      <c r="J286" s="31"/>
      <c r="K286" s="12"/>
      <c r="L286" s="12"/>
      <c r="M286" s="32"/>
      <c r="N286" s="13" t="str">
        <f t="shared" ref="N286:N312" si="23">if(isblank(M286),"",hyperlink("https://www.wikidata.org/wiki/"&amp;M286,M286))</f>
        <v/>
      </c>
      <c r="O286" s="14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>
      <c r="A287" s="33" t="s">
        <v>1011</v>
      </c>
      <c r="B287" s="27" t="str">
        <f>VLOOKUP(A287,Quantities!A:B,2,false)</f>
        <v>Natural Unit Of Energy</v>
      </c>
      <c r="C287" s="9">
        <f>countif(Quantities!A:A,A287)</f>
        <v>1</v>
      </c>
      <c r="D287" s="9" t="b">
        <f>IFERROR(__xludf.DUMMYFUNCTION("REGEXMATCH(A287,""(?i)ratio"")"),FALSE)</f>
        <v>0</v>
      </c>
      <c r="E287" s="9" t="b">
        <f>IFERROR(__xludf.DUMMYFUNCTION("REGEXMATCH(A287,""(?i)relationship"")"),FALSE)</f>
        <v>0</v>
      </c>
      <c r="F287" s="12"/>
      <c r="G287" s="17"/>
      <c r="H287" s="17" t="s">
        <v>1683</v>
      </c>
      <c r="I287" s="31"/>
      <c r="J287" s="31"/>
      <c r="K287" s="12"/>
      <c r="L287" s="12"/>
      <c r="M287" s="32"/>
      <c r="N287" s="13" t="str">
        <f t="shared" si="23"/>
        <v/>
      </c>
      <c r="O287" s="14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>
      <c r="A288" s="33" t="s">
        <v>1016</v>
      </c>
      <c r="B288" s="27" t="str">
        <f>VLOOKUP(A288,Quantities!A:B,2,false)</f>
        <v>Natural Unit Of Length</v>
      </c>
      <c r="C288" s="9">
        <f>countif(Quantities!A:A,A288)</f>
        <v>1</v>
      </c>
      <c r="D288" s="9" t="b">
        <f>IFERROR(__xludf.DUMMYFUNCTION("REGEXMATCH(A288,""(?i)ratio"")"),FALSE)</f>
        <v>0</v>
      </c>
      <c r="E288" s="9" t="b">
        <f>IFERROR(__xludf.DUMMYFUNCTION("REGEXMATCH(A288,""(?i)relationship"")"),FALSE)</f>
        <v>0</v>
      </c>
      <c r="F288" s="12"/>
      <c r="G288" s="17"/>
      <c r="H288" s="17" t="s">
        <v>1684</v>
      </c>
      <c r="I288" s="31"/>
      <c r="J288" s="31"/>
      <c r="K288" s="12"/>
      <c r="L288" s="12"/>
      <c r="M288" s="32"/>
      <c r="N288" s="13" t="str">
        <f t="shared" si="23"/>
        <v/>
      </c>
      <c r="O288" s="14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>
      <c r="A289" s="33" t="s">
        <v>1020</v>
      </c>
      <c r="B289" s="27" t="str">
        <f>VLOOKUP(A289,Quantities!A:B,2,false)</f>
        <v>Natural Unit Of Mass</v>
      </c>
      <c r="C289" s="9">
        <f>countif(Quantities!A:A,A289)</f>
        <v>1</v>
      </c>
      <c r="D289" s="9" t="b">
        <f>IFERROR(__xludf.DUMMYFUNCTION("REGEXMATCH(A289,""(?i)ratio"")"),FALSE)</f>
        <v>0</v>
      </c>
      <c r="E289" s="9" t="b">
        <f>IFERROR(__xludf.DUMMYFUNCTION("REGEXMATCH(A289,""(?i)relationship"")"),FALSE)</f>
        <v>0</v>
      </c>
      <c r="F289" s="12"/>
      <c r="G289" s="17"/>
      <c r="H289" s="17" t="s">
        <v>1685</v>
      </c>
      <c r="I289" s="31"/>
      <c r="J289" s="31"/>
      <c r="K289" s="12"/>
      <c r="L289" s="12"/>
      <c r="M289" s="32"/>
      <c r="N289" s="13" t="str">
        <f t="shared" si="23"/>
        <v/>
      </c>
      <c r="O289" s="14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>
      <c r="A290" s="33" t="s">
        <v>1027</v>
      </c>
      <c r="B290" s="27" t="str">
        <f>VLOOKUP(A290,Quantities!A:B,2,false)</f>
        <v>Natural Unit Of Momentum</v>
      </c>
      <c r="C290" s="9">
        <f>countif(Quantities!A:A,A290)</f>
        <v>1</v>
      </c>
      <c r="D290" s="9" t="b">
        <f>IFERROR(__xludf.DUMMYFUNCTION("REGEXMATCH(A290,""(?i)ratio"")"),FALSE)</f>
        <v>0</v>
      </c>
      <c r="E290" s="9" t="b">
        <f>IFERROR(__xludf.DUMMYFUNCTION("REGEXMATCH(A290,""(?i)relationship"")"),FALSE)</f>
        <v>0</v>
      </c>
      <c r="F290" s="12"/>
      <c r="G290" s="17"/>
      <c r="H290" s="17" t="s">
        <v>1690</v>
      </c>
      <c r="I290" s="31"/>
      <c r="J290" s="31"/>
      <c r="K290" s="12"/>
      <c r="L290" s="12"/>
      <c r="M290" s="32"/>
      <c r="N290" s="13" t="str">
        <f t="shared" si="23"/>
        <v/>
      </c>
      <c r="O290" s="14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>
      <c r="A291" s="33" t="s">
        <v>1030</v>
      </c>
      <c r="B291" s="27" t="str">
        <f>VLOOKUP(A291,Quantities!A:B,2,false)</f>
        <v>Natural Unit Of Time</v>
      </c>
      <c r="C291" s="9">
        <f>countif(Quantities!A:A,A291)</f>
        <v>1</v>
      </c>
      <c r="D291" s="9" t="b">
        <f>IFERROR(__xludf.DUMMYFUNCTION("REGEXMATCH(A291,""(?i)ratio"")"),FALSE)</f>
        <v>0</v>
      </c>
      <c r="E291" s="9" t="b">
        <f>IFERROR(__xludf.DUMMYFUNCTION("REGEXMATCH(A291,""(?i)relationship"")"),FALSE)</f>
        <v>0</v>
      </c>
      <c r="F291" s="12"/>
      <c r="G291" s="17"/>
      <c r="H291" s="17" t="s">
        <v>1692</v>
      </c>
      <c r="I291" s="31"/>
      <c r="J291" s="31"/>
      <c r="K291" s="12"/>
      <c r="L291" s="12"/>
      <c r="M291" s="32"/>
      <c r="N291" s="13" t="str">
        <f t="shared" si="23"/>
        <v/>
      </c>
      <c r="O291" s="14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>
      <c r="A292" s="33" t="s">
        <v>1034</v>
      </c>
      <c r="B292" s="27" t="str">
        <f>VLOOKUP(A292,Quantities!A:B,2,false)</f>
        <v>Natural Unit Of Velocity</v>
      </c>
      <c r="C292" s="9">
        <f>countif(Quantities!A:A,A292)</f>
        <v>1</v>
      </c>
      <c r="D292" s="9" t="b">
        <f>IFERROR(__xludf.DUMMYFUNCTION("REGEXMATCH(A292,""(?i)ratio"")"),FALSE)</f>
        <v>0</v>
      </c>
      <c r="E292" s="9" t="b">
        <f>IFERROR(__xludf.DUMMYFUNCTION("REGEXMATCH(A292,""(?i)relationship"")"),FALSE)</f>
        <v>0</v>
      </c>
      <c r="F292" s="12"/>
      <c r="G292" s="17"/>
      <c r="H292" s="17" t="s">
        <v>1693</v>
      </c>
      <c r="I292" s="31"/>
      <c r="J292" s="31"/>
      <c r="K292" s="12"/>
      <c r="L292" s="12"/>
      <c r="M292" s="32"/>
      <c r="N292" s="13" t="str">
        <f t="shared" si="23"/>
        <v/>
      </c>
      <c r="O292" s="14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>
      <c r="A293" s="6" t="s">
        <v>1697</v>
      </c>
      <c r="B293" s="6" t="s">
        <v>1697</v>
      </c>
      <c r="C293" s="9">
        <f>countif(Quantities!A:A,A293)</f>
        <v>0</v>
      </c>
      <c r="D293" s="9" t="b">
        <f>IFERROR(__xludf.DUMMYFUNCTION("REGEXMATCH(A293,""(?i)ratio"")"),FALSE)</f>
        <v>0</v>
      </c>
      <c r="E293" s="9" t="b">
        <f>IFERROR(__xludf.DUMMYFUNCTION("REGEXMATCH(A293,""(?i)relationship"")"),FALSE)</f>
        <v>0</v>
      </c>
      <c r="F293" s="6"/>
      <c r="G293" s="6" t="s">
        <v>864</v>
      </c>
      <c r="H293" s="12"/>
      <c r="I293" s="12"/>
      <c r="J293" s="12"/>
      <c r="K293" s="12"/>
      <c r="L293" s="12"/>
      <c r="M293" s="13" t="s">
        <v>1698</v>
      </c>
      <c r="N293" s="25" t="str">
        <f t="shared" si="23"/>
        <v>Q2348</v>
      </c>
      <c r="O293" s="14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>
      <c r="A294" s="33" t="s">
        <v>1037</v>
      </c>
      <c r="B294" s="27" t="str">
        <f>VLOOKUP(A294,Quantities!A:B,2,false)</f>
        <v>Neutron Compton Wavelength</v>
      </c>
      <c r="C294" s="9">
        <f>countif(Quantities!A:A,A294)</f>
        <v>1</v>
      </c>
      <c r="D294" s="9" t="b">
        <f>IFERROR(__xludf.DUMMYFUNCTION("REGEXMATCH(A294,""(?i)ratio"")"),FALSE)</f>
        <v>0</v>
      </c>
      <c r="E294" s="9" t="b">
        <f>IFERROR(__xludf.DUMMYFUNCTION("REGEXMATCH(A294,""(?i)relationship"")"),FALSE)</f>
        <v>0</v>
      </c>
      <c r="F294" s="12"/>
      <c r="G294" s="17"/>
      <c r="H294" s="17" t="s">
        <v>1699</v>
      </c>
      <c r="I294" s="31"/>
      <c r="J294" s="31"/>
      <c r="K294" s="12"/>
      <c r="L294" s="12"/>
      <c r="M294" s="32"/>
      <c r="N294" s="13" t="str">
        <f t="shared" si="23"/>
        <v/>
      </c>
      <c r="O294" s="14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>
      <c r="A295" s="33" t="s">
        <v>1040</v>
      </c>
      <c r="B295" s="27" t="str">
        <f>VLOOKUP(A295,Quantities!A:B,2,false)</f>
        <v>Neutron - Electron Magnetic Moment Ratio</v>
      </c>
      <c r="C295" s="9">
        <f>countif(Quantities!A:A,A295)</f>
        <v>1</v>
      </c>
      <c r="D295" s="9" t="b">
        <f>IFERROR(__xludf.DUMMYFUNCTION("REGEXMATCH(A295,""(?i)ratio"")"),TRUE)</f>
        <v>1</v>
      </c>
      <c r="E295" s="9" t="b">
        <f>IFERROR(__xludf.DUMMYFUNCTION("REGEXMATCH(A295,""(?i)relationship"")"),FALSE)</f>
        <v>0</v>
      </c>
      <c r="F295" s="12"/>
      <c r="G295" s="17"/>
      <c r="H295" s="17" t="s">
        <v>1703</v>
      </c>
      <c r="I295" s="31"/>
      <c r="J295" s="31"/>
      <c r="K295" s="12"/>
      <c r="L295" s="12"/>
      <c r="M295" s="32"/>
      <c r="N295" s="13" t="str">
        <f t="shared" si="23"/>
        <v/>
      </c>
      <c r="O295" s="14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>
      <c r="A296" s="33" t="s">
        <v>1042</v>
      </c>
      <c r="B296" s="27" t="str">
        <f>VLOOKUP(A296,Quantities!A:B,2,false)</f>
        <v>Neutron - Electron Mass Ratio</v>
      </c>
      <c r="C296" s="9">
        <f>countif(Quantities!A:A,A296)</f>
        <v>1</v>
      </c>
      <c r="D296" s="9" t="b">
        <f>IFERROR(__xludf.DUMMYFUNCTION("REGEXMATCH(A296,""(?i)ratio"")"),TRUE)</f>
        <v>1</v>
      </c>
      <c r="E296" s="9" t="b">
        <f>IFERROR(__xludf.DUMMYFUNCTION("REGEXMATCH(A296,""(?i)relationship"")"),FALSE)</f>
        <v>0</v>
      </c>
      <c r="F296" s="12"/>
      <c r="G296" s="17"/>
      <c r="H296" s="17" t="s">
        <v>1704</v>
      </c>
      <c r="I296" s="31"/>
      <c r="J296" s="31"/>
      <c r="K296" s="12"/>
      <c r="L296" s="12"/>
      <c r="M296" s="32"/>
      <c r="N296" s="13" t="str">
        <f t="shared" si="23"/>
        <v/>
      </c>
      <c r="O296" s="14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>
      <c r="A297" s="33" t="s">
        <v>1044</v>
      </c>
      <c r="B297" s="27" t="str">
        <f>VLOOKUP(A297,Quantities!A:B,2,false)</f>
        <v>Neutron G Factor</v>
      </c>
      <c r="C297" s="9">
        <f>countif(Quantities!A:A,A297)</f>
        <v>1</v>
      </c>
      <c r="D297" s="9" t="b">
        <f>IFERROR(__xludf.DUMMYFUNCTION("REGEXMATCH(A297,""(?i)ratio"")"),FALSE)</f>
        <v>0</v>
      </c>
      <c r="E297" s="9" t="b">
        <f>IFERROR(__xludf.DUMMYFUNCTION("REGEXMATCH(A297,""(?i)relationship"")"),FALSE)</f>
        <v>0</v>
      </c>
      <c r="F297" s="12"/>
      <c r="G297" s="17"/>
      <c r="H297" s="17" t="s">
        <v>1708</v>
      </c>
      <c r="I297" s="31"/>
      <c r="J297" s="31"/>
      <c r="K297" s="12"/>
      <c r="L297" s="12"/>
      <c r="M297" s="32"/>
      <c r="N297" s="13" t="str">
        <f t="shared" si="23"/>
        <v/>
      </c>
      <c r="O297" s="14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>
      <c r="A298" s="33" t="s">
        <v>1046</v>
      </c>
      <c r="B298" s="27" t="str">
        <f>VLOOKUP(A298,Quantities!A:B,2,false)</f>
        <v>Neutron Gyromagnetic Ratio</v>
      </c>
      <c r="C298" s="9">
        <f>countif(Quantities!A:A,A298)</f>
        <v>1</v>
      </c>
      <c r="D298" s="9" t="b">
        <f>IFERROR(__xludf.DUMMYFUNCTION("REGEXMATCH(A298,""(?i)ratio"")"),TRUE)</f>
        <v>1</v>
      </c>
      <c r="E298" s="9" t="b">
        <f>IFERROR(__xludf.DUMMYFUNCTION("REGEXMATCH(A298,""(?i)relationship"")"),FALSE)</f>
        <v>0</v>
      </c>
      <c r="F298" s="12"/>
      <c r="G298" s="17"/>
      <c r="H298" s="17" t="s">
        <v>1709</v>
      </c>
      <c r="I298" s="31"/>
      <c r="J298" s="31"/>
      <c r="K298" s="12"/>
      <c r="L298" s="12"/>
      <c r="M298" s="32"/>
      <c r="N298" s="13" t="str">
        <f t="shared" si="23"/>
        <v/>
      </c>
      <c r="O298" s="14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>
      <c r="A299" s="33" t="s">
        <v>1050</v>
      </c>
      <c r="B299" s="27" t="str">
        <f>VLOOKUP(A299,Quantities!A:B,2,false)</f>
        <v>Neutron Magnetic Moment</v>
      </c>
      <c r="C299" s="9">
        <f>countif(Quantities!A:A,A299)</f>
        <v>1</v>
      </c>
      <c r="D299" s="9" t="b">
        <f>IFERROR(__xludf.DUMMYFUNCTION("REGEXMATCH(A299,""(?i)ratio"")"),FALSE)</f>
        <v>0</v>
      </c>
      <c r="E299" s="9" t="b">
        <f>IFERROR(__xludf.DUMMYFUNCTION("REGEXMATCH(A299,""(?i)relationship"")"),FALSE)</f>
        <v>0</v>
      </c>
      <c r="F299" s="12"/>
      <c r="G299" s="17"/>
      <c r="H299" s="17" t="s">
        <v>1710</v>
      </c>
      <c r="I299" s="31"/>
      <c r="J299" s="31"/>
      <c r="K299" s="12"/>
      <c r="L299" s="12"/>
      <c r="M299" s="32"/>
      <c r="N299" s="13" t="str">
        <f t="shared" si="23"/>
        <v/>
      </c>
      <c r="O299" s="14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>
      <c r="A300" s="33" t="s">
        <v>1054</v>
      </c>
      <c r="B300" s="27" t="str">
        <f>VLOOKUP(A300,Quantities!A:B,2,false)</f>
        <v>Neutron Magnetic Moment To Bohr Magneton Ratio</v>
      </c>
      <c r="C300" s="9">
        <f>countif(Quantities!A:A,A300)</f>
        <v>1</v>
      </c>
      <c r="D300" s="9" t="b">
        <f>IFERROR(__xludf.DUMMYFUNCTION("REGEXMATCH(A300,""(?i)ratio"")"),TRUE)</f>
        <v>1</v>
      </c>
      <c r="E300" s="9" t="b">
        <f>IFERROR(__xludf.DUMMYFUNCTION("REGEXMATCH(A300,""(?i)relationship"")"),FALSE)</f>
        <v>0</v>
      </c>
      <c r="F300" s="12"/>
      <c r="G300" s="17"/>
      <c r="H300" s="17" t="s">
        <v>1713</v>
      </c>
      <c r="I300" s="31"/>
      <c r="J300" s="31"/>
      <c r="K300" s="12"/>
      <c r="L300" s="12"/>
      <c r="M300" s="32"/>
      <c r="N300" s="13" t="str">
        <f t="shared" si="23"/>
        <v/>
      </c>
      <c r="O300" s="14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>
      <c r="A301" s="33" t="s">
        <v>1059</v>
      </c>
      <c r="B301" s="27" t="str">
        <f>VLOOKUP(A301,Quantities!A:B,2,false)</f>
        <v>Neutron Magnetic Moment To Nuclear Magneton Ratio</v>
      </c>
      <c r="C301" s="9">
        <f>countif(Quantities!A:A,A301)</f>
        <v>1</v>
      </c>
      <c r="D301" s="9" t="b">
        <f>IFERROR(__xludf.DUMMYFUNCTION("REGEXMATCH(A301,""(?i)ratio"")"),TRUE)</f>
        <v>1</v>
      </c>
      <c r="E301" s="9" t="b">
        <f>IFERROR(__xludf.DUMMYFUNCTION("REGEXMATCH(A301,""(?i)relationship"")"),FALSE)</f>
        <v>0</v>
      </c>
      <c r="F301" s="12"/>
      <c r="G301" s="17"/>
      <c r="H301" s="17" t="s">
        <v>1719</v>
      </c>
      <c r="I301" s="31"/>
      <c r="J301" s="31"/>
      <c r="K301" s="12"/>
      <c r="L301" s="12"/>
      <c r="M301" s="32"/>
      <c r="N301" s="13" t="str">
        <f t="shared" si="23"/>
        <v/>
      </c>
      <c r="O301" s="14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>
      <c r="A302" s="33" t="s">
        <v>1062</v>
      </c>
      <c r="B302" s="27" t="str">
        <f>VLOOKUP(A302,Quantities!A:B,2,false)</f>
        <v>Neutron Mass</v>
      </c>
      <c r="C302" s="9">
        <f>countif(Quantities!A:A,A302)</f>
        <v>1</v>
      </c>
      <c r="D302" s="9" t="b">
        <f>IFERROR(__xludf.DUMMYFUNCTION("REGEXMATCH(A302,""(?i)ratio"")"),FALSE)</f>
        <v>0</v>
      </c>
      <c r="E302" s="9" t="b">
        <f>IFERROR(__xludf.DUMMYFUNCTION("REGEXMATCH(A302,""(?i)relationship"")"),FALSE)</f>
        <v>0</v>
      </c>
      <c r="F302" s="12"/>
      <c r="G302" s="17"/>
      <c r="H302" s="17" t="s">
        <v>1721</v>
      </c>
      <c r="I302" s="31"/>
      <c r="J302" s="31"/>
      <c r="K302" s="12"/>
      <c r="L302" s="12"/>
      <c r="M302" s="32"/>
      <c r="N302" s="13" t="str">
        <f t="shared" si="23"/>
        <v/>
      </c>
      <c r="O302" s="14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>
      <c r="A303" s="17" t="s">
        <v>1066</v>
      </c>
      <c r="B303" s="27" t="str">
        <f>VLOOKUP(A303,Quantities!A:B,2,false)</f>
        <v>Neutron Mass Energy Equivalent</v>
      </c>
      <c r="C303" s="9">
        <f>countif(Quantities!A:A,A303)</f>
        <v>1</v>
      </c>
      <c r="D303" s="9" t="b">
        <f>IFERROR(__xludf.DUMMYFUNCTION("REGEXMATCH(A303,""(?i)ratio"")"),FALSE)</f>
        <v>0</v>
      </c>
      <c r="E303" s="9" t="b">
        <f>IFERROR(__xludf.DUMMYFUNCTION("REGEXMATCH(A303,""(?i)relationship"")"),FALSE)</f>
        <v>0</v>
      </c>
      <c r="F303" s="12"/>
      <c r="G303" s="17"/>
      <c r="H303" s="17" t="s">
        <v>1725</v>
      </c>
      <c r="I303" s="31"/>
      <c r="J303" s="31"/>
      <c r="K303" s="12"/>
      <c r="L303" s="12"/>
      <c r="M303" s="32"/>
      <c r="N303" s="13" t="str">
        <f t="shared" si="23"/>
        <v/>
      </c>
      <c r="O303" s="14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>
      <c r="A304" s="33" t="s">
        <v>1068</v>
      </c>
      <c r="B304" s="27" t="str">
        <f>VLOOKUP(A304,Quantities!A:B,2,false)</f>
        <v>Neutron Molar Mass</v>
      </c>
      <c r="C304" s="9">
        <f>countif(Quantities!A:A,A304)</f>
        <v>1</v>
      </c>
      <c r="D304" s="9" t="b">
        <f>IFERROR(__xludf.DUMMYFUNCTION("REGEXMATCH(A304,""(?i)ratio"")"),FALSE)</f>
        <v>0</v>
      </c>
      <c r="E304" s="9" t="b">
        <f>IFERROR(__xludf.DUMMYFUNCTION("REGEXMATCH(A304,""(?i)relationship"")"),FALSE)</f>
        <v>0</v>
      </c>
      <c r="F304" s="12"/>
      <c r="G304" s="17"/>
      <c r="H304" s="17" t="s">
        <v>1728</v>
      </c>
      <c r="I304" s="31"/>
      <c r="J304" s="31"/>
      <c r="K304" s="12"/>
      <c r="L304" s="12"/>
      <c r="M304" s="32"/>
      <c r="N304" s="13" t="str">
        <f t="shared" si="23"/>
        <v/>
      </c>
      <c r="O304" s="14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>
      <c r="A305" s="33" t="s">
        <v>1070</v>
      </c>
      <c r="B305" s="27" t="str">
        <f>VLOOKUP(A305,Quantities!A:B,2,false)</f>
        <v>Neutron - Muon Mass Ratio</v>
      </c>
      <c r="C305" s="9">
        <f>countif(Quantities!A:A,A305)</f>
        <v>1</v>
      </c>
      <c r="D305" s="9" t="b">
        <f>IFERROR(__xludf.DUMMYFUNCTION("REGEXMATCH(A305,""(?i)ratio"")"),TRUE)</f>
        <v>1</v>
      </c>
      <c r="E305" s="9" t="b">
        <f>IFERROR(__xludf.DUMMYFUNCTION("REGEXMATCH(A305,""(?i)relationship"")"),FALSE)</f>
        <v>0</v>
      </c>
      <c r="F305" s="12"/>
      <c r="G305" s="17"/>
      <c r="H305" s="17" t="s">
        <v>1737</v>
      </c>
      <c r="I305" s="31"/>
      <c r="J305" s="31"/>
      <c r="K305" s="12"/>
      <c r="L305" s="12"/>
      <c r="M305" s="32"/>
      <c r="N305" s="13" t="str">
        <f t="shared" si="23"/>
        <v/>
      </c>
      <c r="O305" s="14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>
      <c r="A306" s="33" t="s">
        <v>1074</v>
      </c>
      <c r="B306" s="27" t="str">
        <f>VLOOKUP(A306,Quantities!A:B,2,false)</f>
        <v>Neutron - Proton Magnetic Moment Ratio</v>
      </c>
      <c r="C306" s="9">
        <f>countif(Quantities!A:A,A306)</f>
        <v>1</v>
      </c>
      <c r="D306" s="9" t="b">
        <f>IFERROR(__xludf.DUMMYFUNCTION("REGEXMATCH(A306,""(?i)ratio"")"),TRUE)</f>
        <v>1</v>
      </c>
      <c r="E306" s="9" t="b">
        <f>IFERROR(__xludf.DUMMYFUNCTION("REGEXMATCH(A306,""(?i)relationship"")"),FALSE)</f>
        <v>0</v>
      </c>
      <c r="F306" s="12"/>
      <c r="G306" s="17"/>
      <c r="H306" s="17" t="s">
        <v>1741</v>
      </c>
      <c r="I306" s="31"/>
      <c r="J306" s="31"/>
      <c r="K306" s="12"/>
      <c r="L306" s="12"/>
      <c r="M306" s="32"/>
      <c r="N306" s="13" t="str">
        <f t="shared" si="23"/>
        <v/>
      </c>
      <c r="O306" s="14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>
      <c r="A307" s="22" t="s">
        <v>1079</v>
      </c>
      <c r="B307" s="27" t="str">
        <f>VLOOKUP(A307,Quantities!A:B,2,false)</f>
        <v>Neutron - Proton Mass Difference</v>
      </c>
      <c r="C307" s="9">
        <f>countif(Quantities!A:A,A307)</f>
        <v>1</v>
      </c>
      <c r="D307" s="9" t="b">
        <f>IFERROR(__xludf.DUMMYFUNCTION("REGEXMATCH(A307,""(?i)ratio"")"),FALSE)</f>
        <v>0</v>
      </c>
      <c r="E307" s="9" t="b">
        <f>IFERROR(__xludf.DUMMYFUNCTION("REGEXMATCH(A307,""(?i)relationship"")"),FALSE)</f>
        <v>0</v>
      </c>
      <c r="F307" s="12"/>
      <c r="G307" s="17"/>
      <c r="H307" s="17" t="s">
        <v>1744</v>
      </c>
      <c r="I307" s="31"/>
      <c r="J307" s="31"/>
      <c r="K307" s="12"/>
      <c r="L307" s="12"/>
      <c r="M307" s="32"/>
      <c r="N307" s="13" t="str">
        <f t="shared" si="23"/>
        <v/>
      </c>
      <c r="O307" s="14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>
      <c r="A308" s="17" t="s">
        <v>1081</v>
      </c>
      <c r="B308" s="27" t="str">
        <f>VLOOKUP(A308,Quantities!A:B,2,false)</f>
        <v>Neutron - Proton Mass Difference Energy Equivalent</v>
      </c>
      <c r="C308" s="9">
        <f>countif(Quantities!A:A,A308)</f>
        <v>1</v>
      </c>
      <c r="D308" s="9" t="b">
        <f>IFERROR(__xludf.DUMMYFUNCTION("REGEXMATCH(A308,""(?i)ratio"")"),FALSE)</f>
        <v>0</v>
      </c>
      <c r="E308" s="9" t="b">
        <f>IFERROR(__xludf.DUMMYFUNCTION("REGEXMATCH(A308,""(?i)relationship"")"),FALSE)</f>
        <v>0</v>
      </c>
      <c r="F308" s="12"/>
      <c r="G308" s="17"/>
      <c r="H308" s="17" t="s">
        <v>1748</v>
      </c>
      <c r="I308" s="31"/>
      <c r="J308" s="31"/>
      <c r="K308" s="12"/>
      <c r="L308" s="12"/>
      <c r="M308" s="32"/>
      <c r="N308" s="13" t="str">
        <f t="shared" si="23"/>
        <v/>
      </c>
      <c r="O308" s="14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>
      <c r="A309" s="33" t="s">
        <v>1083</v>
      </c>
      <c r="B309" s="27" t="str">
        <f>VLOOKUP(A309,Quantities!A:B,2,false)</f>
        <v>Neutron - Proton Mass Ratio</v>
      </c>
      <c r="C309" s="9">
        <f>countif(Quantities!A:A,A309)</f>
        <v>1</v>
      </c>
      <c r="D309" s="9" t="b">
        <f>IFERROR(__xludf.DUMMYFUNCTION("REGEXMATCH(A309,""(?i)ratio"")"),TRUE)</f>
        <v>1</v>
      </c>
      <c r="E309" s="9" t="b">
        <f>IFERROR(__xludf.DUMMYFUNCTION("REGEXMATCH(A309,""(?i)relationship"")"),FALSE)</f>
        <v>0</v>
      </c>
      <c r="F309" s="12"/>
      <c r="G309" s="17"/>
      <c r="H309" s="17" t="s">
        <v>1751</v>
      </c>
      <c r="I309" s="31"/>
      <c r="J309" s="31"/>
      <c r="K309" s="12"/>
      <c r="L309" s="12"/>
      <c r="M309" s="32"/>
      <c r="N309" s="13" t="str">
        <f t="shared" si="23"/>
        <v/>
      </c>
      <c r="O309" s="14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>
      <c r="A310" s="33" t="s">
        <v>1085</v>
      </c>
      <c r="B310" s="27" t="str">
        <f>VLOOKUP(A310,Quantities!A:B,2,false)</f>
        <v>Neutron Relative Atomic Mass</v>
      </c>
      <c r="C310" s="9">
        <f>countif(Quantities!A:A,A310)</f>
        <v>1</v>
      </c>
      <c r="D310" s="9" t="b">
        <f>IFERROR(__xludf.DUMMYFUNCTION("REGEXMATCH(A310,""(?i)ratio"")"),FALSE)</f>
        <v>0</v>
      </c>
      <c r="E310" s="9" t="b">
        <f>IFERROR(__xludf.DUMMYFUNCTION("REGEXMATCH(A310,""(?i)relationship"")"),FALSE)</f>
        <v>0</v>
      </c>
      <c r="F310" s="12"/>
      <c r="G310" s="17"/>
      <c r="H310" s="17" t="s">
        <v>1756</v>
      </c>
      <c r="I310" s="31"/>
      <c r="J310" s="31"/>
      <c r="K310" s="12"/>
      <c r="L310" s="12"/>
      <c r="M310" s="32"/>
      <c r="N310" s="13" t="str">
        <f t="shared" si="23"/>
        <v/>
      </c>
      <c r="O310" s="14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>
      <c r="A311" s="33" t="s">
        <v>1088</v>
      </c>
      <c r="B311" s="27" t="str">
        <f>VLOOKUP(A311,Quantities!A:B,2,false)</f>
        <v>Neutron - Tau Mass Ratio</v>
      </c>
      <c r="C311" s="9">
        <f>countif(Quantities!A:A,A311)</f>
        <v>1</v>
      </c>
      <c r="D311" s="9" t="b">
        <f>IFERROR(__xludf.DUMMYFUNCTION("REGEXMATCH(A311,""(?i)ratio"")"),TRUE)</f>
        <v>1</v>
      </c>
      <c r="E311" s="9" t="b">
        <f>IFERROR(__xludf.DUMMYFUNCTION("REGEXMATCH(A311,""(?i)relationship"")"),FALSE)</f>
        <v>0</v>
      </c>
      <c r="F311" s="12"/>
      <c r="G311" s="17"/>
      <c r="H311" s="17" t="s">
        <v>1759</v>
      </c>
      <c r="I311" s="31"/>
      <c r="J311" s="31"/>
      <c r="K311" s="12"/>
      <c r="L311" s="12"/>
      <c r="M311" s="32"/>
      <c r="N311" s="13" t="str">
        <f t="shared" si="23"/>
        <v/>
      </c>
      <c r="O311" s="14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>
      <c r="A312" s="33" t="s">
        <v>1092</v>
      </c>
      <c r="B312" s="27" t="str">
        <f>VLOOKUP(A312,Quantities!A:B,2,false)</f>
        <v>Neutron To Shielded Proton Magnetic Moment Ratio</v>
      </c>
      <c r="C312" s="9">
        <f>countif(Quantities!A:A,A312)</f>
        <v>1</v>
      </c>
      <c r="D312" s="9" t="b">
        <f>IFERROR(__xludf.DUMMYFUNCTION("REGEXMATCH(A312,""(?i)ratio"")"),TRUE)</f>
        <v>1</v>
      </c>
      <c r="E312" s="9" t="b">
        <f>IFERROR(__xludf.DUMMYFUNCTION("REGEXMATCH(A312,""(?i)relationship"")"),FALSE)</f>
        <v>0</v>
      </c>
      <c r="F312" s="12"/>
      <c r="G312" s="17"/>
      <c r="H312" s="17" t="s">
        <v>1765</v>
      </c>
      <c r="I312" s="31"/>
      <c r="J312" s="31"/>
      <c r="K312" s="12"/>
      <c r="L312" s="12"/>
      <c r="M312" s="32"/>
      <c r="N312" s="13" t="str">
        <f t="shared" si="23"/>
        <v/>
      </c>
      <c r="O312" s="14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>
      <c r="A313" s="6" t="s">
        <v>1766</v>
      </c>
      <c r="B313" s="6" t="s">
        <v>1766</v>
      </c>
      <c r="C313" s="9">
        <f>countif(Quantities!A:A,A313)</f>
        <v>0</v>
      </c>
      <c r="D313" s="9" t="b">
        <f>IFERROR(__xludf.DUMMYFUNCTION("REGEXMATCH(A313,""(?i)ratio"")"),FALSE)</f>
        <v>0</v>
      </c>
      <c r="E313" s="9" t="b">
        <f>IFERROR(__xludf.DUMMYFUNCTION("REGEXMATCH(A313,""(?i)relationship"")"),FALSE)</f>
        <v>0</v>
      </c>
      <c r="F313" s="6"/>
      <c r="G313" s="12"/>
      <c r="H313" s="12"/>
      <c r="I313" s="12"/>
      <c r="J313" s="12"/>
      <c r="K313" s="12"/>
      <c r="L313" s="12"/>
      <c r="M313" s="13"/>
      <c r="N313" s="13"/>
      <c r="O313" s="20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>
      <c r="A314" s="33" t="s">
        <v>1094</v>
      </c>
      <c r="B314" s="27" t="str">
        <f>VLOOKUP(A314,Quantities!A:B,2,false)</f>
        <v>Newtonian Constant Of Gravitation</v>
      </c>
      <c r="C314" s="9">
        <f>countif(Quantities!A:A,A314)</f>
        <v>1</v>
      </c>
      <c r="D314" s="9" t="b">
        <f>IFERROR(__xludf.DUMMYFUNCTION("REGEXMATCH(A314,""(?i)ratio"")"),FALSE)</f>
        <v>0</v>
      </c>
      <c r="E314" s="9" t="b">
        <f>IFERROR(__xludf.DUMMYFUNCTION("REGEXMATCH(A314,""(?i)relationship"")"),FALSE)</f>
        <v>0</v>
      </c>
      <c r="F314" s="12"/>
      <c r="G314" s="17"/>
      <c r="H314" s="17" t="s">
        <v>1771</v>
      </c>
      <c r="I314" s="31"/>
      <c r="J314" s="31"/>
      <c r="K314" s="12"/>
      <c r="L314" s="12"/>
      <c r="M314" s="32"/>
      <c r="N314" s="13" t="str">
        <f t="shared" ref="N314:N315" si="24">if(isblank(M314),"",hyperlink("https://www.wikidata.org/wiki/"&amp;M314,M314))</f>
        <v/>
      </c>
      <c r="O314" s="14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>
      <c r="A315" s="33" t="s">
        <v>1098</v>
      </c>
      <c r="B315" s="27" t="str">
        <f>VLOOKUP(A315,Quantities!A:B,2,false)</f>
        <v>Nuclear Magneton</v>
      </c>
      <c r="C315" s="9">
        <f>countif(Quantities!A:A,A315)</f>
        <v>1</v>
      </c>
      <c r="D315" s="9" t="b">
        <f>IFERROR(__xludf.DUMMYFUNCTION("REGEXMATCH(A315,""(?i)ratio"")"),FALSE)</f>
        <v>0</v>
      </c>
      <c r="E315" s="9" t="b">
        <f>IFERROR(__xludf.DUMMYFUNCTION("REGEXMATCH(A315,""(?i)relationship"")"),FALSE)</f>
        <v>0</v>
      </c>
      <c r="F315" s="12"/>
      <c r="G315" s="17"/>
      <c r="I315" s="31"/>
      <c r="J315" s="31"/>
      <c r="K315" s="12"/>
      <c r="L315" s="12"/>
      <c r="M315" s="32"/>
      <c r="N315" s="13" t="str">
        <f t="shared" si="24"/>
        <v/>
      </c>
      <c r="O315" s="14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>
      <c r="A316" s="6" t="s">
        <v>1780</v>
      </c>
      <c r="B316" s="6" t="s">
        <v>1780</v>
      </c>
      <c r="C316" s="9">
        <f>countif(Quantities!A:A,A316)</f>
        <v>0</v>
      </c>
      <c r="D316" s="9" t="b">
        <f>IFERROR(__xludf.DUMMYFUNCTION("REGEXMATCH(A316,""(?i)ratio"")"),TRUE)</f>
        <v>1</v>
      </c>
      <c r="E316" s="9" t="b">
        <f>IFERROR(__xludf.DUMMYFUNCTION("REGEXMATCH(A316,""(?i)relationship"")"),FALSE)</f>
        <v>0</v>
      </c>
      <c r="F316" s="12"/>
      <c r="G316" s="12"/>
      <c r="H316" s="17" t="s">
        <v>1784</v>
      </c>
      <c r="I316" s="12"/>
      <c r="J316" s="12"/>
      <c r="K316" s="12"/>
      <c r="L316" s="12"/>
      <c r="M316" s="32"/>
      <c r="N316" s="13"/>
      <c r="O316" s="14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>
      <c r="A317" s="6" t="s">
        <v>506</v>
      </c>
      <c r="B317" s="6" t="s">
        <v>506</v>
      </c>
      <c r="C317" s="9">
        <f>countif(Quantities!A:A,A317)</f>
        <v>0</v>
      </c>
      <c r="D317" s="9" t="b">
        <f>IFERROR(__xludf.DUMMYFUNCTION("REGEXMATCH(A317,""(?i)ratio"")"),FALSE)</f>
        <v>0</v>
      </c>
      <c r="E317" s="9" t="b">
        <f>IFERROR(__xludf.DUMMYFUNCTION("REGEXMATCH(A317,""(?i)relationship"")"),FALSE)</f>
        <v>0</v>
      </c>
      <c r="F317" s="6"/>
      <c r="G317" s="12"/>
      <c r="H317" s="12"/>
      <c r="I317" s="12"/>
      <c r="J317" s="12"/>
      <c r="K317" s="12"/>
      <c r="L317" s="12"/>
      <c r="M317" s="13"/>
      <c r="N317" s="13"/>
      <c r="O317" s="20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>
      <c r="A318" s="6" t="s">
        <v>57</v>
      </c>
      <c r="B318" s="6" t="s">
        <v>57</v>
      </c>
      <c r="C318" s="9">
        <f>countif(Quantities!A:A,A318)</f>
        <v>0</v>
      </c>
      <c r="D318" s="9" t="b">
        <f>IFERROR(__xludf.DUMMYFUNCTION("REGEXMATCH(A318,""(?i)ratio"")"),FALSE)</f>
        <v>0</v>
      </c>
      <c r="E318" s="9" t="b">
        <f>IFERROR(__xludf.DUMMYFUNCTION("REGEXMATCH(A318,""(?i)relationship"")"),FALSE)</f>
        <v>0</v>
      </c>
      <c r="F318" s="12"/>
      <c r="G318" s="12"/>
      <c r="H318" s="12"/>
      <c r="I318" s="12"/>
      <c r="J318" s="12"/>
      <c r="K318" s="12"/>
      <c r="L318" s="12"/>
      <c r="M318" s="32"/>
      <c r="N318" s="13" t="str">
        <f t="shared" ref="N318:N319" si="25">if(isblank(M318),"",hyperlink("https://www.wikidata.org/wiki/"&amp;M318,M318))</f>
        <v/>
      </c>
      <c r="O318" s="14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>
      <c r="A319" s="6" t="s">
        <v>1791</v>
      </c>
      <c r="B319" s="6" t="s">
        <v>1792</v>
      </c>
      <c r="C319" s="9">
        <f>countif(Quantities!A:A,A319)</f>
        <v>0</v>
      </c>
      <c r="D319" s="9" t="b">
        <f>IFERROR(__xludf.DUMMYFUNCTION("REGEXMATCH(A319,""(?i)ratio"")"),TRUE)</f>
        <v>1</v>
      </c>
      <c r="E319" s="9" t="b">
        <f>IFERROR(__xludf.DUMMYFUNCTION("REGEXMATCH(A319,""(?i)relationship"")"),FALSE)</f>
        <v>0</v>
      </c>
      <c r="F319" s="6"/>
      <c r="G319" s="6"/>
      <c r="H319" s="6" t="s">
        <v>1793</v>
      </c>
      <c r="I319" s="6"/>
      <c r="J319" s="6"/>
      <c r="K319" s="6"/>
      <c r="L319" s="6"/>
      <c r="M319" s="32"/>
      <c r="N319" s="13" t="str">
        <f t="shared" si="25"/>
        <v/>
      </c>
      <c r="O319" s="14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>
      <c r="A320" s="6" t="s">
        <v>848</v>
      </c>
      <c r="B320" s="6" t="s">
        <v>848</v>
      </c>
      <c r="C320" s="9">
        <f>countif(Quantities!A:A,A320)</f>
        <v>0</v>
      </c>
      <c r="D320" s="9" t="b">
        <f>IFERROR(__xludf.DUMMYFUNCTION("REGEXMATCH(A320,""(?i)ratio"")"),FALSE)</f>
        <v>0</v>
      </c>
      <c r="E320" s="9" t="b">
        <f>IFERROR(__xludf.DUMMYFUNCTION("REGEXMATCH(A320,""(?i)relationship"")"),FALSE)</f>
        <v>0</v>
      </c>
      <c r="F320" s="6"/>
      <c r="G320" s="12"/>
      <c r="H320" s="12"/>
      <c r="I320" s="12"/>
      <c r="J320" s="12"/>
      <c r="K320" s="12"/>
      <c r="L320" s="12"/>
      <c r="M320" s="13"/>
      <c r="N320" s="13"/>
      <c r="O320" s="20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>
      <c r="A321" s="16" t="s">
        <v>1796</v>
      </c>
      <c r="B321" s="16" t="s">
        <v>1796</v>
      </c>
      <c r="C321" s="9">
        <f>countif(Quantities!A:A,A321)</f>
        <v>0</v>
      </c>
      <c r="D321" s="9" t="b">
        <f>IFERROR(__xludf.DUMMYFUNCTION("REGEXMATCH(A321,""(?i)ratio"")"),FALSE)</f>
        <v>0</v>
      </c>
      <c r="E321" s="9" t="b">
        <f>IFERROR(__xludf.DUMMYFUNCTION("REGEXMATCH(A321,""(?i)relationship"")"),FALSE)</f>
        <v>0</v>
      </c>
      <c r="F321" s="6"/>
      <c r="G321" s="12"/>
      <c r="H321" s="12"/>
      <c r="I321" s="12"/>
      <c r="J321" s="12"/>
      <c r="K321" s="12"/>
      <c r="L321" s="12"/>
      <c r="M321" s="32"/>
      <c r="N321" s="13" t="str">
        <f t="shared" ref="N321:N322" si="26">if(isblank(M321),"",hyperlink("https://www.wikidata.org/wiki/"&amp;M321,M321))</f>
        <v/>
      </c>
      <c r="O321" s="14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>
      <c r="A322" s="33" t="s">
        <v>813</v>
      </c>
      <c r="B322" s="27" t="str">
        <f>VLOOKUP(A322,Quantities!A:B,2,false)</f>
        <v>Vacuum Electric Permittivity</v>
      </c>
      <c r="C322" s="9">
        <f>countif(Quantities!A:A,A322)</f>
        <v>1</v>
      </c>
      <c r="D322" s="9" t="b">
        <f>IFERROR(__xludf.DUMMYFUNCTION("REGEXMATCH(A322,""(?i)ratio"")"),FALSE)</f>
        <v>0</v>
      </c>
      <c r="E322" s="9" t="b">
        <f>IFERROR(__xludf.DUMMYFUNCTION("REGEXMATCH(A322,""(?i)relationship"")"),FALSE)</f>
        <v>0</v>
      </c>
      <c r="F322" s="12"/>
      <c r="G322" s="17"/>
      <c r="H322" s="17" t="s">
        <v>1805</v>
      </c>
      <c r="I322" s="56"/>
      <c r="J322" s="56" t="s">
        <v>805</v>
      </c>
      <c r="K322" s="12"/>
      <c r="L322" s="12"/>
      <c r="M322" s="32"/>
      <c r="N322" s="13" t="str">
        <f t="shared" si="26"/>
        <v/>
      </c>
      <c r="O322" s="14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>
      <c r="A323" s="6" t="s">
        <v>1809</v>
      </c>
      <c r="B323" s="6" t="s">
        <v>1809</v>
      </c>
      <c r="C323" s="9">
        <f>countif(Quantities!A:A,A323)</f>
        <v>0</v>
      </c>
      <c r="D323" s="9" t="b">
        <f>IFERROR(__xludf.DUMMYFUNCTION("REGEXMATCH(A323,""(?i)ratio"")"),FALSE)</f>
        <v>0</v>
      </c>
      <c r="E323" s="9" t="b">
        <f>IFERROR(__xludf.DUMMYFUNCTION("REGEXMATCH(A323,""(?i)relationship"")"),FALSE)</f>
        <v>0</v>
      </c>
      <c r="F323" s="6"/>
      <c r="G323" s="12"/>
      <c r="H323" s="12"/>
      <c r="I323" s="12"/>
      <c r="J323" s="12"/>
      <c r="K323" s="12"/>
      <c r="L323" s="12"/>
      <c r="M323" s="13"/>
      <c r="N323" s="13"/>
      <c r="O323" s="20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>
      <c r="A324" s="33" t="s">
        <v>1105</v>
      </c>
      <c r="B324" s="27" t="str">
        <f>VLOOKUP(A324,Quantities!A:B,2,false)</f>
        <v>Planck Constant</v>
      </c>
      <c r="C324" s="9">
        <f>countif(Quantities!A:A,A324)</f>
        <v>1</v>
      </c>
      <c r="D324" s="9" t="b">
        <f>IFERROR(__xludf.DUMMYFUNCTION("REGEXMATCH(A324,""(?i)ratio"")"),FALSE)</f>
        <v>0</v>
      </c>
      <c r="E324" s="9" t="b">
        <f>IFERROR(__xludf.DUMMYFUNCTION("REGEXMATCH(A324,""(?i)relationship"")"),FALSE)</f>
        <v>0</v>
      </c>
      <c r="F324" s="12"/>
      <c r="G324" s="17" t="s">
        <v>494</v>
      </c>
      <c r="H324" s="17" t="s">
        <v>1809</v>
      </c>
      <c r="I324" s="31"/>
      <c r="J324" s="31"/>
      <c r="K324" s="12"/>
      <c r="L324" s="12"/>
      <c r="M324" s="32"/>
      <c r="N324" s="13" t="str">
        <f t="shared" ref="N324:N349" si="27">if(isblank(M324),"",hyperlink("https://www.wikidata.org/wiki/"&amp;M324,M324))</f>
        <v/>
      </c>
      <c r="O324" s="14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>
      <c r="A325" s="33" t="s">
        <v>1112</v>
      </c>
      <c r="B325" s="27" t="str">
        <f>VLOOKUP(A325,Quantities!A:B,2,false)</f>
        <v>Planck Length</v>
      </c>
      <c r="C325" s="9">
        <f>countif(Quantities!A:A,A325)</f>
        <v>1</v>
      </c>
      <c r="D325" s="9" t="b">
        <f>IFERROR(__xludf.DUMMYFUNCTION("REGEXMATCH(A325,""(?i)ratio"")"),FALSE)</f>
        <v>0</v>
      </c>
      <c r="E325" s="9" t="b">
        <f>IFERROR(__xludf.DUMMYFUNCTION("REGEXMATCH(A325,""(?i)relationship"")"),FALSE)</f>
        <v>0</v>
      </c>
      <c r="F325" s="12"/>
      <c r="G325" s="17"/>
      <c r="H325" s="17" t="s">
        <v>1809</v>
      </c>
      <c r="I325" s="31"/>
      <c r="J325" s="31"/>
      <c r="K325" s="12"/>
      <c r="L325" s="12"/>
      <c r="M325" s="32"/>
      <c r="N325" s="13" t="str">
        <f t="shared" si="27"/>
        <v/>
      </c>
      <c r="O325" s="14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>
      <c r="A326" s="33" t="s">
        <v>1115</v>
      </c>
      <c r="B326" s="27" t="str">
        <f>VLOOKUP(A326,Quantities!A:B,2,false)</f>
        <v>Planck Mass</v>
      </c>
      <c r="C326" s="9">
        <f>countif(Quantities!A:A,A326)</f>
        <v>1</v>
      </c>
      <c r="D326" s="9" t="b">
        <f>IFERROR(__xludf.DUMMYFUNCTION("REGEXMATCH(A326,""(?i)ratio"")"),FALSE)</f>
        <v>0</v>
      </c>
      <c r="E326" s="9" t="b">
        <f>IFERROR(__xludf.DUMMYFUNCTION("REGEXMATCH(A326,""(?i)relationship"")"),FALSE)</f>
        <v>0</v>
      </c>
      <c r="F326" s="12"/>
      <c r="G326" s="17"/>
      <c r="H326" s="17" t="s">
        <v>1809</v>
      </c>
      <c r="I326" s="31"/>
      <c r="J326" s="31"/>
      <c r="K326" s="12"/>
      <c r="L326" s="12"/>
      <c r="M326" s="32"/>
      <c r="N326" s="13" t="str">
        <f t="shared" si="27"/>
        <v/>
      </c>
      <c r="O326" s="14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>
      <c r="A327" s="33" t="s">
        <v>1118</v>
      </c>
      <c r="B327" s="27" t="str">
        <f>VLOOKUP(A327,Quantities!A:B,2,false)</f>
        <v>Planck Temperature</v>
      </c>
      <c r="C327" s="9">
        <f>countif(Quantities!A:A,A327)</f>
        <v>1</v>
      </c>
      <c r="D327" s="9" t="b">
        <f>IFERROR(__xludf.DUMMYFUNCTION("REGEXMATCH(A327,""(?i)ratio"")"),FALSE)</f>
        <v>0</v>
      </c>
      <c r="E327" s="9" t="b">
        <f>IFERROR(__xludf.DUMMYFUNCTION("REGEXMATCH(A327,""(?i)relationship"")"),FALSE)</f>
        <v>0</v>
      </c>
      <c r="F327" s="12"/>
      <c r="G327" s="17"/>
      <c r="H327" s="17" t="s">
        <v>1809</v>
      </c>
      <c r="I327" s="31"/>
      <c r="J327" s="31"/>
      <c r="K327" s="12"/>
      <c r="L327" s="12"/>
      <c r="M327" s="32"/>
      <c r="N327" s="13" t="str">
        <f t="shared" si="27"/>
        <v/>
      </c>
      <c r="O327" s="14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>
      <c r="A328" s="33" t="s">
        <v>1121</v>
      </c>
      <c r="B328" s="27" t="str">
        <f>VLOOKUP(A328,Quantities!A:B,2,false)</f>
        <v>Planck Time</v>
      </c>
      <c r="C328" s="9">
        <f>countif(Quantities!A:A,A328)</f>
        <v>1</v>
      </c>
      <c r="D328" s="9" t="b">
        <f>IFERROR(__xludf.DUMMYFUNCTION("REGEXMATCH(A328,""(?i)ratio"")"),FALSE)</f>
        <v>0</v>
      </c>
      <c r="E328" s="9" t="b">
        <f>IFERROR(__xludf.DUMMYFUNCTION("REGEXMATCH(A328,""(?i)relationship"")"),FALSE)</f>
        <v>0</v>
      </c>
      <c r="F328" s="12"/>
      <c r="G328" s="17"/>
      <c r="H328" s="17" t="s">
        <v>1809</v>
      </c>
      <c r="I328" s="31"/>
      <c r="J328" s="31"/>
      <c r="K328" s="12"/>
      <c r="L328" s="12"/>
      <c r="M328" s="32"/>
      <c r="N328" s="13" t="str">
        <f t="shared" si="27"/>
        <v/>
      </c>
      <c r="O328" s="14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>
      <c r="A329" s="6" t="s">
        <v>1836</v>
      </c>
      <c r="B329" s="6" t="s">
        <v>1836</v>
      </c>
      <c r="C329" s="9">
        <f>countif(Quantities!A:A,A329)</f>
        <v>0</v>
      </c>
      <c r="D329" s="9" t="b">
        <f>IFERROR(__xludf.DUMMYFUNCTION("REGEXMATCH(A329,""(?i)ratio"")"),FALSE)</f>
        <v>0</v>
      </c>
      <c r="E329" s="9" t="b">
        <f>IFERROR(__xludf.DUMMYFUNCTION("REGEXMATCH(A329,""(?i)relationship"")"),FALSE)</f>
        <v>0</v>
      </c>
      <c r="F329" s="6"/>
      <c r="G329" s="6" t="s">
        <v>864</v>
      </c>
      <c r="H329" s="12"/>
      <c r="I329" s="12"/>
      <c r="J329" s="12"/>
      <c r="K329" s="12"/>
      <c r="L329" s="12"/>
      <c r="M329" s="13" t="s">
        <v>1840</v>
      </c>
      <c r="N329" s="25" t="str">
        <f t="shared" si="27"/>
        <v>Q2294</v>
      </c>
      <c r="O329" s="14"/>
      <c r="P329" s="6"/>
      <c r="Q329" s="6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>
      <c r="A330" s="33" t="s">
        <v>1128</v>
      </c>
      <c r="B330" s="27" t="str">
        <f>VLOOKUP(A330,Quantities!A:B,2,false)</f>
        <v>Proton Charge To Mass Quotient</v>
      </c>
      <c r="C330" s="9">
        <f>countif(Quantities!A:A,A330)</f>
        <v>1</v>
      </c>
      <c r="D330" s="9" t="b">
        <f>IFERROR(__xludf.DUMMYFUNCTION("REGEXMATCH(A330,""(?i)ratio"")"),FALSE)</f>
        <v>0</v>
      </c>
      <c r="E330" s="9" t="b">
        <f>IFERROR(__xludf.DUMMYFUNCTION("REGEXMATCH(A330,""(?i)relationship"")"),FALSE)</f>
        <v>0</v>
      </c>
      <c r="F330" s="12"/>
      <c r="G330" s="17"/>
      <c r="H330" s="17" t="s">
        <v>1841</v>
      </c>
      <c r="I330" s="31"/>
      <c r="J330" s="31"/>
      <c r="K330" s="12"/>
      <c r="L330" s="12"/>
      <c r="M330" s="32"/>
      <c r="N330" s="13" t="str">
        <f t="shared" si="27"/>
        <v/>
      </c>
      <c r="O330" s="14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>
      <c r="A331" s="33" t="s">
        <v>1131</v>
      </c>
      <c r="B331" s="27" t="str">
        <f>VLOOKUP(A331,Quantities!A:B,2,false)</f>
        <v>Proton Compton Wavelength</v>
      </c>
      <c r="C331" s="9">
        <f>countif(Quantities!A:A,A331)</f>
        <v>1</v>
      </c>
      <c r="D331" s="9" t="b">
        <f>IFERROR(__xludf.DUMMYFUNCTION("REGEXMATCH(A331,""(?i)ratio"")"),FALSE)</f>
        <v>0</v>
      </c>
      <c r="E331" s="9" t="b">
        <f>IFERROR(__xludf.DUMMYFUNCTION("REGEXMATCH(A331,""(?i)relationship"")"),FALSE)</f>
        <v>0</v>
      </c>
      <c r="F331" s="12"/>
      <c r="G331" s="17"/>
      <c r="H331" s="17" t="s">
        <v>1849</v>
      </c>
      <c r="I331" s="31"/>
      <c r="J331" s="31"/>
      <c r="K331" s="12"/>
      <c r="L331" s="12"/>
      <c r="M331" s="32"/>
      <c r="N331" s="13" t="str">
        <f t="shared" si="27"/>
        <v/>
      </c>
      <c r="O331" s="14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>
      <c r="A332" s="33" t="s">
        <v>1134</v>
      </c>
      <c r="B332" s="27" t="str">
        <f>VLOOKUP(A332,Quantities!A:B,2,false)</f>
        <v>Proton-Electron Mass Ratio</v>
      </c>
      <c r="C332" s="9">
        <f>countif(Quantities!A:A,A332)</f>
        <v>1</v>
      </c>
      <c r="D332" s="9" t="b">
        <f>IFERROR(__xludf.DUMMYFUNCTION("REGEXMATCH(A332,""(?i)ratio"")"),TRUE)</f>
        <v>1</v>
      </c>
      <c r="E332" s="9" t="b">
        <f>IFERROR(__xludf.DUMMYFUNCTION("REGEXMATCH(A332,""(?i)relationship"")"),FALSE)</f>
        <v>0</v>
      </c>
      <c r="F332" s="12"/>
      <c r="G332" s="17"/>
      <c r="H332" s="17" t="s">
        <v>1852</v>
      </c>
      <c r="I332" s="31"/>
      <c r="J332" s="31"/>
      <c r="K332" s="12"/>
      <c r="L332" s="12"/>
      <c r="M332" s="32"/>
      <c r="N332" s="13" t="str">
        <f t="shared" si="27"/>
        <v/>
      </c>
      <c r="O332" s="14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>
      <c r="A333" s="33" t="s">
        <v>1137</v>
      </c>
      <c r="B333" s="27" t="str">
        <f>VLOOKUP(A333,Quantities!A:B,2,false)</f>
        <v>Proton G Factor</v>
      </c>
      <c r="C333" s="9">
        <f>countif(Quantities!A:A,A333)</f>
        <v>1</v>
      </c>
      <c r="D333" s="9" t="b">
        <f>IFERROR(__xludf.DUMMYFUNCTION("REGEXMATCH(A333,""(?i)ratio"")"),FALSE)</f>
        <v>0</v>
      </c>
      <c r="E333" s="9" t="b">
        <f>IFERROR(__xludf.DUMMYFUNCTION("REGEXMATCH(A333,""(?i)relationship"")"),FALSE)</f>
        <v>0</v>
      </c>
      <c r="F333" s="12"/>
      <c r="G333" s="17"/>
      <c r="H333" s="17" t="s">
        <v>1858</v>
      </c>
      <c r="I333" s="31"/>
      <c r="J333" s="31"/>
      <c r="K333" s="12"/>
      <c r="L333" s="12"/>
      <c r="M333" s="32"/>
      <c r="N333" s="13" t="str">
        <f t="shared" si="27"/>
        <v/>
      </c>
      <c r="O333" s="14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>
      <c r="A334" s="33" t="s">
        <v>1140</v>
      </c>
      <c r="B334" s="27" t="str">
        <f>VLOOKUP(A334,Quantities!A:B,2,false)</f>
        <v>Proton Gyromagnetic Ratio</v>
      </c>
      <c r="C334" s="9">
        <f>countif(Quantities!A:A,A334)</f>
        <v>1</v>
      </c>
      <c r="D334" s="9" t="b">
        <f>IFERROR(__xludf.DUMMYFUNCTION("REGEXMATCH(A334,""(?i)ratio"")"),TRUE)</f>
        <v>1</v>
      </c>
      <c r="E334" s="9" t="b">
        <f>IFERROR(__xludf.DUMMYFUNCTION("REGEXMATCH(A334,""(?i)relationship"")"),FALSE)</f>
        <v>0</v>
      </c>
      <c r="F334" s="12"/>
      <c r="G334" s="17"/>
      <c r="H334" s="17" t="s">
        <v>1863</v>
      </c>
      <c r="I334" s="31"/>
      <c r="J334" s="31"/>
      <c r="K334" s="12"/>
      <c r="L334" s="12"/>
      <c r="M334" s="32"/>
      <c r="N334" s="13" t="str">
        <f t="shared" si="27"/>
        <v/>
      </c>
      <c r="O334" s="14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>
      <c r="A335" s="33" t="s">
        <v>1143</v>
      </c>
      <c r="B335" s="27" t="str">
        <f>VLOOKUP(A335,Quantities!A:B,2,false)</f>
        <v>Proton Magnetic Moment</v>
      </c>
      <c r="C335" s="9">
        <f>countif(Quantities!A:A,A335)</f>
        <v>1</v>
      </c>
      <c r="D335" s="9" t="b">
        <f>IFERROR(__xludf.DUMMYFUNCTION("REGEXMATCH(A335,""(?i)ratio"")"),FALSE)</f>
        <v>0</v>
      </c>
      <c r="E335" s="9" t="b">
        <f>IFERROR(__xludf.DUMMYFUNCTION("REGEXMATCH(A335,""(?i)relationship"")"),FALSE)</f>
        <v>0</v>
      </c>
      <c r="F335" s="12"/>
      <c r="G335" s="17"/>
      <c r="H335" s="17" t="s">
        <v>1867</v>
      </c>
      <c r="I335" s="31"/>
      <c r="J335" s="31"/>
      <c r="K335" s="12"/>
      <c r="L335" s="12"/>
      <c r="M335" s="32"/>
      <c r="N335" s="13" t="str">
        <f t="shared" si="27"/>
        <v/>
      </c>
      <c r="O335" s="14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>
      <c r="A336" s="33" t="s">
        <v>1148</v>
      </c>
      <c r="B336" s="27" t="str">
        <f>VLOOKUP(A336,Quantities!A:B,2,false)</f>
        <v>Proton Magnetic Moment To Bohr Magneton Ratio</v>
      </c>
      <c r="C336" s="9">
        <f>countif(Quantities!A:A,A336)</f>
        <v>1</v>
      </c>
      <c r="D336" s="9" t="b">
        <f>IFERROR(__xludf.DUMMYFUNCTION("REGEXMATCH(A336,""(?i)ratio"")"),TRUE)</f>
        <v>1</v>
      </c>
      <c r="E336" s="9" t="b">
        <f>IFERROR(__xludf.DUMMYFUNCTION("REGEXMATCH(A336,""(?i)relationship"")"),FALSE)</f>
        <v>0</v>
      </c>
      <c r="F336" s="12"/>
      <c r="G336" s="17"/>
      <c r="H336" s="17" t="s">
        <v>1871</v>
      </c>
      <c r="I336" s="31"/>
      <c r="J336" s="31"/>
      <c r="K336" s="12"/>
      <c r="L336" s="12"/>
      <c r="M336" s="32"/>
      <c r="N336" s="13" t="str">
        <f t="shared" si="27"/>
        <v/>
      </c>
      <c r="O336" s="14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>
      <c r="A337" s="33" t="s">
        <v>1151</v>
      </c>
      <c r="B337" s="27" t="str">
        <f>VLOOKUP(A337,Quantities!A:B,2,false)</f>
        <v>Proton Magnetic Moment To Nuclear Magneton Ratio</v>
      </c>
      <c r="C337" s="9">
        <f>countif(Quantities!A:A,A337)</f>
        <v>1</v>
      </c>
      <c r="D337" s="9" t="b">
        <f>IFERROR(__xludf.DUMMYFUNCTION("REGEXMATCH(A337,""(?i)ratio"")"),TRUE)</f>
        <v>1</v>
      </c>
      <c r="E337" s="9" t="b">
        <f>IFERROR(__xludf.DUMMYFUNCTION("REGEXMATCH(A337,""(?i)relationship"")"),FALSE)</f>
        <v>0</v>
      </c>
      <c r="F337" s="12"/>
      <c r="G337" s="17"/>
      <c r="H337" s="17" t="s">
        <v>1876</v>
      </c>
      <c r="I337" s="31"/>
      <c r="J337" s="31"/>
      <c r="K337" s="12"/>
      <c r="L337" s="12"/>
      <c r="M337" s="32"/>
      <c r="N337" s="13" t="str">
        <f t="shared" si="27"/>
        <v/>
      </c>
      <c r="O337" s="14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>
      <c r="A338" s="33" t="s">
        <v>1154</v>
      </c>
      <c r="B338" s="27" t="str">
        <f>VLOOKUP(A338,Quantities!A:B,2,false)</f>
        <v>Proton Magnetic Shielding Correction</v>
      </c>
      <c r="C338" s="9">
        <f>countif(Quantities!A:A,A338)</f>
        <v>1</v>
      </c>
      <c r="D338" s="9" t="b">
        <f>IFERROR(__xludf.DUMMYFUNCTION("REGEXMATCH(A338,""(?i)ratio"")"),FALSE)</f>
        <v>0</v>
      </c>
      <c r="E338" s="9" t="b">
        <f>IFERROR(__xludf.DUMMYFUNCTION("REGEXMATCH(A338,""(?i)relationship"")"),FALSE)</f>
        <v>0</v>
      </c>
      <c r="F338" s="12"/>
      <c r="G338" s="17"/>
      <c r="H338" s="17" t="s">
        <v>1881</v>
      </c>
      <c r="I338" s="31"/>
      <c r="J338" s="31"/>
      <c r="K338" s="12"/>
      <c r="L338" s="12"/>
      <c r="M338" s="32"/>
      <c r="N338" s="13" t="str">
        <f t="shared" si="27"/>
        <v/>
      </c>
      <c r="O338" s="14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>
      <c r="A339" s="33" t="s">
        <v>1157</v>
      </c>
      <c r="B339" s="27" t="str">
        <f>VLOOKUP(A339,Quantities!A:B,2,false)</f>
        <v>Proton Mass</v>
      </c>
      <c r="C339" s="9">
        <f>countif(Quantities!A:A,A339)</f>
        <v>1</v>
      </c>
      <c r="D339" s="9" t="b">
        <f>IFERROR(__xludf.DUMMYFUNCTION("REGEXMATCH(A339,""(?i)ratio"")"),FALSE)</f>
        <v>0</v>
      </c>
      <c r="E339" s="9" t="b">
        <f>IFERROR(__xludf.DUMMYFUNCTION("REGEXMATCH(A339,""(?i)relationship"")"),FALSE)</f>
        <v>0</v>
      </c>
      <c r="F339" s="12"/>
      <c r="G339" s="17"/>
      <c r="H339" s="17" t="s">
        <v>1885</v>
      </c>
      <c r="I339" s="31"/>
      <c r="J339" s="31"/>
      <c r="K339" s="12"/>
      <c r="L339" s="12"/>
      <c r="M339" s="32"/>
      <c r="N339" s="13" t="str">
        <f t="shared" si="27"/>
        <v/>
      </c>
      <c r="O339" s="14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>
      <c r="A340" s="17" t="s">
        <v>1166</v>
      </c>
      <c r="B340" s="27" t="str">
        <f>VLOOKUP(A340,Quantities!A:B,2,false)</f>
        <v>Proton Mass Energy Equivalent</v>
      </c>
      <c r="C340" s="9">
        <f>countif(Quantities!A:A,A340)</f>
        <v>1</v>
      </c>
      <c r="D340" s="9" t="b">
        <f>IFERROR(__xludf.DUMMYFUNCTION("REGEXMATCH(A340,""(?i)ratio"")"),FALSE)</f>
        <v>0</v>
      </c>
      <c r="E340" s="9" t="b">
        <f>IFERROR(__xludf.DUMMYFUNCTION("REGEXMATCH(A340,""(?i)relationship"")"),FALSE)</f>
        <v>0</v>
      </c>
      <c r="F340" s="12"/>
      <c r="G340" s="17"/>
      <c r="H340" s="17" t="s">
        <v>1892</v>
      </c>
      <c r="I340" s="31"/>
      <c r="J340" s="31"/>
      <c r="K340" s="12"/>
      <c r="L340" s="12"/>
      <c r="M340" s="32"/>
      <c r="N340" s="13" t="str">
        <f t="shared" si="27"/>
        <v/>
      </c>
      <c r="O340" s="14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>
      <c r="A341" s="33" t="s">
        <v>1168</v>
      </c>
      <c r="B341" s="27" t="str">
        <f>VLOOKUP(A341,Quantities!A:B,2,false)</f>
        <v>Proton Molar Mass</v>
      </c>
      <c r="C341" s="9">
        <f>countif(Quantities!A:A,A341)</f>
        <v>1</v>
      </c>
      <c r="D341" s="9" t="b">
        <f>IFERROR(__xludf.DUMMYFUNCTION("REGEXMATCH(A341,""(?i)ratio"")"),FALSE)</f>
        <v>0</v>
      </c>
      <c r="E341" s="9" t="b">
        <f>IFERROR(__xludf.DUMMYFUNCTION("REGEXMATCH(A341,""(?i)relationship"")"),FALSE)</f>
        <v>0</v>
      </c>
      <c r="F341" s="12"/>
      <c r="G341" s="17"/>
      <c r="H341" s="17" t="s">
        <v>1894</v>
      </c>
      <c r="I341" s="31"/>
      <c r="J341" s="31"/>
      <c r="K341" s="12"/>
      <c r="L341" s="12"/>
      <c r="M341" s="32"/>
      <c r="N341" s="13" t="str">
        <f t="shared" si="27"/>
        <v/>
      </c>
      <c r="O341" s="14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>
      <c r="A342" s="33" t="s">
        <v>1172</v>
      </c>
      <c r="B342" s="27" t="str">
        <f>VLOOKUP(A342,Quantities!A:B,2,false)</f>
        <v>Proton - Muon Mass Ratio</v>
      </c>
      <c r="C342" s="9">
        <f>countif(Quantities!A:A,A342)</f>
        <v>1</v>
      </c>
      <c r="D342" s="9" t="b">
        <f>IFERROR(__xludf.DUMMYFUNCTION("REGEXMATCH(A342,""(?i)ratio"")"),TRUE)</f>
        <v>1</v>
      </c>
      <c r="E342" s="9" t="b">
        <f>IFERROR(__xludf.DUMMYFUNCTION("REGEXMATCH(A342,""(?i)relationship"")"),FALSE)</f>
        <v>0</v>
      </c>
      <c r="F342" s="12"/>
      <c r="G342" s="17"/>
      <c r="H342" s="17" t="s">
        <v>1895</v>
      </c>
      <c r="I342" s="31"/>
      <c r="J342" s="31"/>
      <c r="K342" s="12"/>
      <c r="L342" s="12"/>
      <c r="M342" s="32"/>
      <c r="N342" s="13" t="str">
        <f t="shared" si="27"/>
        <v/>
      </c>
      <c r="O342" s="14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>
      <c r="A343" s="33" t="s">
        <v>1174</v>
      </c>
      <c r="B343" s="27" t="str">
        <f>VLOOKUP(A343,Quantities!A:B,2,false)</f>
        <v>Proton - Neutron Magnetic Moment Ratio</v>
      </c>
      <c r="C343" s="9">
        <f>countif(Quantities!A:A,A343)</f>
        <v>1</v>
      </c>
      <c r="D343" s="9" t="b">
        <f>IFERROR(__xludf.DUMMYFUNCTION("REGEXMATCH(A343,""(?i)ratio"")"),TRUE)</f>
        <v>1</v>
      </c>
      <c r="E343" s="9" t="b">
        <f>IFERROR(__xludf.DUMMYFUNCTION("REGEXMATCH(A343,""(?i)relationship"")"),FALSE)</f>
        <v>0</v>
      </c>
      <c r="F343" s="12"/>
      <c r="G343" s="17"/>
      <c r="H343" s="17" t="s">
        <v>1899</v>
      </c>
      <c r="I343" s="31"/>
      <c r="J343" s="31"/>
      <c r="K343" s="12"/>
      <c r="L343" s="12"/>
      <c r="M343" s="32"/>
      <c r="N343" s="13" t="str">
        <f t="shared" si="27"/>
        <v/>
      </c>
      <c r="O343" s="14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>
      <c r="A344" s="33" t="s">
        <v>1177</v>
      </c>
      <c r="B344" s="27" t="str">
        <f>VLOOKUP(A344,Quantities!A:B,2,false)</f>
        <v>Proton - Neutron Mass Ratio</v>
      </c>
      <c r="C344" s="9">
        <f>countif(Quantities!A:A,A344)</f>
        <v>1</v>
      </c>
      <c r="D344" s="9" t="b">
        <f>IFERROR(__xludf.DUMMYFUNCTION("REGEXMATCH(A344,""(?i)ratio"")"),TRUE)</f>
        <v>1</v>
      </c>
      <c r="E344" s="9" t="b">
        <f>IFERROR(__xludf.DUMMYFUNCTION("REGEXMATCH(A344,""(?i)relationship"")"),FALSE)</f>
        <v>0</v>
      </c>
      <c r="F344" s="12"/>
      <c r="G344" s="17"/>
      <c r="H344" s="17" t="s">
        <v>1903</v>
      </c>
      <c r="I344" s="31"/>
      <c r="J344" s="31"/>
      <c r="K344" s="12"/>
      <c r="L344" s="12"/>
      <c r="M344" s="32"/>
      <c r="N344" s="13" t="str">
        <f t="shared" si="27"/>
        <v/>
      </c>
      <c r="O344" s="14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>
      <c r="A345" s="33" t="s">
        <v>1182</v>
      </c>
      <c r="B345" s="27" t="str">
        <f>VLOOKUP(A345,Quantities!A:B,2,false)</f>
        <v>Proton Relative Atomic Mass</v>
      </c>
      <c r="C345" s="9">
        <f>countif(Quantities!A:A,A345)</f>
        <v>1</v>
      </c>
      <c r="D345" s="9" t="b">
        <f>IFERROR(__xludf.DUMMYFUNCTION("REGEXMATCH(A345,""(?i)ratio"")"),FALSE)</f>
        <v>0</v>
      </c>
      <c r="E345" s="9" t="b">
        <f>IFERROR(__xludf.DUMMYFUNCTION("REGEXMATCH(A345,""(?i)relationship"")"),FALSE)</f>
        <v>0</v>
      </c>
      <c r="F345" s="12"/>
      <c r="G345" s="17"/>
      <c r="H345" s="17" t="s">
        <v>1906</v>
      </c>
      <c r="I345" s="31"/>
      <c r="J345" s="31"/>
      <c r="K345" s="12"/>
      <c r="L345" s="12"/>
      <c r="M345" s="32"/>
      <c r="N345" s="13" t="str">
        <f t="shared" si="27"/>
        <v/>
      </c>
      <c r="O345" s="14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>
      <c r="A346" s="33" t="s">
        <v>1187</v>
      </c>
      <c r="B346" s="27" t="str">
        <f>VLOOKUP(A346,Quantities!A:B,2,false)</f>
        <v>Proton Rms Charge Radius</v>
      </c>
      <c r="C346" s="9">
        <f>countif(Quantities!A:A,A346)</f>
        <v>1</v>
      </c>
      <c r="D346" s="9" t="b">
        <f>IFERROR(__xludf.DUMMYFUNCTION("REGEXMATCH(A346,""(?i)ratio"")"),FALSE)</f>
        <v>0</v>
      </c>
      <c r="E346" s="9" t="b">
        <f>IFERROR(__xludf.DUMMYFUNCTION("REGEXMATCH(A346,""(?i)relationship"")"),FALSE)</f>
        <v>0</v>
      </c>
      <c r="F346" s="12"/>
      <c r="G346" s="17"/>
      <c r="H346" s="17" t="s">
        <v>1909</v>
      </c>
      <c r="I346" s="31"/>
      <c r="J346" s="31"/>
      <c r="K346" s="12"/>
      <c r="L346" s="12"/>
      <c r="M346" s="32"/>
      <c r="N346" s="13" t="str">
        <f t="shared" si="27"/>
        <v/>
      </c>
      <c r="O346" s="14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>
      <c r="A347" s="33" t="s">
        <v>1191</v>
      </c>
      <c r="B347" s="27" t="str">
        <f>VLOOKUP(A347,Quantities!A:B,2,false)</f>
        <v>Proton - Tau Mass Ratio</v>
      </c>
      <c r="C347" s="9">
        <f>countif(Quantities!A:A,A347)</f>
        <v>1</v>
      </c>
      <c r="D347" s="9" t="b">
        <f>IFERROR(__xludf.DUMMYFUNCTION("REGEXMATCH(A347,""(?i)ratio"")"),TRUE)</f>
        <v>1</v>
      </c>
      <c r="E347" s="9" t="b">
        <f>IFERROR(__xludf.DUMMYFUNCTION("REGEXMATCH(A347,""(?i)relationship"")"),FALSE)</f>
        <v>0</v>
      </c>
      <c r="F347" s="12"/>
      <c r="G347" s="17"/>
      <c r="H347" s="17" t="s">
        <v>1915</v>
      </c>
      <c r="I347" s="31"/>
      <c r="J347" s="31"/>
      <c r="K347" s="12"/>
      <c r="L347" s="12"/>
      <c r="M347" s="32"/>
      <c r="N347" s="13" t="str">
        <f t="shared" si="27"/>
        <v/>
      </c>
      <c r="O347" s="14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>
      <c r="A348" s="33" t="s">
        <v>1194</v>
      </c>
      <c r="B348" s="27" t="str">
        <f>VLOOKUP(A348,Quantities!A:B,2,false)</f>
        <v>Quantum Of Circulation</v>
      </c>
      <c r="C348" s="9">
        <f>countif(Quantities!A:A,A348)</f>
        <v>1</v>
      </c>
      <c r="D348" s="9" t="b">
        <f>IFERROR(__xludf.DUMMYFUNCTION("REGEXMATCH(A348,""(?i)ratio"")"),FALSE)</f>
        <v>0</v>
      </c>
      <c r="E348" s="9" t="b">
        <f>IFERROR(__xludf.DUMMYFUNCTION("REGEXMATCH(A348,""(?i)relationship"")"),FALSE)</f>
        <v>0</v>
      </c>
      <c r="F348" s="12"/>
      <c r="G348" s="17"/>
      <c r="I348" s="31"/>
      <c r="J348" s="31"/>
      <c r="K348" s="12"/>
      <c r="L348" s="12"/>
      <c r="M348" s="32"/>
      <c r="N348" s="13" t="str">
        <f t="shared" si="27"/>
        <v/>
      </c>
      <c r="O348" s="14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>
      <c r="A349" s="33" t="s">
        <v>1197</v>
      </c>
      <c r="B349" s="27" t="str">
        <f>VLOOKUP(A349,Quantities!A:B,2,false)</f>
        <v>Quantum Of Circulation Times 2</v>
      </c>
      <c r="C349" s="9">
        <f>countif(Quantities!A:A,A349)</f>
        <v>1</v>
      </c>
      <c r="D349" s="9" t="b">
        <f>IFERROR(__xludf.DUMMYFUNCTION("REGEXMATCH(A349,""(?i)ratio"")"),FALSE)</f>
        <v>0</v>
      </c>
      <c r="E349" s="9" t="b">
        <f>IFERROR(__xludf.DUMMYFUNCTION("REGEXMATCH(A349,""(?i)relationship"")"),FALSE)</f>
        <v>0</v>
      </c>
      <c r="F349" s="12"/>
      <c r="G349" s="17"/>
      <c r="I349" s="31"/>
      <c r="J349" s="31"/>
      <c r="K349" s="12"/>
      <c r="L349" s="12"/>
      <c r="M349" s="32"/>
      <c r="N349" s="13" t="str">
        <f t="shared" si="27"/>
        <v/>
      </c>
      <c r="O349" s="14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>
      <c r="A350" s="6" t="s">
        <v>1929</v>
      </c>
      <c r="B350" s="6" t="s">
        <v>1929</v>
      </c>
      <c r="C350" s="9">
        <f>countif(Quantities!A:A,A350)</f>
        <v>0</v>
      </c>
      <c r="D350" s="9" t="b">
        <f>IFERROR(__xludf.DUMMYFUNCTION("REGEXMATCH(A350,""(?i)ratio"")"),FALSE)</f>
        <v>0</v>
      </c>
      <c r="E350" s="9" t="b">
        <f>IFERROR(__xludf.DUMMYFUNCTION("REGEXMATCH(A350,""(?i)relationship"")"),FALSE)</f>
        <v>0</v>
      </c>
      <c r="F350" s="6"/>
      <c r="G350" s="12"/>
      <c r="H350" s="12"/>
      <c r="I350" s="12"/>
      <c r="J350" s="12"/>
      <c r="K350" s="12"/>
      <c r="L350" s="12"/>
      <c r="M350" s="13"/>
      <c r="N350" s="13"/>
      <c r="O350" s="20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>
      <c r="A351" s="6" t="s">
        <v>1930</v>
      </c>
      <c r="B351" s="6" t="s">
        <v>1930</v>
      </c>
      <c r="C351" s="9">
        <f>countif(Quantities!A:A,A351)</f>
        <v>0</v>
      </c>
      <c r="D351" s="9" t="b">
        <f>IFERROR(__xludf.DUMMYFUNCTION("REGEXMATCH(A351,""(?i)ratio"")"),FALSE)</f>
        <v>0</v>
      </c>
      <c r="E351" s="9" t="b">
        <f>IFERROR(__xludf.DUMMYFUNCTION("REGEXMATCH(A351,""(?i)relationship"")"),FALSE)</f>
        <v>0</v>
      </c>
      <c r="F351" s="6"/>
      <c r="G351" s="12"/>
      <c r="H351" s="12"/>
      <c r="I351" s="12"/>
      <c r="J351" s="12"/>
      <c r="K351" s="12"/>
      <c r="L351" s="12"/>
      <c r="M351" s="32"/>
      <c r="N351" s="13" t="str">
        <f t="shared" ref="N351:N352" si="28">if(isblank(M351),"",hyperlink("https://www.wikidata.org/wiki/"&amp;M351,M351))</f>
        <v/>
      </c>
      <c r="O351" s="14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>
      <c r="A352" s="6" t="s">
        <v>1933</v>
      </c>
      <c r="B352" s="6" t="s">
        <v>1933</v>
      </c>
      <c r="C352" s="9">
        <f>countif(Quantities!A:A,A352)</f>
        <v>0</v>
      </c>
      <c r="D352" s="67" t="b">
        <v>0</v>
      </c>
      <c r="E352" s="9" t="b">
        <f>IFERROR(__xludf.DUMMYFUNCTION("REGEXMATCH(A352,""(?i)relationship"")"),FALSE)</f>
        <v>0</v>
      </c>
      <c r="F352" s="12"/>
      <c r="G352" s="12"/>
      <c r="H352" s="12"/>
      <c r="I352" s="12"/>
      <c r="J352" s="12"/>
      <c r="K352" s="12"/>
      <c r="L352" s="12"/>
      <c r="M352" s="32"/>
      <c r="N352" s="13" t="str">
        <f t="shared" si="28"/>
        <v/>
      </c>
      <c r="O352" s="14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>
      <c r="A353" s="6" t="s">
        <v>1936</v>
      </c>
      <c r="B353" s="6" t="s">
        <v>1936</v>
      </c>
      <c r="C353" s="9">
        <f>countif(Quantities!A:A,A353)</f>
        <v>0</v>
      </c>
      <c r="D353" s="9" t="b">
        <f>IFERROR(__xludf.DUMMYFUNCTION("REGEXMATCH(A353,""(?i)ratio"")"),FALSE)</f>
        <v>0</v>
      </c>
      <c r="E353" s="9" t="b">
        <f>IFERROR(__xludf.DUMMYFUNCTION("REGEXMATCH(A353,""(?i)relationship"")"),FALSE)</f>
        <v>0</v>
      </c>
      <c r="F353" s="6"/>
      <c r="G353" s="6"/>
      <c r="H353" s="6"/>
      <c r="I353" s="12"/>
      <c r="J353" s="12"/>
      <c r="K353" s="12"/>
      <c r="L353" s="12"/>
      <c r="M353" s="13"/>
      <c r="N353" s="13"/>
      <c r="O353" s="14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>
      <c r="A354" s="33" t="s">
        <v>1200</v>
      </c>
      <c r="B354" s="27" t="str">
        <f>VLOOKUP(A354,Quantities!A:B,2,false)</f>
        <v>Reduced Compton Wavelength</v>
      </c>
      <c r="C354" s="9">
        <f>countif(Quantities!A:A,A354)</f>
        <v>1</v>
      </c>
      <c r="D354" s="9" t="b">
        <f>IFERROR(__xludf.DUMMYFUNCTION("REGEXMATCH(A354,""(?i)ratio"")"),FALSE)</f>
        <v>0</v>
      </c>
      <c r="E354" s="9" t="b">
        <f>IFERROR(__xludf.DUMMYFUNCTION("REGEXMATCH(A354,""(?i)relationship"")"),FALSE)</f>
        <v>0</v>
      </c>
      <c r="F354" s="12"/>
      <c r="G354" s="17"/>
      <c r="H354" s="17" t="s">
        <v>1938</v>
      </c>
      <c r="I354" s="31"/>
      <c r="J354" s="31"/>
      <c r="K354" s="12"/>
      <c r="L354" s="12"/>
      <c r="M354" s="32"/>
      <c r="N354" s="13" t="str">
        <f t="shared" ref="N354:N363" si="29">if(isblank(M354),"",hyperlink("https://www.wikidata.org/wiki/"&amp;M354,M354))</f>
        <v/>
      </c>
      <c r="O354" s="14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>
      <c r="A355" s="33" t="s">
        <v>1207</v>
      </c>
      <c r="B355" s="27" t="str">
        <f>VLOOKUP(A355,Quantities!A:B,2,false)</f>
        <v>Reduced Muon Compton Wavelength</v>
      </c>
      <c r="C355" s="9">
        <f>countif(Quantities!A:A,A355)</f>
        <v>1</v>
      </c>
      <c r="D355" s="9" t="b">
        <f>IFERROR(__xludf.DUMMYFUNCTION("REGEXMATCH(A355,""(?i)ratio"")"),FALSE)</f>
        <v>0</v>
      </c>
      <c r="E355" s="9" t="b">
        <f>IFERROR(__xludf.DUMMYFUNCTION("REGEXMATCH(A355,""(?i)relationship"")"),FALSE)</f>
        <v>0</v>
      </c>
      <c r="F355" s="12"/>
      <c r="G355" s="17"/>
      <c r="H355" s="17" t="s">
        <v>1946</v>
      </c>
      <c r="I355" s="31"/>
      <c r="J355" s="31"/>
      <c r="K355" s="12"/>
      <c r="L355" s="12"/>
      <c r="M355" s="32"/>
      <c r="N355" s="13" t="str">
        <f t="shared" si="29"/>
        <v/>
      </c>
      <c r="O355" s="14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>
      <c r="A356" s="33" t="s">
        <v>1209</v>
      </c>
      <c r="B356" s="27" t="str">
        <f>VLOOKUP(A356,Quantities!A:B,2,false)</f>
        <v>Reduced Neutron Compton Wavelength</v>
      </c>
      <c r="C356" s="9">
        <f>countif(Quantities!A:A,A356)</f>
        <v>1</v>
      </c>
      <c r="D356" s="9" t="b">
        <f>IFERROR(__xludf.DUMMYFUNCTION("REGEXMATCH(A356,""(?i)ratio"")"),FALSE)</f>
        <v>0</v>
      </c>
      <c r="E356" s="9" t="b">
        <f>IFERROR(__xludf.DUMMYFUNCTION("REGEXMATCH(A356,""(?i)relationship"")"),FALSE)</f>
        <v>0</v>
      </c>
      <c r="F356" s="12"/>
      <c r="G356" s="17"/>
      <c r="H356" s="17" t="s">
        <v>1948</v>
      </c>
      <c r="I356" s="31"/>
      <c r="J356" s="31"/>
      <c r="K356" s="12"/>
      <c r="L356" s="12"/>
      <c r="M356" s="32"/>
      <c r="N356" s="13" t="str">
        <f t="shared" si="29"/>
        <v/>
      </c>
      <c r="O356" s="14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>
      <c r="A357" s="33" t="s">
        <v>1212</v>
      </c>
      <c r="B357" s="27" t="str">
        <f>VLOOKUP(A357,Quantities!A:B,2,false)</f>
        <v>Reduced Planck Constant</v>
      </c>
      <c r="C357" s="9">
        <f>countif(Quantities!A:A,A357)</f>
        <v>1</v>
      </c>
      <c r="D357" s="9" t="b">
        <f>IFERROR(__xludf.DUMMYFUNCTION("REGEXMATCH(A357,""(?i)ratio"")"),FALSE)</f>
        <v>0</v>
      </c>
      <c r="E357" s="9" t="b">
        <f>IFERROR(__xludf.DUMMYFUNCTION("REGEXMATCH(A357,""(?i)relationship"")"),FALSE)</f>
        <v>0</v>
      </c>
      <c r="F357" s="12"/>
      <c r="G357" s="17"/>
      <c r="H357" s="17" t="s">
        <v>1952</v>
      </c>
      <c r="I357" s="31"/>
      <c r="J357" s="31"/>
      <c r="K357" s="12"/>
      <c r="L357" s="12"/>
      <c r="M357" s="32"/>
      <c r="N357" s="13" t="str">
        <f t="shared" si="29"/>
        <v/>
      </c>
      <c r="O357" s="14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>
      <c r="A358" s="33" t="s">
        <v>1215</v>
      </c>
      <c r="B358" s="27" t="str">
        <f>VLOOKUP(A358,Quantities!A:B,2,false)</f>
        <v>Reduced Proton Compton Wavelength</v>
      </c>
      <c r="C358" s="9">
        <f>countif(Quantities!A:A,A358)</f>
        <v>1</v>
      </c>
      <c r="D358" s="9" t="b">
        <f>IFERROR(__xludf.DUMMYFUNCTION("REGEXMATCH(A358,""(?i)ratio"")"),FALSE)</f>
        <v>0</v>
      </c>
      <c r="E358" s="9" t="b">
        <f>IFERROR(__xludf.DUMMYFUNCTION("REGEXMATCH(A358,""(?i)relationship"")"),FALSE)</f>
        <v>0</v>
      </c>
      <c r="F358" s="12"/>
      <c r="G358" s="17"/>
      <c r="H358" s="17" t="s">
        <v>1959</v>
      </c>
      <c r="I358" s="31"/>
      <c r="J358" s="31"/>
      <c r="K358" s="12"/>
      <c r="L358" s="12"/>
      <c r="M358" s="32"/>
      <c r="N358" s="13" t="str">
        <f t="shared" si="29"/>
        <v/>
      </c>
      <c r="O358" s="14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>
      <c r="A359" s="33" t="s">
        <v>1217</v>
      </c>
      <c r="B359" s="27" t="str">
        <f>VLOOKUP(A359,Quantities!A:B,2,false)</f>
        <v>Reduced Tau Compton Wavelength</v>
      </c>
      <c r="C359" s="9">
        <f>countif(Quantities!A:A,A359)</f>
        <v>1</v>
      </c>
      <c r="D359" s="9" t="b">
        <f>IFERROR(__xludf.DUMMYFUNCTION("REGEXMATCH(A359,""(?i)ratio"")"),FALSE)</f>
        <v>0</v>
      </c>
      <c r="E359" s="9" t="b">
        <f>IFERROR(__xludf.DUMMYFUNCTION("REGEXMATCH(A359,""(?i)relationship"")"),FALSE)</f>
        <v>0</v>
      </c>
      <c r="F359" s="12"/>
      <c r="G359" s="17"/>
      <c r="H359" s="17" t="s">
        <v>1964</v>
      </c>
      <c r="I359" s="31"/>
      <c r="J359" s="31"/>
      <c r="K359" s="12"/>
      <c r="L359" s="12"/>
      <c r="M359" s="32"/>
      <c r="N359" s="13" t="str">
        <f t="shared" si="29"/>
        <v/>
      </c>
      <c r="O359" s="14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>
      <c r="A360" s="68" t="s">
        <v>1965</v>
      </c>
      <c r="B360" s="6" t="s">
        <v>1965</v>
      </c>
      <c r="C360" s="9">
        <f>countif(Quantities!A:A,A360)</f>
        <v>0</v>
      </c>
      <c r="D360" s="9" t="b">
        <f>IFERROR(__xludf.DUMMYFUNCTION("REGEXMATCH(A360,""(?i)ratio"")"),FALSE)</f>
        <v>0</v>
      </c>
      <c r="E360" s="9" t="b">
        <f>IFERROR(__xludf.DUMMYFUNCTION("REGEXMATCH(A360,""(?i)relationship"")"),TRUE)</f>
        <v>1</v>
      </c>
      <c r="F360" s="12"/>
      <c r="G360" s="12"/>
      <c r="H360" s="12"/>
      <c r="I360" s="12"/>
      <c r="J360" s="12"/>
      <c r="K360" s="12"/>
      <c r="L360" s="12"/>
      <c r="M360" s="32"/>
      <c r="N360" s="13" t="str">
        <f t="shared" si="29"/>
        <v/>
      </c>
      <c r="O360" s="14"/>
      <c r="P360" s="6"/>
      <c r="Q360" s="6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>
      <c r="A361" s="6" t="s">
        <v>1969</v>
      </c>
      <c r="B361" s="6" t="s">
        <v>1970</v>
      </c>
      <c r="C361" s="9">
        <f>countif(Quantities!A:A,A361)</f>
        <v>0</v>
      </c>
      <c r="D361" s="9" t="b">
        <f>IFERROR(__xludf.DUMMYFUNCTION("REGEXMATCH(A361,""(?i)ratio"")"),FALSE)</f>
        <v>0</v>
      </c>
      <c r="E361" s="9" t="b">
        <f>IFERROR(__xludf.DUMMYFUNCTION("REGEXMATCH(A361,""(?i)relationship"")"),FALSE)</f>
        <v>0</v>
      </c>
      <c r="F361" s="6"/>
      <c r="G361" s="6"/>
      <c r="H361" s="6" t="s">
        <v>1577</v>
      </c>
      <c r="I361" s="6"/>
      <c r="J361" s="6"/>
      <c r="K361" s="6"/>
      <c r="L361" s="6"/>
      <c r="M361" s="32"/>
      <c r="N361" s="13" t="str">
        <f t="shared" si="29"/>
        <v/>
      </c>
      <c r="O361" s="14"/>
      <c r="P361" s="6"/>
      <c r="Q361" s="6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>
      <c r="A362" s="6" t="s">
        <v>1975</v>
      </c>
      <c r="B362" s="6" t="s">
        <v>1976</v>
      </c>
      <c r="C362" s="9">
        <f>countif(Quantities!A:A,A362)</f>
        <v>0</v>
      </c>
      <c r="D362" s="9" t="b">
        <f>IFERROR(__xludf.DUMMYFUNCTION("REGEXMATCH(A362,""(?i)ratio"")"),FALSE)</f>
        <v>0</v>
      </c>
      <c r="E362" s="9" t="b">
        <f>IFERROR(__xludf.DUMMYFUNCTION("REGEXMATCH(A362,""(?i)relationship"")"),FALSE)</f>
        <v>0</v>
      </c>
      <c r="F362" s="6"/>
      <c r="G362" s="12"/>
      <c r="H362" s="12"/>
      <c r="I362" s="12"/>
      <c r="J362" s="12"/>
      <c r="K362" s="12"/>
      <c r="L362" s="12"/>
      <c r="M362" s="13"/>
      <c r="N362" s="13" t="str">
        <f t="shared" si="29"/>
        <v/>
      </c>
      <c r="O362" s="20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>
      <c r="A363" s="6" t="s">
        <v>1981</v>
      </c>
      <c r="B363" s="6" t="s">
        <v>1983</v>
      </c>
      <c r="C363" s="9">
        <f>countif(Quantities!A:A,A363)</f>
        <v>0</v>
      </c>
      <c r="D363" s="9" t="b">
        <f>IFERROR(__xludf.DUMMYFUNCTION("REGEXMATCH(A363,""(?i)ratio"")"),FALSE)</f>
        <v>0</v>
      </c>
      <c r="E363" s="9" t="b">
        <f>IFERROR(__xludf.DUMMYFUNCTION("REGEXMATCH(A363,""(?i)relationship"")"),FALSE)</f>
        <v>0</v>
      </c>
      <c r="F363" s="6"/>
      <c r="G363" s="6"/>
      <c r="H363" s="6" t="s">
        <v>1930</v>
      </c>
      <c r="I363" s="6"/>
      <c r="J363" s="6"/>
      <c r="K363" s="12"/>
      <c r="L363" s="12"/>
      <c r="M363" s="13"/>
      <c r="N363" s="13" t="str">
        <f t="shared" si="29"/>
        <v/>
      </c>
      <c r="O363" s="20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>
      <c r="A364" s="6" t="s">
        <v>1989</v>
      </c>
      <c r="B364" s="6" t="s">
        <v>1989</v>
      </c>
      <c r="C364" s="9">
        <f>countif(Quantities!A:A,A364)</f>
        <v>0</v>
      </c>
      <c r="D364" s="9" t="b">
        <f>IFERROR(__xludf.DUMMYFUNCTION("REGEXMATCH(A364,""(?i)ratio"")"),FALSE)</f>
        <v>0</v>
      </c>
      <c r="E364" s="9" t="b">
        <f>IFERROR(__xludf.DUMMYFUNCTION("REGEXMATCH(A364,""(?i)relationship"")"),FALSE)</f>
        <v>0</v>
      </c>
      <c r="F364" s="6"/>
      <c r="G364" s="12"/>
      <c r="H364" s="12"/>
      <c r="I364" s="12"/>
      <c r="J364" s="12"/>
      <c r="K364" s="12"/>
      <c r="L364" s="12"/>
      <c r="M364" s="13"/>
      <c r="N364" s="13"/>
      <c r="O364" s="20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>
      <c r="A365" s="33" t="s">
        <v>1220</v>
      </c>
      <c r="B365" s="27" t="str">
        <f>VLOOKUP(A365,Quantities!A:B,2,false)</f>
        <v>Rydberg Constant</v>
      </c>
      <c r="C365" s="9">
        <f>countif(Quantities!A:A,A365)</f>
        <v>1</v>
      </c>
      <c r="D365" s="9" t="b">
        <f>IFERROR(__xludf.DUMMYFUNCTION("REGEXMATCH(A365,""(?i)ratio"")"),FALSE)</f>
        <v>0</v>
      </c>
      <c r="E365" s="9" t="b">
        <f>IFERROR(__xludf.DUMMYFUNCTION("REGEXMATCH(A365,""(?i)relationship"")"),FALSE)</f>
        <v>0</v>
      </c>
      <c r="F365" s="12"/>
      <c r="G365" s="17"/>
      <c r="H365" s="17" t="s">
        <v>1989</v>
      </c>
      <c r="I365" s="31"/>
      <c r="J365" s="31"/>
      <c r="K365" s="12"/>
      <c r="L365" s="12"/>
      <c r="M365" s="32"/>
      <c r="N365" s="13" t="str">
        <f t="shared" ref="N365:N367" si="30">if(isblank(M365),"",hyperlink("https://www.wikidata.org/wiki/"&amp;M365,M365))</f>
        <v/>
      </c>
      <c r="O365" s="14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>
      <c r="A366" s="33" t="s">
        <v>1228</v>
      </c>
      <c r="B366" s="27" t="str">
        <f>VLOOKUP(A366,Quantities!A:B,2,false)</f>
        <v>Sackur-Tetrode Constant (1 K, 100 KPa)</v>
      </c>
      <c r="C366" s="9">
        <f>countif(Quantities!A:A,A366)</f>
        <v>1</v>
      </c>
      <c r="D366" s="9" t="b">
        <f>IFERROR(__xludf.DUMMYFUNCTION("REGEXMATCH(A366,""(?i)ratio"")"),FALSE)</f>
        <v>0</v>
      </c>
      <c r="E366" s="9" t="b">
        <f>IFERROR(__xludf.DUMMYFUNCTION("REGEXMATCH(A366,""(?i)relationship"")"),FALSE)</f>
        <v>0</v>
      </c>
      <c r="F366" s="12"/>
      <c r="G366" s="17"/>
      <c r="H366" s="17"/>
      <c r="I366" s="31"/>
      <c r="J366" s="31"/>
      <c r="K366" s="12"/>
      <c r="L366" s="12"/>
      <c r="M366" s="32"/>
      <c r="N366" s="13" t="str">
        <f t="shared" si="30"/>
        <v/>
      </c>
      <c r="O366" s="14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>
      <c r="A367" s="33" t="s">
        <v>1231</v>
      </c>
      <c r="B367" s="27" t="str">
        <f>VLOOKUP(A367,Quantities!A:B,2,false)</f>
        <v>Second Radiation Constant</v>
      </c>
      <c r="C367" s="9">
        <f>countif(Quantities!A:A,A367)</f>
        <v>1</v>
      </c>
      <c r="D367" s="9" t="b">
        <f>IFERROR(__xludf.DUMMYFUNCTION("REGEXMATCH(A367,""(?i)ratio"")"),FALSE)</f>
        <v>0</v>
      </c>
      <c r="E367" s="9" t="b">
        <f>IFERROR(__xludf.DUMMYFUNCTION("REGEXMATCH(A367,""(?i)relationship"")"),FALSE)</f>
        <v>0</v>
      </c>
      <c r="F367" s="12"/>
      <c r="G367" s="17"/>
      <c r="H367" s="17"/>
      <c r="I367" s="31"/>
      <c r="J367" s="31"/>
      <c r="K367" s="12"/>
      <c r="L367" s="12"/>
      <c r="M367" s="32"/>
      <c r="N367" s="13" t="str">
        <f t="shared" si="30"/>
        <v/>
      </c>
      <c r="O367" s="14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>
      <c r="A368" s="6" t="s">
        <v>2003</v>
      </c>
      <c r="B368" s="6" t="s">
        <v>2003</v>
      </c>
      <c r="C368" s="9">
        <f>countif(Quantities!A:A,A368)</f>
        <v>0</v>
      </c>
      <c r="D368" s="9" t="b">
        <f>IFERROR(__xludf.DUMMYFUNCTION("REGEXMATCH(A368,""(?i)ratio"")"),FALSE)</f>
        <v>0</v>
      </c>
      <c r="E368" s="9" t="b">
        <f>IFERROR(__xludf.DUMMYFUNCTION("REGEXMATCH(A368,""(?i)relationship"")"),FALSE)</f>
        <v>0</v>
      </c>
      <c r="F368" s="6"/>
      <c r="G368" s="12"/>
      <c r="H368" s="12"/>
      <c r="I368" s="12"/>
      <c r="J368" s="12"/>
      <c r="K368" s="12"/>
      <c r="L368" s="12"/>
      <c r="M368" s="13"/>
      <c r="N368" s="13"/>
      <c r="O368" s="20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>
      <c r="A369" s="6" t="s">
        <v>2005</v>
      </c>
      <c r="B369" s="6" t="s">
        <v>2005</v>
      </c>
      <c r="C369" s="9">
        <f>countif(Quantities!A:A,A369)</f>
        <v>0</v>
      </c>
      <c r="D369" s="9" t="b">
        <f>IFERROR(__xludf.DUMMYFUNCTION("REGEXMATCH(A369,""(?i)ratio"")"),FALSE)</f>
        <v>0</v>
      </c>
      <c r="E369" s="9" t="b">
        <f>IFERROR(__xludf.DUMMYFUNCTION("REGEXMATCH(A369,""(?i)relationship"")"),FALSE)</f>
        <v>0</v>
      </c>
      <c r="F369" s="6"/>
      <c r="G369" s="12"/>
      <c r="H369" s="6" t="s">
        <v>2007</v>
      </c>
      <c r="I369" s="12"/>
      <c r="J369" s="12"/>
      <c r="K369" s="12"/>
      <c r="L369" s="12"/>
      <c r="M369" s="13"/>
      <c r="N369" s="13"/>
      <c r="O369" s="20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>
      <c r="A370" s="33" t="s">
        <v>1234</v>
      </c>
      <c r="B370" s="27" t="str">
        <f>VLOOKUP(A370,Quantities!A:B,2,false)</f>
        <v>Shielded Helion Gyromagnetic Ratio</v>
      </c>
      <c r="C370" s="9">
        <f>countif(Quantities!A:A,A370)</f>
        <v>1</v>
      </c>
      <c r="D370" s="9" t="b">
        <f>IFERROR(__xludf.DUMMYFUNCTION("REGEXMATCH(A370,""(?i)ratio"")"),TRUE)</f>
        <v>1</v>
      </c>
      <c r="E370" s="9" t="b">
        <f>IFERROR(__xludf.DUMMYFUNCTION("REGEXMATCH(A370,""(?i)relationship"")"),FALSE)</f>
        <v>0</v>
      </c>
      <c r="F370" s="12"/>
      <c r="G370" s="17"/>
      <c r="H370" s="17" t="s">
        <v>2012</v>
      </c>
      <c r="I370" s="31"/>
      <c r="J370" s="31"/>
      <c r="K370" s="12"/>
      <c r="L370" s="12"/>
      <c r="M370" s="32"/>
      <c r="N370" s="13" t="str">
        <f t="shared" ref="N370:N375" si="31">if(isblank(M370),"",hyperlink("https://www.wikidata.org/wiki/"&amp;M370,M370))</f>
        <v/>
      </c>
      <c r="O370" s="14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>
      <c r="A371" s="33" t="s">
        <v>1236</v>
      </c>
      <c r="B371" s="27" t="str">
        <f>VLOOKUP(A371,Quantities!A:B,2,false)</f>
        <v>Shielded Helion Magnetic Moment</v>
      </c>
      <c r="C371" s="9">
        <f>countif(Quantities!A:A,A371)</f>
        <v>1</v>
      </c>
      <c r="D371" s="9" t="b">
        <f>IFERROR(__xludf.DUMMYFUNCTION("REGEXMATCH(A371,""(?i)ratio"")"),FALSE)</f>
        <v>0</v>
      </c>
      <c r="E371" s="9" t="b">
        <f>IFERROR(__xludf.DUMMYFUNCTION("REGEXMATCH(A371,""(?i)relationship"")"),FALSE)</f>
        <v>0</v>
      </c>
      <c r="F371" s="12"/>
      <c r="G371" s="17"/>
      <c r="H371" s="17" t="s">
        <v>2017</v>
      </c>
      <c r="I371" s="31"/>
      <c r="J371" s="31"/>
      <c r="K371" s="12"/>
      <c r="L371" s="12"/>
      <c r="M371" s="32"/>
      <c r="N371" s="13" t="str">
        <f t="shared" si="31"/>
        <v/>
      </c>
      <c r="O371" s="14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>
      <c r="A372" s="33" t="s">
        <v>1243</v>
      </c>
      <c r="B372" s="27" t="str">
        <f>VLOOKUP(A372,Quantities!A:B,2,false)</f>
        <v>Shielded Helion Magnetic Moment To Bohr Magneton Ratio</v>
      </c>
      <c r="C372" s="9">
        <f>countif(Quantities!A:A,A372)</f>
        <v>1</v>
      </c>
      <c r="D372" s="9" t="b">
        <f>IFERROR(__xludf.DUMMYFUNCTION("REGEXMATCH(A372,""(?i)ratio"")"),TRUE)</f>
        <v>1</v>
      </c>
      <c r="E372" s="9" t="b">
        <f>IFERROR(__xludf.DUMMYFUNCTION("REGEXMATCH(A372,""(?i)relationship"")"),FALSE)</f>
        <v>0</v>
      </c>
      <c r="F372" s="12"/>
      <c r="G372" s="17"/>
      <c r="H372" s="17" t="s">
        <v>2027</v>
      </c>
      <c r="I372" s="31"/>
      <c r="J372" s="31"/>
      <c r="K372" s="12"/>
      <c r="L372" s="12"/>
      <c r="M372" s="32"/>
      <c r="N372" s="13" t="str">
        <f t="shared" si="31"/>
        <v/>
      </c>
      <c r="O372" s="14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>
      <c r="A373" s="33" t="s">
        <v>1246</v>
      </c>
      <c r="B373" s="27" t="str">
        <f>VLOOKUP(A373,Quantities!A:B,2,false)</f>
        <v>Shielded Helion Magnetic Moment To Nuclear Magneton Ratio</v>
      </c>
      <c r="C373" s="9">
        <f>countif(Quantities!A:A,A373)</f>
        <v>1</v>
      </c>
      <c r="D373" s="9" t="b">
        <f>IFERROR(__xludf.DUMMYFUNCTION("REGEXMATCH(A373,""(?i)ratio"")"),TRUE)</f>
        <v>1</v>
      </c>
      <c r="E373" s="9" t="b">
        <f>IFERROR(__xludf.DUMMYFUNCTION("REGEXMATCH(A373,""(?i)relationship"")"),FALSE)</f>
        <v>0</v>
      </c>
      <c r="F373" s="12"/>
      <c r="G373" s="17"/>
      <c r="H373" s="17" t="s">
        <v>2028</v>
      </c>
      <c r="I373" s="31"/>
      <c r="J373" s="31"/>
      <c r="K373" s="12"/>
      <c r="L373" s="12"/>
      <c r="M373" s="32"/>
      <c r="N373" s="13" t="str">
        <f t="shared" si="31"/>
        <v/>
      </c>
      <c r="O373" s="14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>
      <c r="A374" s="33" t="s">
        <v>1248</v>
      </c>
      <c r="B374" s="27" t="str">
        <f>VLOOKUP(A374,Quantities!A:B,2,false)</f>
        <v>Shielded Helion To Proton Magnetic Moment Ratio</v>
      </c>
      <c r="C374" s="9">
        <f>countif(Quantities!A:A,A374)</f>
        <v>1</v>
      </c>
      <c r="D374" s="9" t="b">
        <f>IFERROR(__xludf.DUMMYFUNCTION("REGEXMATCH(A374,""(?i)ratio"")"),TRUE)</f>
        <v>1</v>
      </c>
      <c r="E374" s="9" t="b">
        <f>IFERROR(__xludf.DUMMYFUNCTION("REGEXMATCH(A374,""(?i)relationship"")"),FALSE)</f>
        <v>0</v>
      </c>
      <c r="F374" s="12"/>
      <c r="G374" s="17"/>
      <c r="H374" s="17" t="s">
        <v>2029</v>
      </c>
      <c r="I374" s="31"/>
      <c r="J374" s="31"/>
      <c r="K374" s="12"/>
      <c r="L374" s="12"/>
      <c r="M374" s="32"/>
      <c r="N374" s="13" t="str">
        <f t="shared" si="31"/>
        <v/>
      </c>
      <c r="O374" s="14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>
      <c r="A375" s="33" t="s">
        <v>1251</v>
      </c>
      <c r="B375" s="27" t="str">
        <f>VLOOKUP(A375,Quantities!A:B,2,false)</f>
        <v>Shielded Helion To Shielded Proton Magnetic Moment Ratio</v>
      </c>
      <c r="C375" s="9">
        <f>countif(Quantities!A:A,A375)</f>
        <v>1</v>
      </c>
      <c r="D375" s="9" t="b">
        <f>IFERROR(__xludf.DUMMYFUNCTION("REGEXMATCH(A375,""(?i)ratio"")"),TRUE)</f>
        <v>1</v>
      </c>
      <c r="E375" s="9" t="b">
        <f>IFERROR(__xludf.DUMMYFUNCTION("REGEXMATCH(A375,""(?i)relationship"")"),FALSE)</f>
        <v>0</v>
      </c>
      <c r="F375" s="12"/>
      <c r="G375" s="17"/>
      <c r="H375" s="17" t="s">
        <v>2032</v>
      </c>
      <c r="I375" s="31"/>
      <c r="J375" s="31"/>
      <c r="K375" s="12"/>
      <c r="L375" s="12"/>
      <c r="M375" s="32"/>
      <c r="N375" s="13" t="str">
        <f t="shared" si="31"/>
        <v/>
      </c>
      <c r="O375" s="14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>
      <c r="A376" s="6" t="s">
        <v>2038</v>
      </c>
      <c r="B376" s="6" t="s">
        <v>2038</v>
      </c>
      <c r="C376" s="9">
        <f>countif(Quantities!A:A,A376)</f>
        <v>0</v>
      </c>
      <c r="D376" s="9" t="b">
        <f>IFERROR(__xludf.DUMMYFUNCTION("REGEXMATCH(A376,""(?i)ratio"")"),FALSE)</f>
        <v>0</v>
      </c>
      <c r="E376" s="9" t="b">
        <f>IFERROR(__xludf.DUMMYFUNCTION("REGEXMATCH(A376,""(?i)relationship"")"),FALSE)</f>
        <v>0</v>
      </c>
      <c r="F376" s="6"/>
      <c r="G376" s="12"/>
      <c r="H376" s="6" t="s">
        <v>2040</v>
      </c>
      <c r="I376" s="12"/>
      <c r="J376" s="12"/>
      <c r="K376" s="12"/>
      <c r="L376" s="12"/>
      <c r="M376" s="13"/>
      <c r="N376" s="13"/>
      <c r="O376" s="20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>
      <c r="A377" s="33" t="s">
        <v>1254</v>
      </c>
      <c r="B377" s="27" t="str">
        <f>VLOOKUP(A377,Quantities!A:B,2,false)</f>
        <v>Shielded Proton Gyromagnetic Ratio</v>
      </c>
      <c r="C377" s="9">
        <f>countif(Quantities!A:A,A377)</f>
        <v>1</v>
      </c>
      <c r="D377" s="9" t="b">
        <f>IFERROR(__xludf.DUMMYFUNCTION("REGEXMATCH(A377,""(?i)ratio"")"),TRUE)</f>
        <v>1</v>
      </c>
      <c r="E377" s="9" t="b">
        <f>IFERROR(__xludf.DUMMYFUNCTION("REGEXMATCH(A377,""(?i)relationship"")"),FALSE)</f>
        <v>0</v>
      </c>
      <c r="F377" s="12"/>
      <c r="G377" s="17"/>
      <c r="H377" s="17" t="s">
        <v>2041</v>
      </c>
      <c r="I377" s="31"/>
      <c r="J377" s="31"/>
      <c r="K377" s="12"/>
      <c r="L377" s="12"/>
      <c r="M377" s="32"/>
      <c r="N377" s="13" t="str">
        <f t="shared" ref="N377:N380" si="32">if(isblank(M377),"",hyperlink("https://www.wikidata.org/wiki/"&amp;M377,M377))</f>
        <v/>
      </c>
      <c r="O377" s="14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>
      <c r="A378" s="33" t="s">
        <v>1261</v>
      </c>
      <c r="B378" s="27" t="str">
        <f>VLOOKUP(A378,Quantities!A:B,2,false)</f>
        <v>Shielded Proton Magnetic Moment</v>
      </c>
      <c r="C378" s="9">
        <f>countif(Quantities!A:A,A378)</f>
        <v>1</v>
      </c>
      <c r="D378" s="9" t="b">
        <f>IFERROR(__xludf.DUMMYFUNCTION("REGEXMATCH(A378,""(?i)ratio"")"),FALSE)</f>
        <v>0</v>
      </c>
      <c r="E378" s="9" t="b">
        <f>IFERROR(__xludf.DUMMYFUNCTION("REGEXMATCH(A378,""(?i)relationship"")"),FALSE)</f>
        <v>0</v>
      </c>
      <c r="F378" s="12"/>
      <c r="G378" s="17"/>
      <c r="H378" s="17" t="s">
        <v>2049</v>
      </c>
      <c r="I378" s="31"/>
      <c r="J378" s="31"/>
      <c r="K378" s="12"/>
      <c r="L378" s="12"/>
      <c r="M378" s="32"/>
      <c r="N378" s="13" t="str">
        <f t="shared" si="32"/>
        <v/>
      </c>
      <c r="O378" s="14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>
      <c r="A379" s="33" t="s">
        <v>1263</v>
      </c>
      <c r="B379" s="27" t="str">
        <f>VLOOKUP(A379,Quantities!A:B,2,false)</f>
        <v>Shielded Proton Magnetic Moment To Bohr Magneton Ratio</v>
      </c>
      <c r="C379" s="9">
        <f>countif(Quantities!A:A,A379)</f>
        <v>1</v>
      </c>
      <c r="D379" s="9" t="b">
        <f>IFERROR(__xludf.DUMMYFUNCTION("REGEXMATCH(A379,""(?i)ratio"")"),TRUE)</f>
        <v>1</v>
      </c>
      <c r="E379" s="9" t="b">
        <f>IFERROR(__xludf.DUMMYFUNCTION("REGEXMATCH(A379,""(?i)relationship"")"),FALSE)</f>
        <v>0</v>
      </c>
      <c r="F379" s="12"/>
      <c r="G379" s="17"/>
      <c r="H379" s="17" t="s">
        <v>2055</v>
      </c>
      <c r="I379" s="31"/>
      <c r="J379" s="31"/>
      <c r="K379" s="12"/>
      <c r="L379" s="12"/>
      <c r="M379" s="32"/>
      <c r="N379" s="13" t="str">
        <f t="shared" si="32"/>
        <v/>
      </c>
      <c r="O379" s="14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>
      <c r="A380" s="33" t="s">
        <v>1267</v>
      </c>
      <c r="B380" s="27" t="str">
        <f>VLOOKUP(A380,Quantities!A:B,2,false)</f>
        <v>Shielded Proton Magnetic Moment To Nuclear Magneton Ratio</v>
      </c>
      <c r="C380" s="9">
        <f>countif(Quantities!A:A,A380)</f>
        <v>1</v>
      </c>
      <c r="D380" s="9" t="b">
        <f>IFERROR(__xludf.DUMMYFUNCTION("REGEXMATCH(A380,""(?i)ratio"")"),TRUE)</f>
        <v>1</v>
      </c>
      <c r="E380" s="9" t="b">
        <f>IFERROR(__xludf.DUMMYFUNCTION("REGEXMATCH(A380,""(?i)relationship"")"),FALSE)</f>
        <v>0</v>
      </c>
      <c r="F380" s="12"/>
      <c r="G380" s="17"/>
      <c r="H380" s="17" t="s">
        <v>2059</v>
      </c>
      <c r="I380" s="31"/>
      <c r="J380" s="31"/>
      <c r="K380" s="12"/>
      <c r="L380" s="12"/>
      <c r="M380" s="32"/>
      <c r="N380" s="13" t="str">
        <f t="shared" si="32"/>
        <v/>
      </c>
      <c r="O380" s="14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>
      <c r="A381" s="6" t="s">
        <v>2060</v>
      </c>
      <c r="B381" s="6" t="s">
        <v>2060</v>
      </c>
      <c r="C381" s="9">
        <f>countif(Quantities!A:A,A381)</f>
        <v>0</v>
      </c>
      <c r="D381" s="9" t="b">
        <f>IFERROR(__xludf.DUMMYFUNCTION("REGEXMATCH(A381,""(?i)ratio"")"),FALSE)</f>
        <v>0</v>
      </c>
      <c r="E381" s="9" t="b">
        <f>IFERROR(__xludf.DUMMYFUNCTION("REGEXMATCH(A381,""(?i)relationship"")"),FALSE)</f>
        <v>0</v>
      </c>
      <c r="F381" s="6"/>
      <c r="G381" s="12"/>
      <c r="H381" s="12"/>
      <c r="I381" s="12"/>
      <c r="J381" s="12"/>
      <c r="K381" s="12"/>
      <c r="L381" s="12"/>
      <c r="M381" s="13"/>
      <c r="N381" s="13"/>
      <c r="O381" s="20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>
      <c r="A382" s="17" t="s">
        <v>2061</v>
      </c>
      <c r="B382" s="17" t="s">
        <v>2062</v>
      </c>
      <c r="C382" s="9">
        <f>countif(Quantities!A:A,A382)</f>
        <v>0</v>
      </c>
      <c r="D382" s="9" t="b">
        <f>IFERROR(__xludf.DUMMYFUNCTION("REGEXMATCH(A382,""(?i)ratio"")"),FALSE)</f>
        <v>0</v>
      </c>
      <c r="E382" s="9" t="b">
        <f>IFERROR(__xludf.DUMMYFUNCTION("REGEXMATCH(A382,""(?i)relationship"")"),FALSE)</f>
        <v>0</v>
      </c>
      <c r="F382" s="12"/>
      <c r="G382" s="17"/>
      <c r="H382" s="17"/>
      <c r="I382" s="31"/>
      <c r="J382" s="31"/>
      <c r="K382" s="12"/>
      <c r="L382" s="12"/>
      <c r="M382" s="32"/>
      <c r="N382" s="13"/>
      <c r="O382" s="14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>
      <c r="A383" s="33" t="s">
        <v>1270</v>
      </c>
      <c r="B383" s="27" t="str">
        <f>VLOOKUP(A383,Quantities!A:B,2,false)</f>
        <v>Shielding Difference Of D And P In Hd</v>
      </c>
      <c r="C383" s="9">
        <f>countif(Quantities!A:A,A383)</f>
        <v>1</v>
      </c>
      <c r="D383" s="9" t="b">
        <f>IFERROR(__xludf.DUMMYFUNCTION("REGEXMATCH(A383,""(?i)ratio"")"),FALSE)</f>
        <v>0</v>
      </c>
      <c r="E383" s="9" t="b">
        <f>IFERROR(__xludf.DUMMYFUNCTION("REGEXMATCH(A383,""(?i)relationship"")"),FALSE)</f>
        <v>0</v>
      </c>
      <c r="F383" s="12"/>
      <c r="G383" s="17"/>
      <c r="H383" s="17" t="s">
        <v>2066</v>
      </c>
      <c r="I383" s="31"/>
      <c r="J383" s="31"/>
      <c r="K383" s="12"/>
      <c r="L383" s="12"/>
      <c r="M383" s="32"/>
      <c r="N383" s="13" t="str">
        <f t="shared" ref="N383:N384" si="33">if(isblank(M383),"",hyperlink("https://www.wikidata.org/wiki/"&amp;M383,M383))</f>
        <v/>
      </c>
      <c r="O383" s="14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>
      <c r="A384" s="33" t="s">
        <v>1273</v>
      </c>
      <c r="B384" s="27" t="str">
        <f>VLOOKUP(A384,Quantities!A:B,2,false)</f>
        <v>Shielding Difference Of T And P In Ht</v>
      </c>
      <c r="C384" s="9">
        <f>countif(Quantities!A:A,A384)</f>
        <v>1</v>
      </c>
      <c r="D384" s="9" t="b">
        <f>IFERROR(__xludf.DUMMYFUNCTION("REGEXMATCH(A384,""(?i)ratio"")"),FALSE)</f>
        <v>0</v>
      </c>
      <c r="E384" s="9" t="b">
        <f>IFERROR(__xludf.DUMMYFUNCTION("REGEXMATCH(A384,""(?i)relationship"")"),FALSE)</f>
        <v>0</v>
      </c>
      <c r="F384" s="12"/>
      <c r="G384" s="17"/>
      <c r="H384" s="17" t="s">
        <v>2066</v>
      </c>
      <c r="I384" s="31"/>
      <c r="J384" s="31"/>
      <c r="K384" s="12"/>
      <c r="L384" s="12"/>
      <c r="M384" s="32"/>
      <c r="N384" s="13" t="str">
        <f t="shared" si="33"/>
        <v/>
      </c>
      <c r="O384" s="14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>
      <c r="A385" s="6" t="s">
        <v>2072</v>
      </c>
      <c r="B385" s="6" t="s">
        <v>2072</v>
      </c>
      <c r="C385" s="9">
        <f>countif(Quantities!A:A,A385)</f>
        <v>0</v>
      </c>
      <c r="D385" s="9" t="b">
        <f>IFERROR(__xludf.DUMMYFUNCTION("REGEXMATCH(A385,""(?i)ratio"")"),FALSE)</f>
        <v>0</v>
      </c>
      <c r="E385" s="9" t="b">
        <f>IFERROR(__xludf.DUMMYFUNCTION("REGEXMATCH(A385,""(?i)relationship"")"),FALSE)</f>
        <v>0</v>
      </c>
      <c r="F385" s="6"/>
      <c r="G385" s="12"/>
      <c r="H385" s="12"/>
      <c r="I385" s="12"/>
      <c r="J385" s="12"/>
      <c r="K385" s="12"/>
      <c r="L385" s="12"/>
      <c r="M385" s="13"/>
      <c r="N385" s="13"/>
      <c r="O385" s="20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>
      <c r="A386" s="6" t="s">
        <v>2076</v>
      </c>
      <c r="B386" s="6" t="s">
        <v>2077</v>
      </c>
      <c r="C386" s="9">
        <f>countif(Quantities!A:A,A386)</f>
        <v>0</v>
      </c>
      <c r="D386" s="9" t="b">
        <f>IFERROR(__xludf.DUMMYFUNCTION("REGEXMATCH(A386,""(?i)ratio"")"),FALSE)</f>
        <v>0</v>
      </c>
      <c r="E386" s="9" t="b">
        <f>IFERROR(__xludf.DUMMYFUNCTION("REGEXMATCH(A386,""(?i)relationship"")"),FALSE)</f>
        <v>0</v>
      </c>
      <c r="F386" s="12"/>
      <c r="G386" s="6"/>
      <c r="H386" s="6"/>
      <c r="I386" s="6"/>
      <c r="J386" s="6"/>
      <c r="K386" s="12"/>
      <c r="L386" s="12"/>
      <c r="M386" s="32"/>
      <c r="N386" s="13" t="str">
        <f t="shared" ref="N386:N391" si="34">if(isblank(M386),"",hyperlink("https://www.wikidata.org/wiki/"&amp;M386,M386))</f>
        <v/>
      </c>
      <c r="O386" s="14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>
      <c r="A387" s="6" t="s">
        <v>2080</v>
      </c>
      <c r="B387" s="6" t="s">
        <v>2081</v>
      </c>
      <c r="C387" s="9">
        <f>countif(Quantities!A:A,A387)</f>
        <v>0</v>
      </c>
      <c r="D387" s="9" t="b">
        <f>IFERROR(__xludf.DUMMYFUNCTION("REGEXMATCH(A387,""(?i)ratio"")"),FALSE)</f>
        <v>0</v>
      </c>
      <c r="E387" s="9" t="b">
        <f>IFERROR(__xludf.DUMMYFUNCTION("REGEXMATCH(A387,""(?i)relationship"")"),FALSE)</f>
        <v>0</v>
      </c>
      <c r="F387" s="6"/>
      <c r="G387" s="6" t="s">
        <v>2082</v>
      </c>
      <c r="H387" s="6"/>
      <c r="I387" s="6"/>
      <c r="J387" s="6"/>
      <c r="K387" s="12"/>
      <c r="L387" s="12"/>
      <c r="M387" s="32"/>
      <c r="N387" s="13" t="str">
        <f t="shared" si="34"/>
        <v/>
      </c>
      <c r="O387" s="14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>
      <c r="A388" s="6" t="s">
        <v>2083</v>
      </c>
      <c r="B388" s="6" t="s">
        <v>2084</v>
      </c>
      <c r="C388" s="9">
        <f>countif(Quantities!A:A,A388)</f>
        <v>0</v>
      </c>
      <c r="D388" s="9" t="b">
        <f>IFERROR(__xludf.DUMMYFUNCTION("REGEXMATCH(A388,""(?i)ratio"")"),FALSE)</f>
        <v>0</v>
      </c>
      <c r="E388" s="9" t="b">
        <f>IFERROR(__xludf.DUMMYFUNCTION("REGEXMATCH(A388,""(?i)relationship"")"),FALSE)</f>
        <v>0</v>
      </c>
      <c r="F388" s="6"/>
      <c r="G388" s="6" t="s">
        <v>2083</v>
      </c>
      <c r="H388" s="6"/>
      <c r="I388" s="6"/>
      <c r="J388" s="6"/>
      <c r="K388" s="12"/>
      <c r="L388" s="12"/>
      <c r="M388" s="32"/>
      <c r="N388" s="13" t="str">
        <f t="shared" si="34"/>
        <v/>
      </c>
      <c r="O388" s="14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>
      <c r="A389" s="6" t="s">
        <v>494</v>
      </c>
      <c r="B389" s="6" t="s">
        <v>2085</v>
      </c>
      <c r="C389" s="9">
        <f>countif(Quantities!A:A,A389)</f>
        <v>0</v>
      </c>
      <c r="D389" s="9" t="b">
        <f>IFERROR(__xludf.DUMMYFUNCTION("REGEXMATCH(A389,""(?i)ratio"")"),FALSE)</f>
        <v>0</v>
      </c>
      <c r="E389" s="9" t="b">
        <f>IFERROR(__xludf.DUMMYFUNCTION("REGEXMATCH(A389,""(?i)relationship"")"),FALSE)</f>
        <v>0</v>
      </c>
      <c r="F389" s="6"/>
      <c r="G389" s="6" t="s">
        <v>2083</v>
      </c>
      <c r="H389" s="6"/>
      <c r="I389" s="6"/>
      <c r="J389" s="6"/>
      <c r="K389" s="12"/>
      <c r="L389" s="12"/>
      <c r="M389" s="32"/>
      <c r="N389" s="13" t="str">
        <f t="shared" si="34"/>
        <v/>
      </c>
      <c r="O389" s="14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>
      <c r="A390" s="6" t="s">
        <v>2089</v>
      </c>
      <c r="B390" s="6" t="s">
        <v>2090</v>
      </c>
      <c r="C390" s="9">
        <f>countif(Quantities!A:A,A390)</f>
        <v>0</v>
      </c>
      <c r="D390" s="9" t="b">
        <f>IFERROR(__xludf.DUMMYFUNCTION("REGEXMATCH(A390,""(?i)ratio"")"),FALSE)</f>
        <v>0</v>
      </c>
      <c r="E390" s="9" t="b">
        <f>IFERROR(__xludf.DUMMYFUNCTION("REGEXMATCH(A390,""(?i)relationship"")"),FALSE)</f>
        <v>0</v>
      </c>
      <c r="F390" s="6"/>
      <c r="G390" s="6" t="s">
        <v>2076</v>
      </c>
      <c r="H390" s="12"/>
      <c r="I390" s="12"/>
      <c r="J390" s="12"/>
      <c r="K390" s="12"/>
      <c r="L390" s="12"/>
      <c r="M390" s="32"/>
      <c r="N390" s="13" t="str">
        <f t="shared" si="34"/>
        <v/>
      </c>
      <c r="O390" s="14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>
      <c r="A391" s="6" t="s">
        <v>2091</v>
      </c>
      <c r="B391" s="6" t="s">
        <v>2092</v>
      </c>
      <c r="C391" s="9">
        <f>countif(Quantities!A:A,A391)</f>
        <v>0</v>
      </c>
      <c r="D391" s="9" t="b">
        <f>IFERROR(__xludf.DUMMYFUNCTION("REGEXMATCH(A391,""(?i)ratio"")"),FALSE)</f>
        <v>0</v>
      </c>
      <c r="E391" s="9" t="b">
        <f>IFERROR(__xludf.DUMMYFUNCTION("REGEXMATCH(A391,""(?i)relationship"")"),FALSE)</f>
        <v>0</v>
      </c>
      <c r="F391" s="6"/>
      <c r="G391" s="6" t="s">
        <v>2082</v>
      </c>
      <c r="H391" s="12"/>
      <c r="I391" s="12"/>
      <c r="J391" s="12"/>
      <c r="K391" s="12"/>
      <c r="L391" s="12"/>
      <c r="M391" s="32"/>
      <c r="N391" s="13" t="str">
        <f t="shared" si="34"/>
        <v/>
      </c>
      <c r="O391" s="14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>
      <c r="A392" s="6" t="s">
        <v>1520</v>
      </c>
      <c r="B392" s="6" t="s">
        <v>1520</v>
      </c>
      <c r="C392" s="9">
        <f>countif(Quantities!A:A,A392)</f>
        <v>0</v>
      </c>
      <c r="D392" s="9" t="b">
        <f>IFERROR(__xludf.DUMMYFUNCTION("REGEXMATCH(A392,""(?i)ratio"")"),FALSE)</f>
        <v>0</v>
      </c>
      <c r="E392" s="9" t="b">
        <f>IFERROR(__xludf.DUMMYFUNCTION("REGEXMATCH(A392,""(?i)relationship"")"),FALSE)</f>
        <v>0</v>
      </c>
      <c r="F392" s="6"/>
      <c r="G392" s="12"/>
      <c r="H392" s="12"/>
      <c r="I392" s="12"/>
      <c r="J392" s="12"/>
      <c r="K392" s="12"/>
      <c r="L392" s="12"/>
      <c r="M392" s="13"/>
      <c r="N392" s="13"/>
      <c r="O392" s="20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>
      <c r="A393" s="6" t="s">
        <v>2082</v>
      </c>
      <c r="B393" s="6" t="s">
        <v>2101</v>
      </c>
      <c r="C393" s="9">
        <f>countif(Quantities!A:A,A393)</f>
        <v>0</v>
      </c>
      <c r="D393" s="9" t="b">
        <f>IFERROR(__xludf.DUMMYFUNCTION("REGEXMATCH(A393,""(?i)ratio"")"),FALSE)</f>
        <v>0</v>
      </c>
      <c r="E393" s="9" t="b">
        <f>IFERROR(__xludf.DUMMYFUNCTION("REGEXMATCH(A393,""(?i)relationship"")"),FALSE)</f>
        <v>0</v>
      </c>
      <c r="F393" s="6"/>
      <c r="G393" s="6" t="s">
        <v>2076</v>
      </c>
      <c r="H393" s="6"/>
      <c r="I393" s="6"/>
      <c r="J393" s="6"/>
      <c r="K393" s="12"/>
      <c r="L393" s="12"/>
      <c r="M393" s="32"/>
      <c r="N393" s="13" t="str">
        <f>if(isblank(M393),"",hyperlink("https://www.wikidata.org/wiki/"&amp;M393,M393))</f>
        <v/>
      </c>
      <c r="O393" s="14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>
      <c r="A394" s="17" t="s">
        <v>2106</v>
      </c>
      <c r="B394" s="17" t="s">
        <v>2106</v>
      </c>
      <c r="C394" s="9">
        <f>countif(Quantities!A:A,A394)</f>
        <v>0</v>
      </c>
      <c r="D394" s="9" t="b">
        <f>IFERROR(__xludf.DUMMYFUNCTION("REGEXMATCH(A394,""(?i)ratio"")"),FALSE)</f>
        <v>0</v>
      </c>
      <c r="E394" s="9" t="b">
        <f>IFERROR(__xludf.DUMMYFUNCTION("REGEXMATCH(A394,""(?i)relationship"")"),FALSE)</f>
        <v>0</v>
      </c>
      <c r="F394" s="12"/>
      <c r="G394" s="17"/>
      <c r="H394" s="17"/>
      <c r="I394" s="31"/>
      <c r="J394" s="31"/>
      <c r="K394" s="12"/>
      <c r="L394" s="12"/>
      <c r="M394" s="32"/>
      <c r="N394" s="13"/>
      <c r="O394" s="14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>
      <c r="A395" s="6" t="s">
        <v>2107</v>
      </c>
      <c r="B395" s="6" t="s">
        <v>2107</v>
      </c>
      <c r="C395" s="9">
        <f>countif(Quantities!A:A,A395)</f>
        <v>0</v>
      </c>
      <c r="D395" s="9" t="b">
        <f>IFERROR(__xludf.DUMMYFUNCTION("REGEXMATCH(A395,""(?i)ratio"")"),FALSE)</f>
        <v>0</v>
      </c>
      <c r="E395" s="9" t="b">
        <f>IFERROR(__xludf.DUMMYFUNCTION("REGEXMATCH(A395,""(?i)relationship"")"),FALSE)</f>
        <v>0</v>
      </c>
      <c r="F395" s="6"/>
      <c r="G395" s="6"/>
      <c r="H395" s="6"/>
      <c r="I395" s="12"/>
      <c r="J395" s="12"/>
      <c r="K395" s="12"/>
      <c r="L395" s="12"/>
      <c r="M395" s="13"/>
      <c r="N395" s="13"/>
      <c r="O395" s="14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>
      <c r="A396" s="17" t="s">
        <v>1280</v>
      </c>
      <c r="B396" s="27" t="str">
        <f>VLOOKUP(A396,Quantities!A:B,2,false)</f>
        <v>Speed Of Light In Vacuum</v>
      </c>
      <c r="C396" s="9">
        <f>countif(Quantities!A:A,A396)</f>
        <v>1</v>
      </c>
      <c r="D396" s="9" t="b">
        <f>IFERROR(__xludf.DUMMYFUNCTION("REGEXMATCH(A396,""(?i)ratio"")"),FALSE)</f>
        <v>0</v>
      </c>
      <c r="E396" s="9" t="b">
        <f>IFERROR(__xludf.DUMMYFUNCTION("REGEXMATCH(A396,""(?i)relationship"")"),FALSE)</f>
        <v>0</v>
      </c>
      <c r="F396" s="12"/>
      <c r="G396" s="6" t="s">
        <v>494</v>
      </c>
      <c r="H396" s="17" t="s">
        <v>2115</v>
      </c>
      <c r="I396" s="31"/>
      <c r="J396" s="31"/>
      <c r="K396" s="12"/>
      <c r="L396" s="12"/>
      <c r="M396" s="32"/>
      <c r="N396" s="13" t="str">
        <f t="shared" ref="N396:N409" si="35">if(isblank(M396),"",hyperlink("https://www.wikidata.org/wiki/"&amp;M396,M396))</f>
        <v/>
      </c>
      <c r="O396" s="14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>
      <c r="A397" s="33" t="s">
        <v>1286</v>
      </c>
      <c r="B397" s="27" t="str">
        <f>VLOOKUP(A397,Quantities!A:B,2,false)</f>
        <v>Standard Acceleration Of Gravity</v>
      </c>
      <c r="C397" s="9">
        <f>countif(Quantities!A:A,A397)</f>
        <v>1</v>
      </c>
      <c r="D397" s="9" t="b">
        <f>IFERROR(__xludf.DUMMYFUNCTION("REGEXMATCH(A397,""(?i)ratio"")"),TRUE)</f>
        <v>1</v>
      </c>
      <c r="E397" s="9" t="b">
        <f>IFERROR(__xludf.DUMMYFUNCTION("REGEXMATCH(A397,""(?i)relationship"")"),FALSE)</f>
        <v>0</v>
      </c>
      <c r="F397" s="12"/>
      <c r="G397" s="17"/>
      <c r="H397" s="17" t="s">
        <v>2118</v>
      </c>
      <c r="I397" s="31"/>
      <c r="J397" s="31"/>
      <c r="K397" s="12"/>
      <c r="L397" s="12"/>
      <c r="M397" s="32"/>
      <c r="N397" s="13" t="str">
        <f t="shared" si="35"/>
        <v/>
      </c>
      <c r="O397" s="14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>
      <c r="A398" s="33" t="s">
        <v>1289</v>
      </c>
      <c r="B398" s="27" t="str">
        <f>VLOOKUP(A398,Quantities!A:B,2,false)</f>
        <v>Standard Atmosphere</v>
      </c>
      <c r="C398" s="9">
        <f>countif(Quantities!A:A,A398)</f>
        <v>1</v>
      </c>
      <c r="D398" s="9" t="b">
        <f>IFERROR(__xludf.DUMMYFUNCTION("REGEXMATCH(A398,""(?i)ratio"")"),FALSE)</f>
        <v>0</v>
      </c>
      <c r="E398" s="9" t="b">
        <f>IFERROR(__xludf.DUMMYFUNCTION("REGEXMATCH(A398,""(?i)relationship"")"),FALSE)</f>
        <v>0</v>
      </c>
      <c r="F398" s="12"/>
      <c r="G398" s="17"/>
      <c r="I398" s="31"/>
      <c r="J398" s="31"/>
      <c r="K398" s="12"/>
      <c r="L398" s="12"/>
      <c r="M398" s="32"/>
      <c r="N398" s="13" t="str">
        <f t="shared" si="35"/>
        <v/>
      </c>
      <c r="O398" s="14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>
      <c r="A399" s="22" t="s">
        <v>1292</v>
      </c>
      <c r="B399" s="27" t="str">
        <f>VLOOKUP(A399,Quantities!A:B,2,false)</f>
        <v>Standard-State Pressure</v>
      </c>
      <c r="C399" s="9">
        <f>countif(Quantities!A:A,A399)</f>
        <v>1</v>
      </c>
      <c r="D399" s="9" t="b">
        <f>IFERROR(__xludf.DUMMYFUNCTION("REGEXMATCH(A399,""(?i)ratio"")"),FALSE)</f>
        <v>0</v>
      </c>
      <c r="E399" s="9" t="b">
        <f>IFERROR(__xludf.DUMMYFUNCTION("REGEXMATCH(A399,""(?i)relationship"")"),FALSE)</f>
        <v>0</v>
      </c>
      <c r="F399" s="12"/>
      <c r="G399" s="17"/>
      <c r="I399" s="31"/>
      <c r="J399" s="31"/>
      <c r="K399" s="12"/>
      <c r="L399" s="12"/>
      <c r="M399" s="32"/>
      <c r="N399" s="13" t="str">
        <f t="shared" si="35"/>
        <v/>
      </c>
      <c r="O399" s="14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>
      <c r="A400" s="33" t="s">
        <v>1294</v>
      </c>
      <c r="B400" s="27" t="str">
        <f>VLOOKUP(A400,Quantities!A:B,2,false)</f>
        <v>Stefan-Boltzmann Constant</v>
      </c>
      <c r="C400" s="9">
        <f>countif(Quantities!A:A,A400)</f>
        <v>1</v>
      </c>
      <c r="D400" s="9" t="b">
        <f>IFERROR(__xludf.DUMMYFUNCTION("REGEXMATCH(A400,""(?i)ratio"")"),FALSE)</f>
        <v>0</v>
      </c>
      <c r="E400" s="9" t="b">
        <f>IFERROR(__xludf.DUMMYFUNCTION("REGEXMATCH(A400,""(?i)relationship"")"),FALSE)</f>
        <v>0</v>
      </c>
      <c r="F400" s="12"/>
      <c r="G400" s="17"/>
      <c r="H400" s="17" t="s">
        <v>519</v>
      </c>
      <c r="I400" s="31"/>
      <c r="J400" s="31"/>
      <c r="K400" s="12"/>
      <c r="L400" s="12"/>
      <c r="M400" s="32"/>
      <c r="N400" s="13" t="str">
        <f t="shared" si="35"/>
        <v/>
      </c>
      <c r="O400" s="14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>
      <c r="A401" s="22" t="s">
        <v>2129</v>
      </c>
      <c r="B401" s="6" t="s">
        <v>2129</v>
      </c>
      <c r="C401" s="9">
        <f>countif(Quantities!A:A,A401)</f>
        <v>0</v>
      </c>
      <c r="D401" s="9" t="b">
        <f>IFERROR(__xludf.DUMMYFUNCTION("REGEXMATCH(A401,""(?i)ratio"")"),FALSE)</f>
        <v>0</v>
      </c>
      <c r="E401" s="9" t="b">
        <f>IFERROR(__xludf.DUMMYFUNCTION("REGEXMATCH(A401,""(?i)relationship"")"),FALSE)</f>
        <v>0</v>
      </c>
      <c r="F401" s="12"/>
      <c r="G401" s="17" t="s">
        <v>864</v>
      </c>
      <c r="H401" s="17"/>
      <c r="I401" s="31"/>
      <c r="J401" s="31"/>
      <c r="K401" s="12"/>
      <c r="L401" s="12"/>
      <c r="M401" s="13" t="s">
        <v>2133</v>
      </c>
      <c r="N401" s="25" t="str">
        <f t="shared" si="35"/>
        <v>Q188392</v>
      </c>
      <c r="O401" s="14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>
      <c r="A402" s="33" t="s">
        <v>1299</v>
      </c>
      <c r="B402" s="27" t="str">
        <f>VLOOKUP(A402,Quantities!A:B,2,false)</f>
        <v>Tau Compton Wavelength</v>
      </c>
      <c r="C402" s="9">
        <f>countif(Quantities!A:A,A402)</f>
        <v>1</v>
      </c>
      <c r="D402" s="9" t="b">
        <f>IFERROR(__xludf.DUMMYFUNCTION("REGEXMATCH(A402,""(?i)ratio"")"),FALSE)</f>
        <v>0</v>
      </c>
      <c r="E402" s="9" t="b">
        <f>IFERROR(__xludf.DUMMYFUNCTION("REGEXMATCH(A402,""(?i)relationship"")"),FALSE)</f>
        <v>0</v>
      </c>
      <c r="F402" s="12"/>
      <c r="G402" s="17"/>
      <c r="H402" s="17" t="s">
        <v>2136</v>
      </c>
      <c r="I402" s="31"/>
      <c r="J402" s="31"/>
      <c r="K402" s="12"/>
      <c r="L402" s="12"/>
      <c r="M402" s="32"/>
      <c r="N402" s="13" t="str">
        <f t="shared" si="35"/>
        <v/>
      </c>
      <c r="O402" s="14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>
      <c r="A403" s="33" t="s">
        <v>1305</v>
      </c>
      <c r="B403" s="27" t="str">
        <f>VLOOKUP(A403,Quantities!A:B,2,false)</f>
        <v>Tau - Electron Mass Ratio</v>
      </c>
      <c r="C403" s="9">
        <f>countif(Quantities!A:A,A403)</f>
        <v>1</v>
      </c>
      <c r="D403" s="9" t="b">
        <f>IFERROR(__xludf.DUMMYFUNCTION("REGEXMATCH(A403,""(?i)ratio"")"),TRUE)</f>
        <v>1</v>
      </c>
      <c r="E403" s="9" t="b">
        <f>IFERROR(__xludf.DUMMYFUNCTION("REGEXMATCH(A403,""(?i)relationship"")"),FALSE)</f>
        <v>0</v>
      </c>
      <c r="F403" s="12"/>
      <c r="G403" s="17"/>
      <c r="H403" s="17" t="s">
        <v>2143</v>
      </c>
      <c r="I403" s="31"/>
      <c r="J403" s="31"/>
      <c r="K403" s="12"/>
      <c r="L403" s="12"/>
      <c r="M403" s="32"/>
      <c r="N403" s="13" t="str">
        <f t="shared" si="35"/>
        <v/>
      </c>
      <c r="O403" s="14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>
      <c r="A404" s="33" t="s">
        <v>1307</v>
      </c>
      <c r="B404" s="27" t="str">
        <f>VLOOKUP(A404,Quantities!A:B,2,false)</f>
        <v>Tau Mass</v>
      </c>
      <c r="C404" s="9">
        <f>countif(Quantities!A:A,A404)</f>
        <v>1</v>
      </c>
      <c r="D404" s="9" t="b">
        <f>IFERROR(__xludf.DUMMYFUNCTION("REGEXMATCH(A404,""(?i)ratio"")"),FALSE)</f>
        <v>0</v>
      </c>
      <c r="E404" s="9" t="b">
        <f>IFERROR(__xludf.DUMMYFUNCTION("REGEXMATCH(A404,""(?i)relationship"")"),FALSE)</f>
        <v>0</v>
      </c>
      <c r="F404" s="12"/>
      <c r="G404" s="17"/>
      <c r="H404" s="17" t="s">
        <v>2146</v>
      </c>
      <c r="I404" s="31"/>
      <c r="J404" s="31"/>
      <c r="K404" s="12"/>
      <c r="L404" s="12"/>
      <c r="M404" s="32"/>
      <c r="N404" s="13" t="str">
        <f t="shared" si="35"/>
        <v/>
      </c>
      <c r="O404" s="14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>
      <c r="A405" s="17" t="s">
        <v>1310</v>
      </c>
      <c r="B405" s="27" t="str">
        <f>VLOOKUP(A405,Quantities!A:B,2,false)</f>
        <v>Tau Mass Energy Equivalent</v>
      </c>
      <c r="C405" s="9">
        <f>countif(Quantities!A:A,A405)</f>
        <v>1</v>
      </c>
      <c r="D405" s="9" t="b">
        <f>IFERROR(__xludf.DUMMYFUNCTION("REGEXMATCH(A405,""(?i)ratio"")"),FALSE)</f>
        <v>0</v>
      </c>
      <c r="E405" s="9" t="b">
        <f>IFERROR(__xludf.DUMMYFUNCTION("REGEXMATCH(A405,""(?i)relationship"")"),FALSE)</f>
        <v>0</v>
      </c>
      <c r="F405" s="12"/>
      <c r="G405" s="17"/>
      <c r="H405" s="17" t="s">
        <v>2149</v>
      </c>
      <c r="I405" s="31"/>
      <c r="J405" s="31"/>
      <c r="K405" s="12"/>
      <c r="L405" s="12"/>
      <c r="M405" s="32"/>
      <c r="N405" s="13" t="str">
        <f t="shared" si="35"/>
        <v/>
      </c>
      <c r="O405" s="14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>
      <c r="A406" s="33" t="s">
        <v>1313</v>
      </c>
      <c r="B406" s="27" t="str">
        <f>VLOOKUP(A406,Quantities!A:B,2,false)</f>
        <v>Tau Molar Mass</v>
      </c>
      <c r="C406" s="9">
        <f>countif(Quantities!A:A,A406)</f>
        <v>1</v>
      </c>
      <c r="D406" s="9" t="b">
        <f>IFERROR(__xludf.DUMMYFUNCTION("REGEXMATCH(A406,""(?i)ratio"")"),FALSE)</f>
        <v>0</v>
      </c>
      <c r="E406" s="9" t="b">
        <f>IFERROR(__xludf.DUMMYFUNCTION("REGEXMATCH(A406,""(?i)relationship"")"),FALSE)</f>
        <v>0</v>
      </c>
      <c r="F406" s="12"/>
      <c r="G406" s="17"/>
      <c r="H406" s="17" t="s">
        <v>2152</v>
      </c>
      <c r="I406" s="31"/>
      <c r="J406" s="31"/>
      <c r="K406" s="12"/>
      <c r="L406" s="12"/>
      <c r="M406" s="32"/>
      <c r="N406" s="13" t="str">
        <f t="shared" si="35"/>
        <v/>
      </c>
      <c r="O406" s="14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>
      <c r="A407" s="33" t="s">
        <v>1330</v>
      </c>
      <c r="B407" s="27" t="str">
        <f>VLOOKUP(A407,Quantities!A:B,2,false)</f>
        <v>Tau - Muon Mass Ratio</v>
      </c>
      <c r="C407" s="9">
        <f>countif(Quantities!A:A,A407)</f>
        <v>1</v>
      </c>
      <c r="D407" s="9" t="b">
        <f>IFERROR(__xludf.DUMMYFUNCTION("REGEXMATCH(A407,""(?i)ratio"")"),TRUE)</f>
        <v>1</v>
      </c>
      <c r="E407" s="9" t="b">
        <f>IFERROR(__xludf.DUMMYFUNCTION("REGEXMATCH(A407,""(?i)relationship"")"),FALSE)</f>
        <v>0</v>
      </c>
      <c r="F407" s="12"/>
      <c r="G407" s="17"/>
      <c r="H407" s="17" t="s">
        <v>2158</v>
      </c>
      <c r="I407" s="31"/>
      <c r="J407" s="31"/>
      <c r="K407" s="12"/>
      <c r="L407" s="12"/>
      <c r="M407" s="32"/>
      <c r="N407" s="13" t="str">
        <f t="shared" si="35"/>
        <v/>
      </c>
      <c r="O407" s="14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>
      <c r="A408" s="33" t="s">
        <v>1332</v>
      </c>
      <c r="B408" s="27" t="str">
        <f>VLOOKUP(A408,Quantities!A:B,2,false)</f>
        <v>Tau - Neutron Mass Ratio</v>
      </c>
      <c r="C408" s="9">
        <f>countif(Quantities!A:A,A408)</f>
        <v>1</v>
      </c>
      <c r="D408" s="9" t="b">
        <f>IFERROR(__xludf.DUMMYFUNCTION("REGEXMATCH(A408,""(?i)ratio"")"),TRUE)</f>
        <v>1</v>
      </c>
      <c r="E408" s="9" t="b">
        <f>IFERROR(__xludf.DUMMYFUNCTION("REGEXMATCH(A408,""(?i)relationship"")"),FALSE)</f>
        <v>0</v>
      </c>
      <c r="F408" s="12"/>
      <c r="G408" s="17"/>
      <c r="H408" s="17" t="s">
        <v>2161</v>
      </c>
      <c r="I408" s="31"/>
      <c r="J408" s="31"/>
      <c r="K408" s="12"/>
      <c r="L408" s="12"/>
      <c r="M408" s="32"/>
      <c r="N408" s="13" t="str">
        <f t="shared" si="35"/>
        <v/>
      </c>
      <c r="O408" s="14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>
      <c r="A409" s="33" t="s">
        <v>1339</v>
      </c>
      <c r="B409" s="27" t="str">
        <f>VLOOKUP(A409,Quantities!A:B,2,false)</f>
        <v>Tau - Proton Mass Ratio</v>
      </c>
      <c r="C409" s="9">
        <f>countif(Quantities!A:A,A409)</f>
        <v>1</v>
      </c>
      <c r="D409" s="9" t="b">
        <f>IFERROR(__xludf.DUMMYFUNCTION("REGEXMATCH(A409,""(?i)ratio"")"),TRUE)</f>
        <v>1</v>
      </c>
      <c r="E409" s="9" t="b">
        <f>IFERROR(__xludf.DUMMYFUNCTION("REGEXMATCH(A409,""(?i)relationship"")"),FALSE)</f>
        <v>0</v>
      </c>
      <c r="F409" s="12"/>
      <c r="G409" s="17"/>
      <c r="H409" s="17" t="s">
        <v>2164</v>
      </c>
      <c r="I409" s="31"/>
      <c r="J409" s="31"/>
      <c r="K409" s="12"/>
      <c r="L409" s="12"/>
      <c r="M409" s="32"/>
      <c r="N409" s="13" t="str">
        <f t="shared" si="35"/>
        <v/>
      </c>
      <c r="O409" s="14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>
      <c r="A410" s="6" t="s">
        <v>2165</v>
      </c>
      <c r="B410" s="6" t="s">
        <v>2165</v>
      </c>
      <c r="C410" s="9">
        <f>countif(Quantities!A:A,A410)</f>
        <v>0</v>
      </c>
      <c r="D410" s="9" t="b">
        <f>IFERROR(__xludf.DUMMYFUNCTION("REGEXMATCH(A410,""(?i)ratio"")"),FALSE)</f>
        <v>0</v>
      </c>
      <c r="E410" s="9" t="b">
        <f>IFERROR(__xludf.DUMMYFUNCTION("REGEXMATCH(A410,""(?i)relationship"")"),FALSE)</f>
        <v>0</v>
      </c>
      <c r="F410" s="6"/>
      <c r="G410" s="6"/>
      <c r="H410" s="6"/>
      <c r="I410" s="12"/>
      <c r="J410" s="12"/>
      <c r="K410" s="12"/>
      <c r="L410" s="12"/>
      <c r="M410" s="13"/>
      <c r="N410" s="13"/>
      <c r="O410" s="14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>
      <c r="A411" s="33" t="s">
        <v>1342</v>
      </c>
      <c r="B411" s="27" t="str">
        <f>VLOOKUP(A411,Quantities!A:B,2,false)</f>
        <v>Thomson Cross Section</v>
      </c>
      <c r="C411" s="9">
        <f>countif(Quantities!A:A,A411)</f>
        <v>1</v>
      </c>
      <c r="D411" s="9" t="b">
        <f>IFERROR(__xludf.DUMMYFUNCTION("REGEXMATCH(A411,""(?i)ratio"")"),FALSE)</f>
        <v>0</v>
      </c>
      <c r="E411" s="9" t="b">
        <f>IFERROR(__xludf.DUMMYFUNCTION("REGEXMATCH(A411,""(?i)relationship"")"),FALSE)</f>
        <v>0</v>
      </c>
      <c r="F411" s="12"/>
      <c r="G411" s="17"/>
      <c r="H411" s="17" t="s">
        <v>2174</v>
      </c>
      <c r="I411" s="31"/>
      <c r="J411" s="31"/>
      <c r="K411" s="12"/>
      <c r="L411" s="12"/>
      <c r="M411" s="32"/>
      <c r="N411" s="13" t="str">
        <f t="shared" ref="N411:N428" si="36">if(isblank(M411),"",hyperlink("https://www.wikidata.org/wiki/"&amp;M411,M411))</f>
        <v/>
      </c>
      <c r="O411" s="14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>
      <c r="A412" s="16" t="s">
        <v>2175</v>
      </c>
      <c r="B412" s="6" t="s">
        <v>2175</v>
      </c>
      <c r="C412" s="9">
        <f>countif(Quantities!A:A,A412)</f>
        <v>0</v>
      </c>
      <c r="D412" s="9" t="b">
        <f>IFERROR(__xludf.DUMMYFUNCTION("REGEXMATCH(A412,""(?i)ratio"")"),FALSE)</f>
        <v>0</v>
      </c>
      <c r="E412" s="9" t="b">
        <f>IFERROR(__xludf.DUMMYFUNCTION("REGEXMATCH(A412,""(?i)relationship"")"),FALSE)</f>
        <v>0</v>
      </c>
      <c r="F412" s="6"/>
      <c r="G412" s="12"/>
      <c r="H412" s="12"/>
      <c r="I412" s="12"/>
      <c r="J412" s="12"/>
      <c r="K412" s="12"/>
      <c r="L412" s="12"/>
      <c r="M412" s="32"/>
      <c r="N412" s="13" t="str">
        <f t="shared" si="36"/>
        <v/>
      </c>
      <c r="O412" s="14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>
      <c r="A413" s="22" t="s">
        <v>2179</v>
      </c>
      <c r="B413" s="22" t="s">
        <v>2179</v>
      </c>
      <c r="C413" s="9">
        <f>countif(Quantities!A:A,A413)</f>
        <v>0</v>
      </c>
      <c r="D413" s="9" t="b">
        <f>IFERROR(__xludf.DUMMYFUNCTION("REGEXMATCH(A413,""(?i)ratio"")"),FALSE)</f>
        <v>0</v>
      </c>
      <c r="E413" s="9" t="b">
        <f>IFERROR(__xludf.DUMMYFUNCTION("REGEXMATCH(A413,""(?i)relationship"")"),FALSE)</f>
        <v>0</v>
      </c>
      <c r="F413" s="12"/>
      <c r="G413" s="17"/>
      <c r="H413" s="17"/>
      <c r="I413" s="31"/>
      <c r="J413" s="31"/>
      <c r="K413" s="12"/>
      <c r="L413" s="12"/>
      <c r="M413" s="13" t="s">
        <v>2182</v>
      </c>
      <c r="N413" s="25" t="str">
        <f t="shared" si="36"/>
        <v>Q54389</v>
      </c>
      <c r="O413" s="14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>
      <c r="A414" s="22" t="s">
        <v>2183</v>
      </c>
      <c r="B414" s="22" t="s">
        <v>2183</v>
      </c>
      <c r="C414" s="9">
        <f>countif(Quantities!A:A,A414)</f>
        <v>0</v>
      </c>
      <c r="D414" s="9" t="b">
        <f>IFERROR(__xludf.DUMMYFUNCTION("REGEXMATCH(A414,""(?i)ratio"")"),FALSE)</f>
        <v>0</v>
      </c>
      <c r="E414" s="9" t="b">
        <f>IFERROR(__xludf.DUMMYFUNCTION("REGEXMATCH(A414,""(?i)relationship"")"),FALSE)</f>
        <v>0</v>
      </c>
      <c r="F414" s="12"/>
      <c r="G414" s="17"/>
      <c r="H414" s="17"/>
      <c r="I414" s="56" t="s">
        <v>2179</v>
      </c>
      <c r="J414" s="31"/>
      <c r="K414" s="12"/>
      <c r="L414" s="12"/>
      <c r="M414" s="32"/>
      <c r="N414" s="13" t="str">
        <f t="shared" si="36"/>
        <v/>
      </c>
      <c r="O414" s="14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>
      <c r="A415" s="33" t="s">
        <v>1344</v>
      </c>
      <c r="B415" s="27" t="str">
        <f>VLOOKUP(A415,Quantities!A:B,2,false)</f>
        <v>Triton - Electron Magnetic Moment Ratio</v>
      </c>
      <c r="C415" s="9">
        <f>countif(Quantities!A:A,A415)</f>
        <v>1</v>
      </c>
      <c r="D415" s="9" t="b">
        <f>IFERROR(__xludf.DUMMYFUNCTION("REGEXMATCH(A415,""(?i)ratio"")"),TRUE)</f>
        <v>1</v>
      </c>
      <c r="E415" s="9" t="b">
        <f>IFERROR(__xludf.DUMMYFUNCTION("REGEXMATCH(A415,""(?i)relationship"")"),FALSE)</f>
        <v>0</v>
      </c>
      <c r="F415" s="12"/>
      <c r="G415" s="17"/>
      <c r="H415" s="17" t="s">
        <v>2189</v>
      </c>
      <c r="I415" s="31"/>
      <c r="J415" s="31"/>
      <c r="K415" s="12"/>
      <c r="L415" s="12"/>
      <c r="M415" s="32"/>
      <c r="N415" s="13" t="str">
        <f t="shared" si="36"/>
        <v/>
      </c>
      <c r="O415" s="14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>
      <c r="A416" s="33" t="s">
        <v>1347</v>
      </c>
      <c r="B416" s="27" t="str">
        <f>VLOOKUP(A416,Quantities!A:B,2,false)</f>
        <v>Triton - Electron Mass Ratio</v>
      </c>
      <c r="C416" s="9">
        <f>countif(Quantities!A:A,A416)</f>
        <v>1</v>
      </c>
      <c r="D416" s="9" t="b">
        <f>IFERROR(__xludf.DUMMYFUNCTION("REGEXMATCH(A416,""(?i)ratio"")"),TRUE)</f>
        <v>1</v>
      </c>
      <c r="E416" s="9" t="b">
        <f>IFERROR(__xludf.DUMMYFUNCTION("REGEXMATCH(A416,""(?i)relationship"")"),FALSE)</f>
        <v>0</v>
      </c>
      <c r="F416" s="12"/>
      <c r="G416" s="17"/>
      <c r="H416" s="17" t="s">
        <v>2192</v>
      </c>
      <c r="I416" s="31"/>
      <c r="J416" s="31"/>
      <c r="K416" s="12"/>
      <c r="L416" s="12"/>
      <c r="M416" s="32"/>
      <c r="N416" s="13" t="str">
        <f t="shared" si="36"/>
        <v/>
      </c>
      <c r="O416" s="14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>
      <c r="A417" s="33" t="s">
        <v>1353</v>
      </c>
      <c r="B417" s="27" t="str">
        <f>VLOOKUP(A417,Quantities!A:B,2,false)</f>
        <v>Triton G Factor</v>
      </c>
      <c r="C417" s="9">
        <f>countif(Quantities!A:A,A417)</f>
        <v>1</v>
      </c>
      <c r="D417" s="9" t="b">
        <f>IFERROR(__xludf.DUMMYFUNCTION("REGEXMATCH(A417,""(?i)ratio"")"),FALSE)</f>
        <v>0</v>
      </c>
      <c r="E417" s="9" t="b">
        <f>IFERROR(__xludf.DUMMYFUNCTION("REGEXMATCH(A417,""(?i)relationship"")"),FALSE)</f>
        <v>0</v>
      </c>
      <c r="F417" s="12"/>
      <c r="G417" s="17"/>
      <c r="H417" s="17" t="s">
        <v>2195</v>
      </c>
      <c r="I417" s="31"/>
      <c r="J417" s="31"/>
      <c r="K417" s="12"/>
      <c r="L417" s="12"/>
      <c r="M417" s="32"/>
      <c r="N417" s="13" t="str">
        <f t="shared" si="36"/>
        <v/>
      </c>
      <c r="O417" s="14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>
      <c r="A418" s="33" t="s">
        <v>1356</v>
      </c>
      <c r="B418" s="27" t="str">
        <f>VLOOKUP(A418,Quantities!A:B,2,false)</f>
        <v>Triton Magnetic Moment</v>
      </c>
      <c r="C418" s="9">
        <f>countif(Quantities!A:A,A418)</f>
        <v>1</v>
      </c>
      <c r="D418" s="9" t="b">
        <f>IFERROR(__xludf.DUMMYFUNCTION("REGEXMATCH(A418,""(?i)ratio"")"),FALSE)</f>
        <v>0</v>
      </c>
      <c r="E418" s="9" t="b">
        <f>IFERROR(__xludf.DUMMYFUNCTION("REGEXMATCH(A418,""(?i)relationship"")"),FALSE)</f>
        <v>0</v>
      </c>
      <c r="F418" s="12"/>
      <c r="G418" s="17"/>
      <c r="H418" s="17" t="s">
        <v>2199</v>
      </c>
      <c r="I418" s="31"/>
      <c r="J418" s="31"/>
      <c r="K418" s="12"/>
      <c r="L418" s="12"/>
      <c r="M418" s="32"/>
      <c r="N418" s="13" t="str">
        <f t="shared" si="36"/>
        <v/>
      </c>
      <c r="O418" s="14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>
      <c r="A419" s="33" t="s">
        <v>1359</v>
      </c>
      <c r="B419" s="27" t="str">
        <f>VLOOKUP(A419,Quantities!A:B,2,false)</f>
        <v>Triton Magnetic Moment To Bohr Magneton Ratio</v>
      </c>
      <c r="C419" s="9">
        <f>countif(Quantities!A:A,A419)</f>
        <v>1</v>
      </c>
      <c r="D419" s="9" t="b">
        <f>IFERROR(__xludf.DUMMYFUNCTION("REGEXMATCH(A419,""(?i)ratio"")"),TRUE)</f>
        <v>1</v>
      </c>
      <c r="E419" s="9" t="b">
        <f>IFERROR(__xludf.DUMMYFUNCTION("REGEXMATCH(A419,""(?i)relationship"")"),FALSE)</f>
        <v>0</v>
      </c>
      <c r="F419" s="12"/>
      <c r="G419" s="17"/>
      <c r="H419" s="17" t="s">
        <v>2203</v>
      </c>
      <c r="I419" s="31"/>
      <c r="J419" s="31"/>
      <c r="K419" s="12"/>
      <c r="L419" s="12"/>
      <c r="M419" s="32"/>
      <c r="N419" s="13" t="str">
        <f t="shared" si="36"/>
        <v/>
      </c>
      <c r="O419" s="14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>
      <c r="A420" s="33" t="s">
        <v>1361</v>
      </c>
      <c r="B420" s="27" t="str">
        <f>VLOOKUP(A420,Quantities!A:B,2,false)</f>
        <v>Triton Magnetic Moment To Nuclear Magneton Ratio</v>
      </c>
      <c r="C420" s="9">
        <f>countif(Quantities!A:A,A420)</f>
        <v>1</v>
      </c>
      <c r="D420" s="9" t="b">
        <f>IFERROR(__xludf.DUMMYFUNCTION("REGEXMATCH(A420,""(?i)ratio"")"),TRUE)</f>
        <v>1</v>
      </c>
      <c r="E420" s="9" t="b">
        <f>IFERROR(__xludf.DUMMYFUNCTION("REGEXMATCH(A420,""(?i)relationship"")"),FALSE)</f>
        <v>0</v>
      </c>
      <c r="F420" s="12"/>
      <c r="G420" s="17"/>
      <c r="H420" s="17" t="s">
        <v>2207</v>
      </c>
      <c r="I420" s="31"/>
      <c r="J420" s="31"/>
      <c r="K420" s="12"/>
      <c r="L420" s="12"/>
      <c r="M420" s="32"/>
      <c r="N420" s="13" t="str">
        <f t="shared" si="36"/>
        <v/>
      </c>
      <c r="O420" s="14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>
      <c r="A421" s="33" t="s">
        <v>1365</v>
      </c>
      <c r="B421" s="27" t="str">
        <f>VLOOKUP(A421,Quantities!A:B,2,false)</f>
        <v>Triton Mass</v>
      </c>
      <c r="C421" s="9">
        <f>countif(Quantities!A:A,A421)</f>
        <v>1</v>
      </c>
      <c r="D421" s="9" t="b">
        <f>IFERROR(__xludf.DUMMYFUNCTION("REGEXMATCH(A421,""(?i)ratio"")"),FALSE)</f>
        <v>0</v>
      </c>
      <c r="E421" s="9" t="b">
        <f>IFERROR(__xludf.DUMMYFUNCTION("REGEXMATCH(A421,""(?i)relationship"")"),FALSE)</f>
        <v>0</v>
      </c>
      <c r="F421" s="12"/>
      <c r="G421" s="17"/>
      <c r="H421" s="17" t="s">
        <v>2209</v>
      </c>
      <c r="I421" s="31"/>
      <c r="J421" s="31"/>
      <c r="K421" s="12"/>
      <c r="L421" s="12"/>
      <c r="M421" s="32"/>
      <c r="N421" s="13" t="str">
        <f t="shared" si="36"/>
        <v/>
      </c>
      <c r="O421" s="14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>
      <c r="A422" s="17" t="s">
        <v>1368</v>
      </c>
      <c r="B422" s="27" t="str">
        <f>VLOOKUP(A422,Quantities!A:B,2,false)</f>
        <v>Triton Mass Energy Equivalent</v>
      </c>
      <c r="C422" s="9">
        <f>countif(Quantities!A:A,A422)</f>
        <v>1</v>
      </c>
      <c r="D422" s="9" t="b">
        <f>IFERROR(__xludf.DUMMYFUNCTION("REGEXMATCH(A422,""(?i)ratio"")"),FALSE)</f>
        <v>0</v>
      </c>
      <c r="E422" s="9" t="b">
        <f>IFERROR(__xludf.DUMMYFUNCTION("REGEXMATCH(A422,""(?i)relationship"")"),FALSE)</f>
        <v>0</v>
      </c>
      <c r="F422" s="12"/>
      <c r="G422" s="17"/>
      <c r="H422" s="17" t="s">
        <v>2210</v>
      </c>
      <c r="I422" s="31"/>
      <c r="J422" s="31"/>
      <c r="K422" s="12"/>
      <c r="L422" s="12"/>
      <c r="M422" s="32"/>
      <c r="N422" s="13" t="str">
        <f t="shared" si="36"/>
        <v/>
      </c>
      <c r="O422" s="14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>
      <c r="A423" s="33" t="s">
        <v>1373</v>
      </c>
      <c r="B423" s="27" t="str">
        <f>VLOOKUP(A423,Quantities!A:B,2,false)</f>
        <v>Triton Molar Mass</v>
      </c>
      <c r="C423" s="9">
        <f>countif(Quantities!A:A,A423)</f>
        <v>1</v>
      </c>
      <c r="D423" s="9" t="b">
        <f>IFERROR(__xludf.DUMMYFUNCTION("REGEXMATCH(A423,""(?i)ratio"")"),FALSE)</f>
        <v>0</v>
      </c>
      <c r="E423" s="9" t="b">
        <f>IFERROR(__xludf.DUMMYFUNCTION("REGEXMATCH(A423,""(?i)relationship"")"),FALSE)</f>
        <v>0</v>
      </c>
      <c r="F423" s="12"/>
      <c r="G423" s="17"/>
      <c r="H423" s="17" t="s">
        <v>2211</v>
      </c>
      <c r="I423" s="31"/>
      <c r="J423" s="31"/>
      <c r="K423" s="12"/>
      <c r="L423" s="12"/>
      <c r="M423" s="32"/>
      <c r="N423" s="13" t="str">
        <f t="shared" si="36"/>
        <v/>
      </c>
      <c r="O423" s="14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>
      <c r="A424" s="33" t="s">
        <v>1376</v>
      </c>
      <c r="B424" s="27" t="str">
        <f>VLOOKUP(A424,Quantities!A:B,2,false)</f>
        <v>Triton - Neutron Magnetic Moment Ratio</v>
      </c>
      <c r="C424" s="9">
        <f>countif(Quantities!A:A,A424)</f>
        <v>1</v>
      </c>
      <c r="D424" s="9" t="b">
        <f>IFERROR(__xludf.DUMMYFUNCTION("REGEXMATCH(A424,""(?i)ratio"")"),TRUE)</f>
        <v>1</v>
      </c>
      <c r="E424" s="9" t="b">
        <f>IFERROR(__xludf.DUMMYFUNCTION("REGEXMATCH(A424,""(?i)relationship"")"),FALSE)</f>
        <v>0</v>
      </c>
      <c r="F424" s="12"/>
      <c r="G424" s="17"/>
      <c r="H424" s="17" t="s">
        <v>2212</v>
      </c>
      <c r="I424" s="31"/>
      <c r="J424" s="31"/>
      <c r="K424" s="12"/>
      <c r="L424" s="12"/>
      <c r="M424" s="32"/>
      <c r="N424" s="13" t="str">
        <f t="shared" si="36"/>
        <v/>
      </c>
      <c r="O424" s="14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>
      <c r="A425" s="33" t="s">
        <v>1379</v>
      </c>
      <c r="B425" s="27" t="str">
        <f>VLOOKUP(A425,Quantities!A:B,2,false)</f>
        <v>Triton To Proton Magnetic Moment Ratio</v>
      </c>
      <c r="C425" s="9">
        <f>countif(Quantities!A:A,A425)</f>
        <v>1</v>
      </c>
      <c r="D425" s="9" t="b">
        <f>IFERROR(__xludf.DUMMYFUNCTION("REGEXMATCH(A425,""(?i)ratio"")"),TRUE)</f>
        <v>1</v>
      </c>
      <c r="E425" s="9" t="b">
        <f>IFERROR(__xludf.DUMMYFUNCTION("REGEXMATCH(A425,""(?i)relationship"")"),FALSE)</f>
        <v>0</v>
      </c>
      <c r="F425" s="12"/>
      <c r="G425" s="17"/>
      <c r="H425" s="17" t="s">
        <v>2213</v>
      </c>
      <c r="I425" s="31"/>
      <c r="J425" s="31"/>
      <c r="K425" s="12"/>
      <c r="L425" s="12"/>
      <c r="M425" s="32"/>
      <c r="N425" s="13" t="str">
        <f t="shared" si="36"/>
        <v/>
      </c>
      <c r="O425" s="14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>
      <c r="A426" s="33" t="s">
        <v>1381</v>
      </c>
      <c r="B426" s="27" t="str">
        <f>VLOOKUP(A426,Quantities!A:B,2,false)</f>
        <v>Triton - Proton Mass Ratio</v>
      </c>
      <c r="C426" s="9">
        <f>countif(Quantities!A:A,A426)</f>
        <v>1</v>
      </c>
      <c r="D426" s="9" t="b">
        <f>IFERROR(__xludf.DUMMYFUNCTION("REGEXMATCH(A426,""(?i)ratio"")"),TRUE)</f>
        <v>1</v>
      </c>
      <c r="E426" s="9" t="b">
        <f>IFERROR(__xludf.DUMMYFUNCTION("REGEXMATCH(A426,""(?i)relationship"")"),FALSE)</f>
        <v>0</v>
      </c>
      <c r="F426" s="12"/>
      <c r="G426" s="17"/>
      <c r="H426" s="17" t="s">
        <v>2214</v>
      </c>
      <c r="I426" s="31"/>
      <c r="J426" s="31"/>
      <c r="K426" s="12"/>
      <c r="L426" s="12"/>
      <c r="M426" s="32"/>
      <c r="N426" s="13" t="str">
        <f t="shared" si="36"/>
        <v/>
      </c>
      <c r="O426" s="14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>
      <c r="A427" s="33" t="s">
        <v>1383</v>
      </c>
      <c r="B427" s="27" t="str">
        <f>VLOOKUP(A427,Quantities!A:B,2,false)</f>
        <v>Triton Relative Atomic Mass</v>
      </c>
      <c r="C427" s="9">
        <f>countif(Quantities!A:A,A427)</f>
        <v>1</v>
      </c>
      <c r="D427" s="9" t="b">
        <f>IFERROR(__xludf.DUMMYFUNCTION("REGEXMATCH(A427,""(?i)ratio"")"),FALSE)</f>
        <v>0</v>
      </c>
      <c r="E427" s="9" t="b">
        <f>IFERROR(__xludf.DUMMYFUNCTION("REGEXMATCH(A427,""(?i)relationship"")"),FALSE)</f>
        <v>0</v>
      </c>
      <c r="F427" s="12"/>
      <c r="G427" s="17"/>
      <c r="H427" s="17" t="s">
        <v>2218</v>
      </c>
      <c r="I427" s="31"/>
      <c r="J427" s="31"/>
      <c r="K427" s="12"/>
      <c r="L427" s="12"/>
      <c r="M427" s="32"/>
      <c r="N427" s="13" t="str">
        <f t="shared" si="36"/>
        <v/>
      </c>
      <c r="O427" s="14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>
      <c r="A428" s="33" t="s">
        <v>1386</v>
      </c>
      <c r="B428" s="27" t="str">
        <f>VLOOKUP(A428,Quantities!A:B,2,false)</f>
        <v>Unified Atomic Mass Unit</v>
      </c>
      <c r="C428" s="9">
        <f>countif(Quantities!A:A,A428)</f>
        <v>1</v>
      </c>
      <c r="D428" s="9" t="b">
        <f>IFERROR(__xludf.DUMMYFUNCTION("REGEXMATCH(A428,""(?i)ratio"")"),FALSE)</f>
        <v>0</v>
      </c>
      <c r="E428" s="9" t="b">
        <f>IFERROR(__xludf.DUMMYFUNCTION("REGEXMATCH(A428,""(?i)relationship"")"),FALSE)</f>
        <v>0</v>
      </c>
      <c r="F428" s="12"/>
      <c r="G428" s="17"/>
      <c r="H428" s="17" t="s">
        <v>120</v>
      </c>
      <c r="I428" s="31"/>
      <c r="J428" s="31"/>
      <c r="K428" s="12"/>
      <c r="L428" s="12"/>
      <c r="M428" s="32"/>
      <c r="N428" s="13" t="str">
        <f t="shared" si="36"/>
        <v/>
      </c>
      <c r="O428" s="14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>
      <c r="A429" s="6" t="s">
        <v>2220</v>
      </c>
      <c r="B429" s="6" t="s">
        <v>2220</v>
      </c>
      <c r="C429" s="9">
        <f>countif(Quantities!A:A,A429)</f>
        <v>0</v>
      </c>
      <c r="D429" s="9" t="b">
        <f>IFERROR(__xludf.DUMMYFUNCTION("REGEXMATCH(A429,""(?i)ratio"")"),FALSE)</f>
        <v>0</v>
      </c>
      <c r="E429" s="9" t="b">
        <f>IFERROR(__xludf.DUMMYFUNCTION("REGEXMATCH(A429,""(?i)relationship"")"),FALSE)</f>
        <v>0</v>
      </c>
      <c r="F429" s="6"/>
      <c r="G429" s="12"/>
      <c r="H429" s="12"/>
      <c r="I429" s="12"/>
      <c r="J429" s="12"/>
      <c r="K429" s="12"/>
      <c r="L429" s="12"/>
      <c r="M429" s="13"/>
      <c r="N429" s="13"/>
      <c r="O429" s="20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>
      <c r="A430" s="16" t="s">
        <v>2221</v>
      </c>
      <c r="B430" s="6" t="s">
        <v>2221</v>
      </c>
      <c r="C430" s="9">
        <f>countif(Quantities!A:A,A430)</f>
        <v>0</v>
      </c>
      <c r="D430" s="9" t="b">
        <f>IFERROR(__xludf.DUMMYFUNCTION("REGEXMATCH(A430,""(?i)ratio"")"),FALSE)</f>
        <v>0</v>
      </c>
      <c r="E430" s="9" t="b">
        <f>IFERROR(__xludf.DUMMYFUNCTION("REGEXMATCH(A430,""(?i)relationship"")"),FALSE)</f>
        <v>0</v>
      </c>
      <c r="F430" s="6"/>
      <c r="G430" s="12"/>
      <c r="H430" s="12"/>
      <c r="I430" s="12"/>
      <c r="J430" s="12"/>
      <c r="K430" s="12"/>
      <c r="L430" s="12"/>
      <c r="M430" s="32"/>
      <c r="N430" s="13" t="str">
        <f t="shared" ref="N430:N431" si="37">if(isblank(M430),"",hyperlink("https://www.wikidata.org/wiki/"&amp;M430,M430))</f>
        <v/>
      </c>
      <c r="O430" s="14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>
      <c r="A431" s="6" t="s">
        <v>2229</v>
      </c>
      <c r="B431" s="6" t="s">
        <v>2229</v>
      </c>
      <c r="C431" s="9">
        <f>countif(Quantities!A:A,A431)</f>
        <v>0</v>
      </c>
      <c r="D431" s="9" t="b">
        <f>IFERROR(__xludf.DUMMYFUNCTION("REGEXMATCH(A431,""(?i)ratio"")"),FALSE)</f>
        <v>0</v>
      </c>
      <c r="E431" s="9" t="b">
        <f>IFERROR(__xludf.DUMMYFUNCTION("REGEXMATCH(A431,""(?i)relationship"")"),FALSE)</f>
        <v>0</v>
      </c>
      <c r="F431" s="6"/>
      <c r="G431" s="12"/>
      <c r="H431" s="12"/>
      <c r="I431" s="12"/>
      <c r="J431" s="12"/>
      <c r="K431" s="12"/>
      <c r="L431" s="6" t="s">
        <v>546</v>
      </c>
      <c r="M431" s="13"/>
      <c r="N431" s="13" t="str">
        <f t="shared" si="37"/>
        <v/>
      </c>
      <c r="O431" s="20" t="s">
        <v>2230</v>
      </c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>
      <c r="A432" s="6" t="s">
        <v>2231</v>
      </c>
      <c r="B432" s="6" t="s">
        <v>2231</v>
      </c>
      <c r="C432" s="9">
        <f>countif(Quantities!A:A,A432)</f>
        <v>0</v>
      </c>
      <c r="D432" s="9" t="b">
        <f>IFERROR(__xludf.DUMMYFUNCTION("REGEXMATCH(A432,""(?i)ratio"")"),FALSE)</f>
        <v>0</v>
      </c>
      <c r="E432" s="9" t="b">
        <f>IFERROR(__xludf.DUMMYFUNCTION("REGEXMATCH(A432,""(?i)relationship"")"),FALSE)</f>
        <v>0</v>
      </c>
      <c r="F432" s="6"/>
      <c r="G432" s="12"/>
      <c r="H432" s="12"/>
      <c r="I432" s="12"/>
      <c r="J432" s="12"/>
      <c r="K432" s="12"/>
      <c r="L432" s="12"/>
      <c r="M432" s="13"/>
      <c r="N432" s="13"/>
      <c r="O432" s="20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>
      <c r="A433" s="33" t="s">
        <v>1390</v>
      </c>
      <c r="B433" s="27" t="str">
        <f>VLOOKUP(A433,Quantities!A:B,2,false)</f>
        <v>Von Klitzing Constant</v>
      </c>
      <c r="C433" s="9">
        <f>countif(Quantities!A:A,A433)</f>
        <v>1</v>
      </c>
      <c r="D433" s="9" t="b">
        <f>IFERROR(__xludf.DUMMYFUNCTION("REGEXMATCH(A433,""(?i)ratio"")"),FALSE)</f>
        <v>0</v>
      </c>
      <c r="E433" s="9" t="b">
        <f>IFERROR(__xludf.DUMMYFUNCTION("REGEXMATCH(A433,""(?i)relationship"")"),FALSE)</f>
        <v>0</v>
      </c>
      <c r="F433" s="12"/>
      <c r="G433" s="17"/>
      <c r="H433" s="17" t="s">
        <v>2231</v>
      </c>
      <c r="I433" s="31"/>
      <c r="J433" s="31"/>
      <c r="K433" s="12"/>
      <c r="L433" s="12"/>
      <c r="M433" s="32"/>
      <c r="N433" s="13" t="str">
        <f>if(isblank(M433),"",hyperlink("https://www.wikidata.org/wiki/"&amp;M433,M433))</f>
        <v/>
      </c>
      <c r="O433" s="14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>
      <c r="A434" s="22" t="s">
        <v>2245</v>
      </c>
      <c r="B434" s="22" t="s">
        <v>2245</v>
      </c>
      <c r="C434" s="9">
        <f>countif(Quantities!A:A,A434)</f>
        <v>0</v>
      </c>
      <c r="D434" s="9" t="b">
        <f>IFERROR(__xludf.DUMMYFUNCTION("REGEXMATCH(A434,""(?i)ratio"")"),FALSE)</f>
        <v>0</v>
      </c>
      <c r="E434" s="9" t="b">
        <f>IFERROR(__xludf.DUMMYFUNCTION("REGEXMATCH(A434,""(?i)relationship"")"),FALSE)</f>
        <v>0</v>
      </c>
      <c r="F434" s="12"/>
      <c r="G434" s="17"/>
      <c r="H434" s="17"/>
      <c r="I434" s="31"/>
      <c r="J434" s="31"/>
      <c r="K434" s="12"/>
      <c r="L434" s="12"/>
      <c r="M434" s="32"/>
      <c r="N434" s="13"/>
      <c r="O434" s="14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>
      <c r="A435" s="22" t="s">
        <v>2246</v>
      </c>
      <c r="B435" s="22" t="s">
        <v>2246</v>
      </c>
      <c r="C435" s="9">
        <f>countif(Quantities!A:A,A435)</f>
        <v>0</v>
      </c>
      <c r="D435" s="9" t="b">
        <f>IFERROR(__xludf.DUMMYFUNCTION("REGEXMATCH(A435,""(?i)ratio"")"),FALSE)</f>
        <v>0</v>
      </c>
      <c r="E435" s="9" t="b">
        <f>IFERROR(__xludf.DUMMYFUNCTION("REGEXMATCH(A435,""(?i)relationship"")"),FALSE)</f>
        <v>0</v>
      </c>
      <c r="F435" s="12"/>
      <c r="G435" s="17"/>
      <c r="H435" s="17"/>
      <c r="I435" s="31"/>
      <c r="J435" s="31"/>
      <c r="K435" s="12"/>
      <c r="L435" s="12"/>
      <c r="M435" s="32"/>
      <c r="N435" s="13"/>
      <c r="O435" s="14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>
      <c r="A436" s="22" t="s">
        <v>2249</v>
      </c>
      <c r="B436" s="22" t="s">
        <v>2250</v>
      </c>
      <c r="C436" s="9">
        <f>countif(Quantities!A:A,A436)</f>
        <v>0</v>
      </c>
      <c r="D436" s="9" t="b">
        <f>IFERROR(__xludf.DUMMYFUNCTION("REGEXMATCH(A436,""(?i)ratio"")"),FALSE)</f>
        <v>0</v>
      </c>
      <c r="E436" s="9" t="b">
        <f>IFERROR(__xludf.DUMMYFUNCTION("REGEXMATCH(A436,""(?i)relationship"")"),FALSE)</f>
        <v>0</v>
      </c>
      <c r="F436" s="12"/>
      <c r="G436" s="17"/>
      <c r="H436" s="17" t="s">
        <v>2251</v>
      </c>
      <c r="I436" s="31"/>
      <c r="J436" s="31"/>
      <c r="K436" s="12"/>
      <c r="L436" s="12"/>
      <c r="M436" s="32"/>
      <c r="N436" s="13"/>
      <c r="O436" s="14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>
      <c r="A437" s="22" t="s">
        <v>2252</v>
      </c>
      <c r="B437" s="22" t="s">
        <v>2252</v>
      </c>
      <c r="C437" s="9">
        <f>countif(Quantities!A:A,A437)</f>
        <v>0</v>
      </c>
      <c r="D437" s="9" t="b">
        <f>IFERROR(__xludf.DUMMYFUNCTION("REGEXMATCH(A437,""(?i)ratio"")"),FALSE)</f>
        <v>0</v>
      </c>
      <c r="E437" s="9" t="b">
        <f>IFERROR(__xludf.DUMMYFUNCTION("REGEXMATCH(A437,""(?i)relationship"")"),FALSE)</f>
        <v>0</v>
      </c>
      <c r="F437" s="12"/>
      <c r="G437" s="17"/>
      <c r="H437" s="17"/>
      <c r="I437" s="31"/>
      <c r="J437" s="31"/>
      <c r="K437" s="12"/>
      <c r="L437" s="12"/>
      <c r="M437" s="32"/>
      <c r="N437" s="13"/>
      <c r="O437" s="14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>
      <c r="A438" s="33" t="s">
        <v>1392</v>
      </c>
      <c r="B438" s="27" t="str">
        <f>VLOOKUP(A438,Quantities!A:B,2,false)</f>
        <v>Weak Mixing Angle</v>
      </c>
      <c r="C438" s="9">
        <f>countif(Quantities!A:A,A438)</f>
        <v>1</v>
      </c>
      <c r="D438" s="9" t="b">
        <f>IFERROR(__xludf.DUMMYFUNCTION("REGEXMATCH(A438,""(?i)ratio"")"),FALSE)</f>
        <v>0</v>
      </c>
      <c r="E438" s="9" t="b">
        <f>IFERROR(__xludf.DUMMYFUNCTION("REGEXMATCH(A438,""(?i)relationship"")"),FALSE)</f>
        <v>0</v>
      </c>
      <c r="F438" s="12"/>
      <c r="G438" s="17"/>
      <c r="H438" s="17" t="s">
        <v>1392</v>
      </c>
      <c r="I438" s="31"/>
      <c r="J438" s="31"/>
      <c r="K438" s="12"/>
      <c r="L438" s="12"/>
      <c r="M438" s="32"/>
      <c r="N438" s="13" t="str">
        <f>if(isblank(M438),"",hyperlink("https://www.wikidata.org/wiki/"&amp;M438,M438))</f>
        <v/>
      </c>
      <c r="O438" s="14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>
      <c r="A439" s="6" t="s">
        <v>2259</v>
      </c>
      <c r="B439" s="6" t="s">
        <v>2259</v>
      </c>
      <c r="C439" s="9">
        <f>countif(Quantities!A:A,A439)</f>
        <v>0</v>
      </c>
      <c r="D439" s="9" t="b">
        <f>IFERROR(__xludf.DUMMYFUNCTION("REGEXMATCH(A439,""(?i)ratio"")"),FALSE)</f>
        <v>0</v>
      </c>
      <c r="E439" s="9" t="b">
        <f>IFERROR(__xludf.DUMMYFUNCTION("REGEXMATCH(A439,""(?i)relationship"")"),FALSE)</f>
        <v>0</v>
      </c>
      <c r="F439" s="6"/>
      <c r="G439" s="6"/>
      <c r="H439" s="6"/>
      <c r="I439" s="12"/>
      <c r="J439" s="12"/>
      <c r="K439" s="12"/>
      <c r="L439" s="12"/>
      <c r="M439" s="13"/>
      <c r="N439" s="13"/>
      <c r="O439" s="14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>
      <c r="A440" s="33" t="s">
        <v>1394</v>
      </c>
      <c r="B440" s="27" t="str">
        <f>VLOOKUP(A440,Quantities!A:B,2,false)</f>
        <v>Wien Frequency Displacement Law Constant</v>
      </c>
      <c r="C440" s="9">
        <f>countif(Quantities!A:A,A440)</f>
        <v>1</v>
      </c>
      <c r="D440" s="9" t="b">
        <f>IFERROR(__xludf.DUMMYFUNCTION("REGEXMATCH(A440,""(?i)ratio"")"),FALSE)</f>
        <v>0</v>
      </c>
      <c r="E440" s="9" t="b">
        <f>IFERROR(__xludf.DUMMYFUNCTION("REGEXMATCH(A440,""(?i)relationship"")"),FALSE)</f>
        <v>0</v>
      </c>
      <c r="F440" s="12"/>
      <c r="G440" s="17"/>
      <c r="H440" s="17" t="s">
        <v>2266</v>
      </c>
      <c r="I440" s="31"/>
      <c r="J440" s="31"/>
      <c r="K440" s="12"/>
      <c r="L440" s="12"/>
      <c r="M440" s="32"/>
      <c r="N440" s="13" t="str">
        <f t="shared" ref="N440:N442" si="38">if(isblank(M440),"",hyperlink("https://www.wikidata.org/wiki/"&amp;M440,M440))</f>
        <v/>
      </c>
      <c r="O440" s="14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>
      <c r="A441" s="33" t="s">
        <v>1396</v>
      </c>
      <c r="B441" s="27" t="str">
        <f>VLOOKUP(A441,Quantities!A:B,2,false)</f>
        <v>Wien Wavelength Displacement Law Constant</v>
      </c>
      <c r="C441" s="9">
        <f>countif(Quantities!A:A,A441)</f>
        <v>1</v>
      </c>
      <c r="D441" s="9" t="b">
        <f>IFERROR(__xludf.DUMMYFUNCTION("REGEXMATCH(A441,""(?i)ratio"")"),FALSE)</f>
        <v>0</v>
      </c>
      <c r="E441" s="9" t="b">
        <f>IFERROR(__xludf.DUMMYFUNCTION("REGEXMATCH(A441,""(?i)relationship"")"),FALSE)</f>
        <v>0</v>
      </c>
      <c r="F441" s="12"/>
      <c r="G441" s="17"/>
      <c r="H441" s="17" t="s">
        <v>2272</v>
      </c>
      <c r="I441" s="31"/>
      <c r="J441" s="31"/>
      <c r="K441" s="12"/>
      <c r="L441" s="12"/>
      <c r="M441" s="32"/>
      <c r="N441" s="13" t="str">
        <f t="shared" si="38"/>
        <v/>
      </c>
      <c r="O441" s="14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>
      <c r="A442" s="33" t="s">
        <v>1398</v>
      </c>
      <c r="B442" s="27" t="str">
        <f>VLOOKUP(A442,Quantities!A:B,2,false)</f>
        <v>W To Z Mass Ratio</v>
      </c>
      <c r="C442" s="9">
        <f>countif(Quantities!A:A,A442)</f>
        <v>1</v>
      </c>
      <c r="D442" s="9" t="b">
        <f>IFERROR(__xludf.DUMMYFUNCTION("REGEXMATCH(A442,""(?i)ratio"")"),TRUE)</f>
        <v>1</v>
      </c>
      <c r="E442" s="9" t="b">
        <f>IFERROR(__xludf.DUMMYFUNCTION("REGEXMATCH(A442,""(?i)relationship"")"),FALSE)</f>
        <v>0</v>
      </c>
      <c r="F442" s="12"/>
      <c r="G442" s="17"/>
      <c r="H442" s="17" t="s">
        <v>2275</v>
      </c>
      <c r="I442" s="31"/>
      <c r="J442" s="31"/>
      <c r="K442" s="12"/>
      <c r="L442" s="12"/>
      <c r="M442" s="32"/>
      <c r="N442" s="13" t="str">
        <f t="shared" si="38"/>
        <v/>
      </c>
      <c r="O442" s="14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>
      <c r="A443" s="22" t="s">
        <v>2276</v>
      </c>
      <c r="B443" s="22" t="s">
        <v>2276</v>
      </c>
      <c r="C443" s="9">
        <f>countif(Quantities!A:A,A443)</f>
        <v>0</v>
      </c>
      <c r="D443" s="9" t="b">
        <f>IFERROR(__xludf.DUMMYFUNCTION("REGEXMATCH(A443,""(?i)ratio"")"),FALSE)</f>
        <v>0</v>
      </c>
      <c r="E443" s="9" t="b">
        <f>IFERROR(__xludf.DUMMYFUNCTION("REGEXMATCH(A443,""(?i)relationship"")"),FALSE)</f>
        <v>0</v>
      </c>
      <c r="F443" s="12"/>
      <c r="G443" s="17"/>
      <c r="H443" s="17"/>
      <c r="I443" s="31"/>
      <c r="J443" s="31"/>
      <c r="K443" s="12"/>
      <c r="L443" s="12"/>
      <c r="M443" s="32"/>
      <c r="N443" s="13"/>
      <c r="O443" s="14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</sheetData>
  <conditionalFormatting sqref="A2:A113 B3:B52 H25 B57:B59 B67 B82 B93 B110">
    <cfRule type="expression" dxfId="1" priority="1">
      <formula>COUNTIF($A2:$A443,$A2)&gt;1</formula>
    </cfRule>
  </conditionalFormatting>
  <conditionalFormatting sqref="D1:D443">
    <cfRule type="cellIs" dxfId="2" priority="2" operator="equal">
      <formula>"TRUE"</formula>
    </cfRule>
  </conditionalFormatting>
  <conditionalFormatting sqref="E1:E443 D352">
    <cfRule type="cellIs" dxfId="2" priority="3" operator="equal">
      <formula>"TRUE"</formula>
    </cfRule>
  </conditionalFormatting>
  <conditionalFormatting sqref="C1:C443">
    <cfRule type="cellIs" dxfId="2" priority="4" operator="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4.0"/>
    <col customWidth="1" min="2" max="2" width="47.25"/>
    <col customWidth="1" min="3" max="3" width="15.25"/>
    <col customWidth="1" min="4" max="5" width="10.88"/>
    <col customWidth="1" min="6" max="6" width="79.25"/>
    <col customWidth="1" min="8" max="8" width="44.0"/>
    <col customWidth="1" min="9" max="9" width="44.88"/>
  </cols>
  <sheetData>
    <row r="1">
      <c r="A1" s="19" t="s">
        <v>0</v>
      </c>
      <c r="B1" s="7" t="s">
        <v>1</v>
      </c>
      <c r="C1" s="8" t="s">
        <v>47</v>
      </c>
      <c r="D1" s="8" t="s">
        <v>49</v>
      </c>
      <c r="E1" s="8" t="s">
        <v>52</v>
      </c>
      <c r="F1" s="7" t="s">
        <v>53</v>
      </c>
      <c r="G1" s="7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>
      <c r="A2" s="22" t="s">
        <v>45</v>
      </c>
      <c r="B2" s="18" t="s">
        <v>58</v>
      </c>
      <c r="C2" s="23"/>
      <c r="D2" s="23">
        <f>COUNTIF(Concepts!A:A,A2)</f>
        <v>1</v>
      </c>
      <c r="E2" s="23">
        <f>countif(Constants!J:J,$A2)</f>
        <v>1</v>
      </c>
      <c r="F2" s="29" t="str">
        <f t="shared" ref="F2:F307" si="1">CONCATENATE("https://w3ids.org/codata/fundamental/quantities/",A2)</f>
        <v>https://w3ids.org/codata/fundamental/quantities/AlphaParticleElectronMassRatio</v>
      </c>
    </row>
    <row r="3">
      <c r="A3" s="33" t="s">
        <v>63</v>
      </c>
      <c r="B3" s="18" t="s">
        <v>67</v>
      </c>
      <c r="C3" s="23"/>
      <c r="D3" s="23">
        <f>COUNTIF(Concepts!A:A,A3)</f>
        <v>1</v>
      </c>
      <c r="E3" s="23">
        <f>countif(Constants!J:J,$A3)</f>
        <v>2</v>
      </c>
      <c r="F3" s="29" t="str">
        <f t="shared" si="1"/>
        <v>https://w3ids.org/codata/fundamental/quantities/AlphaParticleMass</v>
      </c>
    </row>
    <row r="4">
      <c r="A4" s="17" t="s">
        <v>68</v>
      </c>
      <c r="B4" s="18" t="s">
        <v>71</v>
      </c>
      <c r="C4" s="23"/>
      <c r="D4" s="23">
        <f>COUNTIF(Concepts!A:A,A4)</f>
        <v>1</v>
      </c>
      <c r="E4" s="23">
        <f>countif(Constants!J:J,$A4)</f>
        <v>2</v>
      </c>
      <c r="F4" s="29" t="str">
        <f t="shared" si="1"/>
        <v>https://w3ids.org/codata/fundamental/quantities/AlphaParticleMassEnergyEquivalent</v>
      </c>
    </row>
    <row r="5">
      <c r="A5" s="33" t="s">
        <v>74</v>
      </c>
      <c r="B5" s="18" t="s">
        <v>76</v>
      </c>
      <c r="C5" s="23"/>
      <c r="D5" s="23">
        <f>COUNTIF(Concepts!A:A,A5)</f>
        <v>1</v>
      </c>
      <c r="E5" s="23">
        <f>countif(Constants!J:J,$A5)</f>
        <v>1</v>
      </c>
      <c r="F5" s="29" t="str">
        <f t="shared" si="1"/>
        <v>https://w3ids.org/codata/fundamental/quantities/AlphaParticleMolarMass</v>
      </c>
    </row>
    <row r="6">
      <c r="A6" s="33" t="s">
        <v>79</v>
      </c>
      <c r="B6" s="18" t="s">
        <v>80</v>
      </c>
      <c r="C6" s="23"/>
      <c r="D6" s="23">
        <f>COUNTIF(Concepts!A:A,A6)</f>
        <v>1</v>
      </c>
      <c r="E6" s="23">
        <f>countif(Constants!J:J,$A6)</f>
        <v>1</v>
      </c>
      <c r="F6" s="29" t="str">
        <f t="shared" si="1"/>
        <v>https://w3ids.org/codata/fundamental/quantities/AlphaParticleProtonMassRatio</v>
      </c>
    </row>
    <row r="7">
      <c r="A7" s="33" t="s">
        <v>83</v>
      </c>
      <c r="B7" s="18" t="s">
        <v>84</v>
      </c>
      <c r="C7" s="23"/>
      <c r="D7" s="23">
        <f>COUNTIF(Concepts!A:A,A7)</f>
        <v>1</v>
      </c>
      <c r="E7" s="23">
        <f>countif(Constants!J:J,$A7)</f>
        <v>1</v>
      </c>
      <c r="F7" s="29" t="str">
        <f t="shared" si="1"/>
        <v>https://w3ids.org/codata/fundamental/quantities/AlphaParticleRelativeAtomicMass</v>
      </c>
    </row>
    <row r="8">
      <c r="A8" s="22" t="s">
        <v>87</v>
      </c>
      <c r="B8" s="18" t="s">
        <v>89</v>
      </c>
      <c r="C8" s="39"/>
      <c r="D8" s="23">
        <f>COUNTIF(Concepts!A:A,A8)</f>
        <v>1</v>
      </c>
      <c r="E8" s="23">
        <f>countif(Constants!J:J,$A8)</f>
        <v>1</v>
      </c>
      <c r="F8" s="29" t="str">
        <f t="shared" si="1"/>
        <v>https://w3ids.org/codata/fundamental/quantities/AlphaParticleRmsChargeRadius</v>
      </c>
    </row>
    <row r="9">
      <c r="A9" s="33" t="s">
        <v>93</v>
      </c>
      <c r="B9" s="18" t="s">
        <v>94</v>
      </c>
      <c r="C9" s="39" t="s">
        <v>95</v>
      </c>
      <c r="D9" s="23">
        <f>COUNTIF(Concepts!A:A,A9)</f>
        <v>1</v>
      </c>
      <c r="E9" s="23">
        <f>countif(Constants!J:J,$A9)</f>
        <v>1</v>
      </c>
      <c r="F9" s="29" t="str">
        <f t="shared" si="1"/>
        <v>https://w3ids.org/codata/fundamental/quantities/AngstromStar</v>
      </c>
    </row>
    <row r="10">
      <c r="A10" s="33" t="s">
        <v>102</v>
      </c>
      <c r="B10" s="18" t="s">
        <v>103</v>
      </c>
      <c r="C10" s="23"/>
      <c r="D10" s="23">
        <f>COUNTIF(Concepts!A:A,A10)</f>
        <v>1</v>
      </c>
      <c r="E10" s="23">
        <f>countif(Constants!J:J,$A10)</f>
        <v>1</v>
      </c>
      <c r="F10" s="29" t="str">
        <f t="shared" si="1"/>
        <v>https://w3ids.org/codata/fundamental/quantities/AtomicMassConstant</v>
      </c>
    </row>
    <row r="11">
      <c r="A11" s="17" t="s">
        <v>104</v>
      </c>
      <c r="B11" s="18" t="s">
        <v>105</v>
      </c>
      <c r="C11" s="23"/>
      <c r="D11" s="23">
        <f>COUNTIF(Concepts!A:A,A11)</f>
        <v>1</v>
      </c>
      <c r="E11" s="23">
        <f>countif(Constants!J:J,$A11)</f>
        <v>2</v>
      </c>
      <c r="F11" s="29" t="str">
        <f t="shared" si="1"/>
        <v>https://w3ids.org/codata/fundamental/quantities/AtomicMassConstantEnergyEquivalent</v>
      </c>
    </row>
    <row r="12">
      <c r="A12" s="33" t="s">
        <v>107</v>
      </c>
      <c r="B12" s="18" t="s">
        <v>108</v>
      </c>
      <c r="C12" s="23"/>
      <c r="D12" s="23">
        <f>COUNTIF(Concepts!A:A,A12)</f>
        <v>1</v>
      </c>
      <c r="E12" s="23">
        <f>countif(Constants!J:J,$A12)</f>
        <v>1</v>
      </c>
      <c r="F12" s="29" t="str">
        <f t="shared" si="1"/>
        <v>https://w3ids.org/codata/fundamental/quantities/AtomicMassUnitElectronVoltRelationship</v>
      </c>
    </row>
    <row r="13">
      <c r="A13" s="33" t="s">
        <v>110</v>
      </c>
      <c r="B13" s="18" t="s">
        <v>111</v>
      </c>
      <c r="C13" s="23"/>
      <c r="D13" s="23">
        <f>COUNTIF(Concepts!A:A,A13)</f>
        <v>1</v>
      </c>
      <c r="E13" s="23">
        <f>countif(Constants!J:J,$A13)</f>
        <v>1</v>
      </c>
      <c r="F13" s="29" t="str">
        <f t="shared" si="1"/>
        <v>https://w3ids.org/codata/fundamental/quantities/AtomicMassUnitHartreeRelationship</v>
      </c>
    </row>
    <row r="14">
      <c r="A14" s="33" t="s">
        <v>114</v>
      </c>
      <c r="B14" s="18" t="s">
        <v>115</v>
      </c>
      <c r="C14" s="23"/>
      <c r="D14" s="23">
        <f>COUNTIF(Concepts!A:A,A14)</f>
        <v>1</v>
      </c>
      <c r="E14" s="23">
        <f>countif(Constants!J:J,$A14)</f>
        <v>1</v>
      </c>
      <c r="F14" s="29" t="str">
        <f t="shared" si="1"/>
        <v>https://w3ids.org/codata/fundamental/quantities/AtomicMassUnitHertzRelationship</v>
      </c>
    </row>
    <row r="15">
      <c r="A15" s="33" t="s">
        <v>116</v>
      </c>
      <c r="B15" s="18" t="s">
        <v>117</v>
      </c>
      <c r="C15" s="23"/>
      <c r="D15" s="23">
        <f>COUNTIF(Concepts!A:A,A15)</f>
        <v>1</v>
      </c>
      <c r="E15" s="23">
        <f>countif(Constants!J:J,$A15)</f>
        <v>1</v>
      </c>
      <c r="F15" s="29" t="str">
        <f t="shared" si="1"/>
        <v>https://w3ids.org/codata/fundamental/quantities/AtomicMassUnitInverseMeterRelationship</v>
      </c>
    </row>
    <row r="16">
      <c r="A16" s="33" t="s">
        <v>118</v>
      </c>
      <c r="B16" s="18" t="s">
        <v>119</v>
      </c>
      <c r="C16" s="23"/>
      <c r="D16" s="23">
        <f>COUNTIF(Concepts!A:A,A16)</f>
        <v>1</v>
      </c>
      <c r="E16" s="23">
        <f>countif(Constants!J:J,$A16)</f>
        <v>1</v>
      </c>
      <c r="F16" s="29" t="str">
        <f t="shared" si="1"/>
        <v>https://w3ids.org/codata/fundamental/quantities/AtomicMassUnitJouleRelationship</v>
      </c>
    </row>
    <row r="17">
      <c r="A17" s="33" t="s">
        <v>122</v>
      </c>
      <c r="B17" s="18" t="s">
        <v>123</v>
      </c>
      <c r="C17" s="23"/>
      <c r="D17" s="23">
        <f>COUNTIF(Concepts!A:A,A17)</f>
        <v>1</v>
      </c>
      <c r="E17" s="23">
        <f>countif(Constants!J:J,$A17)</f>
        <v>1</v>
      </c>
      <c r="F17" s="29" t="str">
        <f t="shared" si="1"/>
        <v>https://w3ids.org/codata/fundamental/quantities/AtomicMassUnitKelvinRelationship</v>
      </c>
    </row>
    <row r="18">
      <c r="A18" s="33" t="s">
        <v>124</v>
      </c>
      <c r="B18" s="18" t="s">
        <v>125</v>
      </c>
      <c r="C18" s="23"/>
      <c r="D18" s="23">
        <f>COUNTIF(Concepts!A:A,A18)</f>
        <v>1</v>
      </c>
      <c r="E18" s="23">
        <f>countif(Constants!J:J,$A18)</f>
        <v>1</v>
      </c>
      <c r="F18" s="29" t="str">
        <f t="shared" si="1"/>
        <v>https://w3ids.org/codata/fundamental/quantities/AtomicMassUnitKilogramRelationship</v>
      </c>
    </row>
    <row r="19">
      <c r="A19" s="22" t="s">
        <v>129</v>
      </c>
      <c r="B19" s="18" t="s">
        <v>130</v>
      </c>
      <c r="C19" s="23"/>
      <c r="D19" s="23">
        <f>COUNTIF(Concepts!A:A,A19)</f>
        <v>1</v>
      </c>
      <c r="E19" s="23">
        <f>countif(Constants!J:J,$A19)</f>
        <v>1</v>
      </c>
      <c r="F19" s="29" t="str">
        <f t="shared" si="1"/>
        <v>https://w3ids.org/codata/fundamental/quantities/AtomicUnitOf1stHyperpolarizability</v>
      </c>
    </row>
    <row r="20">
      <c r="A20" s="22" t="s">
        <v>132</v>
      </c>
      <c r="B20" s="18" t="s">
        <v>133</v>
      </c>
      <c r="C20" s="23"/>
      <c r="D20" s="23">
        <f>COUNTIF(Concepts!A:A,A20)</f>
        <v>1</v>
      </c>
      <c r="E20" s="23">
        <f>countif(Constants!J:J,$A20)</f>
        <v>1</v>
      </c>
      <c r="F20" s="29" t="str">
        <f t="shared" si="1"/>
        <v>https://w3ids.org/codata/fundamental/quantities/AtomicUnitOf2ndHyperpolarizability</v>
      </c>
    </row>
    <row r="21">
      <c r="A21" s="33" t="s">
        <v>138</v>
      </c>
      <c r="B21" s="18" t="s">
        <v>139</v>
      </c>
      <c r="C21" s="23"/>
      <c r="D21" s="23">
        <f>COUNTIF(Concepts!A:A,A21)</f>
        <v>1</v>
      </c>
      <c r="E21" s="23">
        <f>countif(Constants!J:J,$A21)</f>
        <v>1</v>
      </c>
      <c r="F21" s="29" t="str">
        <f t="shared" si="1"/>
        <v>https://w3ids.org/codata/fundamental/quantities/AtomicUnitOfAction</v>
      </c>
    </row>
    <row r="22">
      <c r="A22" s="33" t="s">
        <v>143</v>
      </c>
      <c r="B22" s="18" t="s">
        <v>144</v>
      </c>
      <c r="C22" s="23"/>
      <c r="D22" s="23">
        <f>COUNTIF(Concepts!A:A,A22)</f>
        <v>1</v>
      </c>
      <c r="E22" s="23">
        <f>countif(Constants!J:J,$A22)</f>
        <v>1</v>
      </c>
      <c r="F22" s="29" t="str">
        <f t="shared" si="1"/>
        <v>https://w3ids.org/codata/fundamental/quantities/AtomicUnitOfCharge</v>
      </c>
    </row>
    <row r="23">
      <c r="A23" s="33" t="s">
        <v>146</v>
      </c>
      <c r="B23" s="18" t="s">
        <v>147</v>
      </c>
      <c r="C23" s="23"/>
      <c r="D23" s="23">
        <f>COUNTIF(Concepts!A:A,A23)</f>
        <v>1</v>
      </c>
      <c r="E23" s="23">
        <f>countif(Constants!J:J,$A23)</f>
        <v>1</v>
      </c>
      <c r="F23" s="29" t="str">
        <f t="shared" si="1"/>
        <v>https://w3ids.org/codata/fundamental/quantities/AtomicUnitOfChargeDensity</v>
      </c>
    </row>
    <row r="24">
      <c r="A24" s="33" t="s">
        <v>153</v>
      </c>
      <c r="B24" s="18" t="s">
        <v>154</v>
      </c>
      <c r="C24" s="23"/>
      <c r="D24" s="23">
        <f>COUNTIF(Concepts!A:A,A24)</f>
        <v>1</v>
      </c>
      <c r="E24" s="23">
        <f>countif(Constants!J:J,$A24)</f>
        <v>1</v>
      </c>
      <c r="F24" s="29" t="str">
        <f t="shared" si="1"/>
        <v>https://w3ids.org/codata/fundamental/quantities/AtomicUnitOfCurrent</v>
      </c>
    </row>
    <row r="25">
      <c r="A25" s="33" t="s">
        <v>159</v>
      </c>
      <c r="B25" s="18" t="s">
        <v>160</v>
      </c>
      <c r="C25" s="23"/>
      <c r="D25" s="23">
        <f>COUNTIF(Concepts!A:A,A25)</f>
        <v>1</v>
      </c>
      <c r="E25" s="23">
        <f>countif(Constants!J:J,$A25)</f>
        <v>1</v>
      </c>
      <c r="F25" s="29" t="str">
        <f t="shared" si="1"/>
        <v>https://w3ids.org/codata/fundamental/quantities/AtomicUnitOfElectricDipoleMoment</v>
      </c>
    </row>
    <row r="26">
      <c r="A26" s="33" t="s">
        <v>165</v>
      </c>
      <c r="B26" s="18" t="s">
        <v>166</v>
      </c>
      <c r="C26" s="23"/>
      <c r="D26" s="23">
        <f>COUNTIF(Concepts!A:A,A26)</f>
        <v>1</v>
      </c>
      <c r="E26" s="23">
        <f>countif(Constants!J:J,$A26)</f>
        <v>1</v>
      </c>
      <c r="F26" s="29" t="str">
        <f t="shared" si="1"/>
        <v>https://w3ids.org/codata/fundamental/quantities/AtomicUnitOfElectricField</v>
      </c>
    </row>
    <row r="27">
      <c r="A27" s="33" t="s">
        <v>192</v>
      </c>
      <c r="B27" s="18" t="s">
        <v>194</v>
      </c>
      <c r="C27" s="23"/>
      <c r="D27" s="23">
        <f>COUNTIF(Concepts!A:A,A27)</f>
        <v>1</v>
      </c>
      <c r="E27" s="23">
        <f>countif(Constants!J:J,$A27)</f>
        <v>1</v>
      </c>
      <c r="F27" s="29" t="str">
        <f t="shared" si="1"/>
        <v>https://w3ids.org/codata/fundamental/quantities/AtomicUnitOfElectricFieldGradient</v>
      </c>
    </row>
    <row r="28">
      <c r="A28" s="22" t="s">
        <v>203</v>
      </c>
      <c r="B28" s="18" t="s">
        <v>204</v>
      </c>
      <c r="C28" s="23"/>
      <c r="D28" s="23">
        <f>COUNTIF(Concepts!A:A,A28)</f>
        <v>1</v>
      </c>
      <c r="E28" s="23">
        <f>countif(Constants!J:J,$A28)</f>
        <v>1</v>
      </c>
      <c r="F28" s="29" t="str">
        <f t="shared" si="1"/>
        <v>https://w3ids.org/codata/fundamental/quantities/AtomicUnitOfElectricPolarizability</v>
      </c>
    </row>
    <row r="29">
      <c r="A29" s="33" t="s">
        <v>208</v>
      </c>
      <c r="B29" s="18" t="s">
        <v>209</v>
      </c>
      <c r="C29" s="23"/>
      <c r="D29" s="23">
        <f>COUNTIF(Concepts!A:A,A29)</f>
        <v>1</v>
      </c>
      <c r="E29" s="23">
        <f>countif(Constants!J:J,$A29)</f>
        <v>1</v>
      </c>
      <c r="F29" s="29" t="str">
        <f t="shared" si="1"/>
        <v>https://w3ids.org/codata/fundamental/quantities/AtomicUnitOfElectricPotential</v>
      </c>
    </row>
    <row r="30">
      <c r="A30" s="33" t="s">
        <v>217</v>
      </c>
      <c r="B30" s="18" t="s">
        <v>219</v>
      </c>
      <c r="C30" s="23"/>
      <c r="D30" s="23">
        <f>COUNTIF(Concepts!A:A,A30)</f>
        <v>1</v>
      </c>
      <c r="E30" s="23">
        <f>countif(Constants!J:J,$A30)</f>
        <v>1</v>
      </c>
      <c r="F30" s="29" t="str">
        <f t="shared" si="1"/>
        <v>https://w3ids.org/codata/fundamental/quantities/AtomicUnitOfElectricQuadrupoleMoment</v>
      </c>
    </row>
    <row r="31">
      <c r="A31" s="33" t="s">
        <v>226</v>
      </c>
      <c r="B31" s="18" t="s">
        <v>227</v>
      </c>
      <c r="C31" s="23"/>
      <c r="D31" s="23">
        <f>COUNTIF(Concepts!A:A,A31)</f>
        <v>1</v>
      </c>
      <c r="E31" s="23">
        <f>countif(Constants!J:J,$A31)</f>
        <v>1</v>
      </c>
      <c r="F31" s="29" t="str">
        <f t="shared" si="1"/>
        <v>https://w3ids.org/codata/fundamental/quantities/AtomicUnitOfEnergy</v>
      </c>
    </row>
    <row r="32">
      <c r="A32" s="33" t="s">
        <v>230</v>
      </c>
      <c r="B32" s="18" t="s">
        <v>231</v>
      </c>
      <c r="C32" s="23"/>
      <c r="D32" s="23">
        <f>COUNTIF(Concepts!A:A,A32)</f>
        <v>1</v>
      </c>
      <c r="E32" s="23">
        <f>countif(Constants!J:J,$A32)</f>
        <v>1</v>
      </c>
      <c r="F32" s="29" t="str">
        <f t="shared" si="1"/>
        <v>https://w3ids.org/codata/fundamental/quantities/AtomicUnitOfForce</v>
      </c>
    </row>
    <row r="33">
      <c r="A33" s="33" t="s">
        <v>232</v>
      </c>
      <c r="B33" s="18" t="s">
        <v>233</v>
      </c>
      <c r="C33" s="23"/>
      <c r="D33" s="23">
        <f>COUNTIF(Concepts!A:A,A33)</f>
        <v>1</v>
      </c>
      <c r="E33" s="23">
        <f>countif(Constants!J:J,$A33)</f>
        <v>1</v>
      </c>
      <c r="F33" s="29" t="str">
        <f t="shared" si="1"/>
        <v>https://w3ids.org/codata/fundamental/quantities/AtomicUnitOfLength</v>
      </c>
    </row>
    <row r="34">
      <c r="A34" s="33" t="s">
        <v>236</v>
      </c>
      <c r="B34" s="18" t="s">
        <v>237</v>
      </c>
      <c r="C34" s="23"/>
      <c r="D34" s="23">
        <f>COUNTIF(Concepts!A:A,A34)</f>
        <v>1</v>
      </c>
      <c r="E34" s="23">
        <f>countif(Constants!J:J,$A34)</f>
        <v>1</v>
      </c>
      <c r="F34" s="29" t="str">
        <f t="shared" si="1"/>
        <v>https://w3ids.org/codata/fundamental/quantities/AtomicUnitOfMagneticDipoleMoment</v>
      </c>
    </row>
    <row r="35">
      <c r="A35" s="33" t="s">
        <v>239</v>
      </c>
      <c r="B35" s="18" t="s">
        <v>241</v>
      </c>
      <c r="C35" s="23"/>
      <c r="D35" s="23">
        <f>COUNTIF(Concepts!A:A,A35)</f>
        <v>1</v>
      </c>
      <c r="E35" s="23">
        <f>countif(Constants!J:J,$A35)</f>
        <v>1</v>
      </c>
      <c r="F35" s="29" t="str">
        <f t="shared" si="1"/>
        <v>https://w3ids.org/codata/fundamental/quantities/AtomicUnitOfMagneticFluxDensity</v>
      </c>
    </row>
    <row r="36">
      <c r="A36" s="33" t="s">
        <v>247</v>
      </c>
      <c r="B36" s="18" t="s">
        <v>250</v>
      </c>
      <c r="C36" s="23"/>
      <c r="D36" s="23">
        <f>COUNTIF(Concepts!A:A,A36)</f>
        <v>1</v>
      </c>
      <c r="E36" s="23">
        <f>countif(Constants!J:J,$A36)</f>
        <v>1</v>
      </c>
      <c r="F36" s="29" t="str">
        <f t="shared" si="1"/>
        <v>https://w3ids.org/codata/fundamental/quantities/AtomicUnitOfMagnetizability</v>
      </c>
    </row>
    <row r="37">
      <c r="A37" s="33" t="s">
        <v>255</v>
      </c>
      <c r="B37" s="18" t="s">
        <v>256</v>
      </c>
      <c r="C37" s="23"/>
      <c r="D37" s="23">
        <f>COUNTIF(Concepts!A:A,A37)</f>
        <v>1</v>
      </c>
      <c r="E37" s="23">
        <f>countif(Constants!J:J,$A37)</f>
        <v>1</v>
      </c>
      <c r="F37" s="29" t="str">
        <f t="shared" si="1"/>
        <v>https://w3ids.org/codata/fundamental/quantities/AtomicUnitOfMass</v>
      </c>
    </row>
    <row r="38">
      <c r="A38" s="33" t="s">
        <v>259</v>
      </c>
      <c r="B38" s="17" t="s">
        <v>260</v>
      </c>
      <c r="C38" s="23"/>
      <c r="D38" s="23">
        <f>COUNTIF(Concepts!A:A,A38)</f>
        <v>1</v>
      </c>
      <c r="E38" s="23">
        <f>countif(Constants!J:J,$A38)</f>
        <v>1</v>
      </c>
      <c r="F38" s="29" t="str">
        <f t="shared" si="1"/>
        <v>https://w3ids.org/codata/fundamental/quantities/AtomicUnitOfMomentum</v>
      </c>
    </row>
    <row r="39">
      <c r="A39" s="33" t="s">
        <v>261</v>
      </c>
      <c r="B39" s="18" t="s">
        <v>262</v>
      </c>
      <c r="C39" s="23"/>
      <c r="D39" s="23">
        <f>COUNTIF(Concepts!A:A,A39)</f>
        <v>1</v>
      </c>
      <c r="E39" s="23">
        <f>countif(Constants!J:J,$A39)</f>
        <v>1</v>
      </c>
      <c r="F39" s="29" t="str">
        <f t="shared" si="1"/>
        <v>https://w3ids.org/codata/fundamental/quantities/AtomicUnitOfPermittivity</v>
      </c>
    </row>
    <row r="40">
      <c r="A40" s="33" t="s">
        <v>264</v>
      </c>
      <c r="B40" s="18" t="s">
        <v>265</v>
      </c>
      <c r="C40" s="23"/>
      <c r="D40" s="23">
        <f>COUNTIF(Concepts!A:A,A40)</f>
        <v>1</v>
      </c>
      <c r="E40" s="23">
        <f>countif(Constants!J:J,$A40)</f>
        <v>1</v>
      </c>
      <c r="F40" s="29" t="str">
        <f t="shared" si="1"/>
        <v>https://w3ids.org/codata/fundamental/quantities/AtomicUnitOfTime</v>
      </c>
    </row>
    <row r="41">
      <c r="A41" s="33" t="s">
        <v>273</v>
      </c>
      <c r="B41" s="18" t="s">
        <v>275</v>
      </c>
      <c r="C41" s="23"/>
      <c r="D41" s="23">
        <f>COUNTIF(Concepts!A:A,A41)</f>
        <v>1</v>
      </c>
      <c r="E41" s="23">
        <f>countif(Constants!J:J,$A41)</f>
        <v>1</v>
      </c>
      <c r="F41" s="29" t="str">
        <f t="shared" si="1"/>
        <v>https://w3ids.org/codata/fundamental/quantities/AtomicUnitOfVelocity</v>
      </c>
    </row>
    <row r="42">
      <c r="A42" s="33" t="s">
        <v>280</v>
      </c>
      <c r="B42" s="18" t="s">
        <v>281</v>
      </c>
      <c r="C42" s="23"/>
      <c r="D42" s="23">
        <f>COUNTIF(Concepts!A:A,A42)</f>
        <v>1</v>
      </c>
      <c r="E42" s="23">
        <f>countif(Constants!J:J,$A42)</f>
        <v>1</v>
      </c>
      <c r="F42" s="29" t="str">
        <f t="shared" si="1"/>
        <v>https://w3ids.org/codata/fundamental/quantities/AvogadroConstant</v>
      </c>
    </row>
    <row r="43">
      <c r="A43" s="33" t="s">
        <v>287</v>
      </c>
      <c r="B43" s="18" t="s">
        <v>288</v>
      </c>
      <c r="C43" s="23"/>
      <c r="D43" s="23">
        <f>COUNTIF(Concepts!A:A,A43)</f>
        <v>1</v>
      </c>
      <c r="E43" s="23">
        <f>countif(Constants!J:J,$A43)</f>
        <v>5</v>
      </c>
      <c r="F43" s="29" t="str">
        <f t="shared" si="1"/>
        <v>https://w3ids.org/codata/fundamental/quantities/BohrMagneton</v>
      </c>
    </row>
    <row r="44">
      <c r="A44" s="33" t="s">
        <v>290</v>
      </c>
      <c r="B44" s="18" t="s">
        <v>291</v>
      </c>
      <c r="C44" s="23"/>
      <c r="D44" s="23">
        <f>COUNTIF(Concepts!A:A,A44)</f>
        <v>1</v>
      </c>
      <c r="E44" s="23">
        <f>countif(Constants!J:J,$A44)</f>
        <v>1</v>
      </c>
      <c r="F44" s="29" t="str">
        <f t="shared" si="1"/>
        <v>https://w3ids.org/codata/fundamental/quantities/BohrRadius</v>
      </c>
    </row>
    <row r="45">
      <c r="A45" s="33" t="s">
        <v>292</v>
      </c>
      <c r="B45" s="18" t="s">
        <v>293</v>
      </c>
      <c r="C45" s="23"/>
      <c r="D45" s="23">
        <f>COUNTIF(Concepts!A:A,A45)</f>
        <v>1</v>
      </c>
      <c r="E45" s="23">
        <f>countif(Constants!J:J,$A45)</f>
        <v>4</v>
      </c>
      <c r="F45" s="29" t="str">
        <f t="shared" si="1"/>
        <v>https://w3ids.org/codata/fundamental/quantities/BoltzmannConstant</v>
      </c>
    </row>
    <row r="46">
      <c r="A46" s="33" t="s">
        <v>296</v>
      </c>
      <c r="B46" s="18" t="s">
        <v>297</v>
      </c>
      <c r="C46" s="23"/>
      <c r="D46" s="23">
        <f>COUNTIF(Concepts!A:A,A46)</f>
        <v>1</v>
      </c>
      <c r="E46" s="23">
        <f>countif(Constants!J:J,$A46)</f>
        <v>1</v>
      </c>
      <c r="F46" s="29" t="str">
        <f t="shared" si="1"/>
        <v>https://w3ids.org/codata/fundamental/quantities/CharacteristicImpedanceOfVacuum</v>
      </c>
    </row>
    <row r="47">
      <c r="A47" s="33" t="s">
        <v>303</v>
      </c>
      <c r="B47" s="18" t="s">
        <v>304</v>
      </c>
      <c r="C47" s="23"/>
      <c r="D47" s="23">
        <f>COUNTIF(Concepts!A:A,A47)</f>
        <v>1</v>
      </c>
      <c r="E47" s="23">
        <f>countif(Constants!J:J,$A47)</f>
        <v>1</v>
      </c>
      <c r="F47" s="29" t="str">
        <f t="shared" si="1"/>
        <v>https://w3ids.org/codata/fundamental/quantities/ClassicalElectronRadius</v>
      </c>
    </row>
    <row r="48">
      <c r="A48" s="33" t="s">
        <v>319</v>
      </c>
      <c r="B48" s="18" t="s">
        <v>320</v>
      </c>
      <c r="C48" s="23"/>
      <c r="D48" s="23">
        <f>COUNTIF(Concepts!A:A,A48)</f>
        <v>1</v>
      </c>
      <c r="E48" s="23">
        <f>countif(Constants!J:J,$A48)</f>
        <v>1</v>
      </c>
      <c r="F48" s="29" t="str">
        <f t="shared" si="1"/>
        <v>https://w3ids.org/codata/fundamental/quantities/ComptonWavelength</v>
      </c>
    </row>
    <row r="49">
      <c r="A49" s="33" t="s">
        <v>322</v>
      </c>
      <c r="B49" s="18" t="s">
        <v>323</v>
      </c>
      <c r="C49" s="23"/>
      <c r="D49" s="23">
        <f>COUNTIF(Concepts!A:A,A49)</f>
        <v>1</v>
      </c>
      <c r="E49" s="23">
        <f>countif(Constants!J:J,$A49)</f>
        <v>1</v>
      </c>
      <c r="F49" s="29" t="str">
        <f t="shared" si="1"/>
        <v>https://w3ids.org/codata/fundamental/quantities/ConductanceQuantum</v>
      </c>
    </row>
    <row r="50">
      <c r="A50" s="22" t="s">
        <v>332</v>
      </c>
      <c r="B50" s="18" t="s">
        <v>334</v>
      </c>
      <c r="C50" s="23"/>
      <c r="D50" s="23">
        <f>COUNTIF(Concepts!A:A,A50)</f>
        <v>1</v>
      </c>
      <c r="E50" s="23">
        <f>countif(Constants!J:J,$A50)</f>
        <v>1</v>
      </c>
      <c r="F50" s="29" t="str">
        <f t="shared" si="1"/>
        <v>https://w3ids.org/codata/fundamental/quantities/ConventionalValueOfAmpere90</v>
      </c>
    </row>
    <row r="51">
      <c r="A51" s="22" t="s">
        <v>340</v>
      </c>
      <c r="B51" s="18" t="s">
        <v>342</v>
      </c>
      <c r="C51" s="23"/>
      <c r="D51" s="23">
        <f>COUNTIF(Concepts!A:A,A51)</f>
        <v>1</v>
      </c>
      <c r="E51" s="23">
        <f>countif(Constants!J:J,$A51)</f>
        <v>1</v>
      </c>
      <c r="F51" s="29" t="str">
        <f t="shared" si="1"/>
        <v>https://w3ids.org/codata/fundamental/quantities/ConventionalValueOfCoulomb90</v>
      </c>
    </row>
    <row r="52">
      <c r="A52" s="22" t="s">
        <v>347</v>
      </c>
      <c r="B52" s="18" t="s">
        <v>348</v>
      </c>
      <c r="C52" s="23"/>
      <c r="D52" s="23">
        <f>COUNTIF(Concepts!A:A,A52)</f>
        <v>1</v>
      </c>
      <c r="E52" s="23">
        <f>countif(Constants!J:J,$A52)</f>
        <v>1</v>
      </c>
      <c r="F52" s="29" t="str">
        <f t="shared" si="1"/>
        <v>https://w3ids.org/codata/fundamental/quantities/ConventionalValueOfFarad90</v>
      </c>
    </row>
    <row r="53">
      <c r="A53" s="22" t="s">
        <v>353</v>
      </c>
      <c r="B53" s="18" t="s">
        <v>354</v>
      </c>
      <c r="C53" s="23"/>
      <c r="D53" s="23">
        <f>COUNTIF(Concepts!A:A,A53)</f>
        <v>1</v>
      </c>
      <c r="E53" s="23">
        <f>countif(Constants!J:J,$A53)</f>
        <v>1</v>
      </c>
      <c r="F53" s="29" t="str">
        <f t="shared" si="1"/>
        <v>https://w3ids.org/codata/fundamental/quantities/ConventionalValueOfHenry90</v>
      </c>
    </row>
    <row r="54">
      <c r="A54" s="33" t="s">
        <v>356</v>
      </c>
      <c r="B54" s="18" t="s">
        <v>358</v>
      </c>
      <c r="C54" s="23"/>
      <c r="D54" s="23">
        <f>COUNTIF(Concepts!A:A,A54)</f>
        <v>1</v>
      </c>
      <c r="E54" s="23">
        <f>countif(Constants!J:J,$A54)</f>
        <v>1</v>
      </c>
      <c r="F54" s="29" t="str">
        <f t="shared" si="1"/>
        <v>https://w3ids.org/codata/fundamental/quantities/ConventionalValueOfJosephsonConstant</v>
      </c>
    </row>
    <row r="55">
      <c r="A55" s="22" t="s">
        <v>363</v>
      </c>
      <c r="B55" s="18" t="s">
        <v>364</v>
      </c>
      <c r="C55" s="23"/>
      <c r="D55" s="23">
        <f>COUNTIF(Concepts!A:A,A55)</f>
        <v>1</v>
      </c>
      <c r="E55" s="23">
        <f>countif(Constants!J:J,$A55)</f>
        <v>1</v>
      </c>
      <c r="F55" s="29" t="str">
        <f t="shared" si="1"/>
        <v>https://w3ids.org/codata/fundamental/quantities/ConventionalValueOfOhm90</v>
      </c>
    </row>
    <row r="56">
      <c r="A56" s="22" t="s">
        <v>371</v>
      </c>
      <c r="B56" s="18" t="s">
        <v>372</v>
      </c>
      <c r="C56" s="23"/>
      <c r="D56" s="23">
        <f>COUNTIF(Concepts!A:A,A56)</f>
        <v>1</v>
      </c>
      <c r="E56" s="23">
        <f>countif(Constants!J:J,$A56)</f>
        <v>1</v>
      </c>
      <c r="F56" s="29" t="str">
        <f t="shared" si="1"/>
        <v>https://w3ids.org/codata/fundamental/quantities/ConventionalValueOfVolt90</v>
      </c>
    </row>
    <row r="57">
      <c r="A57" s="33" t="s">
        <v>379</v>
      </c>
      <c r="B57" s="18" t="s">
        <v>380</v>
      </c>
      <c r="C57" s="23"/>
      <c r="D57" s="23">
        <f>COUNTIF(Concepts!A:A,A57)</f>
        <v>1</v>
      </c>
      <c r="E57" s="23">
        <f>countif(Constants!J:J,$A57)</f>
        <v>1</v>
      </c>
      <c r="F57" s="29" t="str">
        <f t="shared" si="1"/>
        <v>https://w3ids.org/codata/fundamental/quantities/ConventionalValueOfVonKlitzingConstant</v>
      </c>
    </row>
    <row r="58">
      <c r="A58" s="22" t="s">
        <v>387</v>
      </c>
      <c r="B58" s="18" t="s">
        <v>391</v>
      </c>
      <c r="C58" s="23"/>
      <c r="D58" s="23">
        <f>COUNTIF(Concepts!A:A,A58)</f>
        <v>1</v>
      </c>
      <c r="E58" s="23">
        <f>countif(Constants!J:J,$A58)</f>
        <v>1</v>
      </c>
      <c r="F58" s="29" t="str">
        <f t="shared" si="1"/>
        <v>https://w3ids.org/codata/fundamental/quantities/ConventionalValueOfWatt90</v>
      </c>
    </row>
    <row r="59">
      <c r="A59" s="33" t="s">
        <v>404</v>
      </c>
      <c r="B59" s="18" t="s">
        <v>405</v>
      </c>
      <c r="C59" s="23"/>
      <c r="D59" s="23">
        <f>COUNTIF(Concepts!A:A,A59)</f>
        <v>1</v>
      </c>
      <c r="E59" s="23">
        <f>countif(Constants!J:J,$A59)</f>
        <v>1</v>
      </c>
      <c r="F59" s="29" t="str">
        <f t="shared" si="1"/>
        <v>https://w3ids.org/codata/fundamental/quantities/CuXUnit</v>
      </c>
    </row>
    <row r="60">
      <c r="A60" s="33" t="s">
        <v>414</v>
      </c>
      <c r="B60" s="18" t="s">
        <v>415</v>
      </c>
      <c r="C60" s="23"/>
      <c r="D60" s="23">
        <f>COUNTIF(Concepts!A:A,A60)</f>
        <v>1</v>
      </c>
      <c r="E60" s="23">
        <f>countif(Constants!J:J,$A60)</f>
        <v>1</v>
      </c>
      <c r="F60" s="29" t="str">
        <f t="shared" si="1"/>
        <v>https://w3ids.org/codata/fundamental/quantities/DeuteronElectronMagneticMomentRatio</v>
      </c>
    </row>
    <row r="61">
      <c r="A61" s="33" t="s">
        <v>420</v>
      </c>
      <c r="B61" s="18" t="s">
        <v>421</v>
      </c>
      <c r="C61" s="23"/>
      <c r="D61" s="23">
        <f>COUNTIF(Concepts!A:A,A61)</f>
        <v>1</v>
      </c>
      <c r="E61" s="23">
        <f>countif(Constants!J:J,$A61)</f>
        <v>1</v>
      </c>
      <c r="F61" s="29" t="str">
        <f t="shared" si="1"/>
        <v>https://w3ids.org/codata/fundamental/quantities/DeuteronElectronMassRatio</v>
      </c>
    </row>
    <row r="62">
      <c r="A62" s="33" t="s">
        <v>428</v>
      </c>
      <c r="B62" s="18" t="s">
        <v>429</v>
      </c>
      <c r="C62" s="23"/>
      <c r="D62" s="23">
        <f>COUNTIF(Concepts!A:A,A62)</f>
        <v>1</v>
      </c>
      <c r="E62" s="23">
        <f>countif(Constants!J:J,$A62)</f>
        <v>1</v>
      </c>
      <c r="F62" s="29" t="str">
        <f t="shared" si="1"/>
        <v>https://w3ids.org/codata/fundamental/quantities/DeuteronGFactor</v>
      </c>
    </row>
    <row r="63">
      <c r="A63" s="33" t="s">
        <v>432</v>
      </c>
      <c r="B63" s="18" t="s">
        <v>434</v>
      </c>
      <c r="C63" s="23"/>
      <c r="D63" s="23">
        <f>COUNTIF(Concepts!A:A,A63)</f>
        <v>1</v>
      </c>
      <c r="E63" s="23">
        <f>countif(Constants!J:J,$A63)</f>
        <v>1</v>
      </c>
      <c r="F63" s="29" t="str">
        <f t="shared" si="1"/>
        <v>https://w3ids.org/codata/fundamental/quantities/DeuteronMagneticMoment</v>
      </c>
    </row>
    <row r="64">
      <c r="A64" s="33" t="s">
        <v>441</v>
      </c>
      <c r="B64" s="18" t="s">
        <v>442</v>
      </c>
      <c r="C64" s="23"/>
      <c r="D64" s="23">
        <f>COUNTIF(Concepts!A:A,A64)</f>
        <v>1</v>
      </c>
      <c r="E64" s="23">
        <f>countif(Constants!J:J,$A64)</f>
        <v>1</v>
      </c>
      <c r="F64" s="29" t="str">
        <f t="shared" si="1"/>
        <v>https://w3ids.org/codata/fundamental/quantities/DeuteronMagneticMomentToBohrMagnetonRatio</v>
      </c>
    </row>
    <row r="65">
      <c r="A65" s="33" t="s">
        <v>444</v>
      </c>
      <c r="B65" s="18" t="s">
        <v>445</v>
      </c>
      <c r="C65" s="23"/>
      <c r="D65" s="23">
        <f>COUNTIF(Concepts!A:A,A65)</f>
        <v>1</v>
      </c>
      <c r="E65" s="23">
        <f>countif(Constants!J:J,$A65)</f>
        <v>1</v>
      </c>
      <c r="F65" s="29" t="str">
        <f t="shared" si="1"/>
        <v>https://w3ids.org/codata/fundamental/quantities/DeuteronMagneticMomentToNuclearMagnetonRatio</v>
      </c>
    </row>
    <row r="66">
      <c r="A66" s="33" t="s">
        <v>447</v>
      </c>
      <c r="B66" s="18" t="s">
        <v>448</v>
      </c>
      <c r="C66" s="23"/>
      <c r="D66" s="23">
        <f>COUNTIF(Concepts!A:A,A66)</f>
        <v>1</v>
      </c>
      <c r="E66" s="23">
        <f>countif(Constants!J:J,$A66)</f>
        <v>3</v>
      </c>
      <c r="F66" s="29" t="str">
        <f t="shared" si="1"/>
        <v>https://w3ids.org/codata/fundamental/quantities/DeuteronMass</v>
      </c>
    </row>
    <row r="67">
      <c r="A67" s="17" t="s">
        <v>456</v>
      </c>
      <c r="B67" s="18" t="s">
        <v>457</v>
      </c>
      <c r="C67" s="23"/>
      <c r="D67" s="23">
        <f>COUNTIF(Concepts!A:A,A67)</f>
        <v>1</v>
      </c>
      <c r="E67" s="23">
        <f>countif(Constants!J:J,$A67)</f>
        <v>1</v>
      </c>
      <c r="F67" s="29" t="str">
        <f t="shared" si="1"/>
        <v>https://w3ids.org/codata/fundamental/quantities/DeuteronMassEnergyEquivalent</v>
      </c>
    </row>
    <row r="68">
      <c r="A68" s="33" t="s">
        <v>460</v>
      </c>
      <c r="B68" s="18" t="s">
        <v>461</v>
      </c>
      <c r="C68" s="23"/>
      <c r="D68" s="23">
        <f>COUNTIF(Concepts!A:A,A68)</f>
        <v>1</v>
      </c>
      <c r="E68" s="23">
        <f>countif(Constants!J:J,$A68)</f>
        <v>1</v>
      </c>
      <c r="F68" s="29" t="str">
        <f t="shared" si="1"/>
        <v>https://w3ids.org/codata/fundamental/quantities/DeuteronMolarMass</v>
      </c>
    </row>
    <row r="69">
      <c r="A69" s="33" t="s">
        <v>467</v>
      </c>
      <c r="B69" s="18" t="s">
        <v>468</v>
      </c>
      <c r="C69" s="23"/>
      <c r="D69" s="23">
        <f>COUNTIF(Concepts!A:A,A69)</f>
        <v>1</v>
      </c>
      <c r="E69" s="23">
        <f>countif(Constants!J:J,$A69)</f>
        <v>1</v>
      </c>
      <c r="F69" s="29" t="str">
        <f t="shared" si="1"/>
        <v>https://w3ids.org/codata/fundamental/quantities/DeuteronNeutronMagneticMomentRatio</v>
      </c>
    </row>
    <row r="70">
      <c r="A70" s="33" t="s">
        <v>470</v>
      </c>
      <c r="B70" s="18" t="s">
        <v>471</v>
      </c>
      <c r="C70" s="23"/>
      <c r="D70" s="23">
        <f>COUNTIF(Concepts!A:A,A70)</f>
        <v>1</v>
      </c>
      <c r="E70" s="23">
        <f>countif(Constants!J:J,$A70)</f>
        <v>1</v>
      </c>
      <c r="F70" s="29" t="str">
        <f t="shared" si="1"/>
        <v>https://w3ids.org/codata/fundamental/quantities/DeuteronProtonMagneticMomentRatio</v>
      </c>
    </row>
    <row r="71">
      <c r="A71" s="33" t="s">
        <v>477</v>
      </c>
      <c r="B71" s="18" t="s">
        <v>478</v>
      </c>
      <c r="C71" s="23"/>
      <c r="D71" s="23">
        <f>COUNTIF(Concepts!A:A,A71)</f>
        <v>1</v>
      </c>
      <c r="E71" s="23">
        <f>countif(Constants!J:J,$A71)</f>
        <v>1</v>
      </c>
      <c r="F71" s="29" t="str">
        <f t="shared" si="1"/>
        <v>https://w3ids.org/codata/fundamental/quantities/DeuteronProtonMassRatio</v>
      </c>
    </row>
    <row r="72">
      <c r="A72" s="33" t="s">
        <v>483</v>
      </c>
      <c r="B72" s="18" t="s">
        <v>484</v>
      </c>
      <c r="C72" s="23"/>
      <c r="D72" s="23">
        <f>COUNTIF(Concepts!A:A,A72)</f>
        <v>1</v>
      </c>
      <c r="E72" s="23">
        <f>countif(Constants!J:J,$A72)</f>
        <v>1</v>
      </c>
      <c r="F72" s="29" t="str">
        <f t="shared" si="1"/>
        <v>https://w3ids.org/codata/fundamental/quantities/DeuteronRelativeAtomicMass</v>
      </c>
    </row>
    <row r="73">
      <c r="A73" s="33" t="s">
        <v>488</v>
      </c>
      <c r="B73" s="18" t="s">
        <v>489</v>
      </c>
      <c r="C73" s="23"/>
      <c r="D73" s="23">
        <f>COUNTIF(Concepts!A:A,A73)</f>
        <v>1</v>
      </c>
      <c r="E73" s="23">
        <f>countif(Constants!J:J,$A73)</f>
        <v>1</v>
      </c>
      <c r="F73" s="29" t="str">
        <f t="shared" si="1"/>
        <v>https://w3ids.org/codata/fundamental/quantities/DeuteronRmsChargeRadius</v>
      </c>
    </row>
    <row r="74">
      <c r="A74" s="33" t="s">
        <v>495</v>
      </c>
      <c r="B74" s="18" t="s">
        <v>496</v>
      </c>
      <c r="C74" s="23"/>
      <c r="D74" s="23">
        <f>COUNTIF(Concepts!A:A,A74)</f>
        <v>1</v>
      </c>
      <c r="E74" s="23">
        <f>countif(Constants!J:J,$A74)</f>
        <v>1</v>
      </c>
      <c r="F74" s="29" t="str">
        <f t="shared" si="1"/>
        <v>https://w3ids.org/codata/fundamental/quantities/ElectromagneticPermeabilityOfVacuum</v>
      </c>
    </row>
    <row r="75">
      <c r="A75" s="33" t="s">
        <v>504</v>
      </c>
      <c r="B75" s="18" t="s">
        <v>505</v>
      </c>
      <c r="C75" s="23"/>
      <c r="D75" s="23">
        <f>COUNTIF(Concepts!A:A,A75)</f>
        <v>1</v>
      </c>
      <c r="E75" s="23">
        <f>countif(Constants!J:J,$A75)</f>
        <v>1</v>
      </c>
      <c r="F75" s="29" t="str">
        <f t="shared" si="1"/>
        <v>https://w3ids.org/codata/fundamental/quantities/ElectronChargeToMassQuotient</v>
      </c>
    </row>
    <row r="76">
      <c r="A76" s="33" t="s">
        <v>510</v>
      </c>
      <c r="B76" s="18" t="s">
        <v>511</v>
      </c>
      <c r="C76" s="23"/>
      <c r="D76" s="23">
        <f>COUNTIF(Concepts!A:A,A76)</f>
        <v>1</v>
      </c>
      <c r="E76" s="23">
        <f>countif(Constants!J:J,$A76)</f>
        <v>1</v>
      </c>
      <c r="F76" s="29" t="str">
        <f t="shared" si="1"/>
        <v>https://w3ids.org/codata/fundamental/quantities/ElectronDeuteronMagneticMomentRatio</v>
      </c>
    </row>
    <row r="77">
      <c r="A77" s="33" t="s">
        <v>514</v>
      </c>
      <c r="B77" s="18" t="s">
        <v>515</v>
      </c>
      <c r="C77" s="23"/>
      <c r="D77" s="23">
        <f>COUNTIF(Concepts!A:A,A77)</f>
        <v>1</v>
      </c>
      <c r="E77" s="23">
        <f>countif(Constants!J:J,$A77)</f>
        <v>1</v>
      </c>
      <c r="F77" s="29" t="str">
        <f t="shared" si="1"/>
        <v>https://w3ids.org/codata/fundamental/quantities/ElectronDeuteronMassRatio</v>
      </c>
    </row>
    <row r="78">
      <c r="A78" s="33" t="s">
        <v>516</v>
      </c>
      <c r="B78" s="18" t="s">
        <v>517</v>
      </c>
      <c r="C78" s="23"/>
      <c r="D78" s="23">
        <f>COUNTIF(Concepts!A:A,A78)</f>
        <v>1</v>
      </c>
      <c r="E78" s="23">
        <f>countif(Constants!J:J,$A78)</f>
        <v>1</v>
      </c>
      <c r="F78" s="29" t="str">
        <f t="shared" si="1"/>
        <v>https://w3ids.org/codata/fundamental/quantities/ElectronGFactor</v>
      </c>
    </row>
    <row r="79">
      <c r="A79" s="33" t="s">
        <v>522</v>
      </c>
      <c r="B79" s="18" t="s">
        <v>523</v>
      </c>
      <c r="C79" s="23"/>
      <c r="D79" s="23">
        <f>COUNTIF(Concepts!A:A,A79)</f>
        <v>1</v>
      </c>
      <c r="E79" s="23">
        <f>countif(Constants!J:J,$A79)</f>
        <v>2</v>
      </c>
      <c r="F79" s="29" t="str">
        <f t="shared" si="1"/>
        <v>https://w3ids.org/codata/fundamental/quantities/ElectronGyromagneticRatio</v>
      </c>
    </row>
    <row r="80">
      <c r="A80" s="22" t="s">
        <v>533</v>
      </c>
      <c r="B80" s="18" t="s">
        <v>534</v>
      </c>
      <c r="C80" s="23"/>
      <c r="D80" s="23">
        <f>COUNTIF(Concepts!A:A,A80)</f>
        <v>1</v>
      </c>
      <c r="E80" s="23">
        <f>countif(Constants!J:J,$A80)</f>
        <v>1</v>
      </c>
      <c r="F80" s="29" t="str">
        <f t="shared" si="1"/>
        <v>https://w3ids.org/codata/fundamental/quantities/ElectronHelionMassRatio</v>
      </c>
    </row>
    <row r="81">
      <c r="A81" s="33" t="s">
        <v>539</v>
      </c>
      <c r="B81" s="18" t="s">
        <v>540</v>
      </c>
      <c r="C81" s="23"/>
      <c r="D81" s="23">
        <f>COUNTIF(Concepts!A:A,A81)</f>
        <v>1</v>
      </c>
      <c r="E81" s="23">
        <f>countif(Constants!J:J,$A81)</f>
        <v>1</v>
      </c>
      <c r="F81" s="29" t="str">
        <f t="shared" si="1"/>
        <v>https://w3ids.org/codata/fundamental/quantities/ElectronMagneticMoment</v>
      </c>
    </row>
    <row r="82">
      <c r="A82" s="33" t="s">
        <v>548</v>
      </c>
      <c r="B82" s="18" t="s">
        <v>549</v>
      </c>
      <c r="C82" s="23"/>
      <c r="D82" s="23">
        <f>COUNTIF(Concepts!A:A,A82)</f>
        <v>1</v>
      </c>
      <c r="E82" s="23">
        <f>countif(Constants!J:J,$A82)</f>
        <v>1</v>
      </c>
      <c r="F82" s="29" t="str">
        <f t="shared" si="1"/>
        <v>https://w3ids.org/codata/fundamental/quantities/ElectronMagneticMomentAnomaly</v>
      </c>
    </row>
    <row r="83">
      <c r="A83" s="33" t="s">
        <v>552</v>
      </c>
      <c r="B83" s="18" t="s">
        <v>553</v>
      </c>
      <c r="C83" s="23"/>
      <c r="D83" s="23">
        <f>COUNTIF(Concepts!A:A,A83)</f>
        <v>1</v>
      </c>
      <c r="E83" s="23">
        <f>countif(Constants!J:J,$A83)</f>
        <v>1</v>
      </c>
      <c r="F83" s="29" t="str">
        <f t="shared" si="1"/>
        <v>https://w3ids.org/codata/fundamental/quantities/ElectronMagneticMomentToBohrMagnetonRatio</v>
      </c>
    </row>
    <row r="84">
      <c r="A84" s="33" t="s">
        <v>564</v>
      </c>
      <c r="B84" s="18" t="s">
        <v>565</v>
      </c>
      <c r="C84" s="23"/>
      <c r="D84" s="23">
        <f>COUNTIF(Concepts!A:A,A84)</f>
        <v>1</v>
      </c>
      <c r="E84" s="23">
        <f>countif(Constants!J:J,$A84)</f>
        <v>1</v>
      </c>
      <c r="F84" s="29" t="str">
        <f t="shared" si="1"/>
        <v>https://w3ids.org/codata/fundamental/quantities/ElectronMagneticMomentToNuclearMagnetonRatio</v>
      </c>
    </row>
    <row r="85">
      <c r="A85" s="33" t="s">
        <v>569</v>
      </c>
      <c r="B85" s="18" t="s">
        <v>570</v>
      </c>
      <c r="C85" s="23"/>
      <c r="D85" s="23">
        <f>COUNTIF(Concepts!A:A,A85)</f>
        <v>1</v>
      </c>
      <c r="E85" s="23">
        <f>countif(Constants!J:J,$A85)</f>
        <v>3</v>
      </c>
      <c r="F85" s="29" t="str">
        <f t="shared" si="1"/>
        <v>https://w3ids.org/codata/fundamental/quantities/ElectronMass</v>
      </c>
    </row>
    <row r="86">
      <c r="A86" s="17" t="s">
        <v>573</v>
      </c>
      <c r="B86" s="18" t="s">
        <v>574</v>
      </c>
      <c r="C86" s="23"/>
      <c r="D86" s="23">
        <f>COUNTIF(Concepts!A:A,A86)</f>
        <v>1</v>
      </c>
      <c r="E86" s="23">
        <f>countif(Constants!J:J,$A86)</f>
        <v>1</v>
      </c>
      <c r="F86" s="29" t="str">
        <f t="shared" si="1"/>
        <v>https://w3ids.org/codata/fundamental/quantities/ElectronMassEnergyEquivalent</v>
      </c>
    </row>
    <row r="87">
      <c r="A87" s="33" t="s">
        <v>578</v>
      </c>
      <c r="B87" s="18" t="s">
        <v>579</v>
      </c>
      <c r="C87" s="23"/>
      <c r="D87" s="23">
        <f>COUNTIF(Concepts!A:A,A87)</f>
        <v>1</v>
      </c>
      <c r="E87" s="23">
        <f>countif(Constants!J:J,$A87)</f>
        <v>1</v>
      </c>
      <c r="F87" s="29" t="str">
        <f t="shared" si="1"/>
        <v>https://w3ids.org/codata/fundamental/quantities/ElectronMolarMass</v>
      </c>
    </row>
    <row r="88">
      <c r="A88" s="33" t="s">
        <v>585</v>
      </c>
      <c r="B88" s="18" t="s">
        <v>587</v>
      </c>
      <c r="C88" s="23"/>
      <c r="D88" s="23">
        <f>COUNTIF(Concepts!A:A,A88)</f>
        <v>1</v>
      </c>
      <c r="E88" s="23">
        <f>countif(Constants!J:J,$A88)</f>
        <v>1</v>
      </c>
      <c r="F88" s="29" t="str">
        <f t="shared" si="1"/>
        <v>https://w3ids.org/codata/fundamental/quantities/ElectronMuonMagneticMomentRatio</v>
      </c>
    </row>
    <row r="89">
      <c r="A89" s="33" t="s">
        <v>593</v>
      </c>
      <c r="B89" s="18" t="s">
        <v>595</v>
      </c>
      <c r="C89" s="23"/>
      <c r="D89" s="23">
        <f>COUNTIF(Concepts!A:A,A89)</f>
        <v>1</v>
      </c>
      <c r="E89" s="23">
        <f>countif(Constants!J:J,$A89)</f>
        <v>1</v>
      </c>
      <c r="F89" s="29" t="str">
        <f t="shared" si="1"/>
        <v>https://w3ids.org/codata/fundamental/quantities/ElectronMuonMassRatio</v>
      </c>
    </row>
    <row r="90">
      <c r="A90" s="33" t="s">
        <v>599</v>
      </c>
      <c r="B90" s="18" t="s">
        <v>600</v>
      </c>
      <c r="C90" s="23"/>
      <c r="D90" s="23">
        <f>COUNTIF(Concepts!A:A,A90)</f>
        <v>1</v>
      </c>
      <c r="E90" s="23">
        <f>countif(Constants!J:J,$A90)</f>
        <v>1</v>
      </c>
      <c r="F90" s="29" t="str">
        <f t="shared" si="1"/>
        <v>https://w3ids.org/codata/fundamental/quantities/ElectronNeutronMagneticMomentRatio</v>
      </c>
    </row>
    <row r="91">
      <c r="A91" s="33" t="s">
        <v>604</v>
      </c>
      <c r="B91" s="18" t="s">
        <v>605</v>
      </c>
      <c r="C91" s="23"/>
      <c r="D91" s="23">
        <f>COUNTIF(Concepts!A:A,A91)</f>
        <v>1</v>
      </c>
      <c r="E91" s="23">
        <f>countif(Constants!J:J,$A91)</f>
        <v>1</v>
      </c>
      <c r="F91" s="29" t="str">
        <f t="shared" si="1"/>
        <v>https://w3ids.org/codata/fundamental/quantities/ElectronNeutronMassRatio</v>
      </c>
    </row>
    <row r="92">
      <c r="A92" s="33" t="s">
        <v>611</v>
      </c>
      <c r="B92" s="18" t="s">
        <v>613</v>
      </c>
      <c r="C92" s="23"/>
      <c r="D92" s="23">
        <f>COUNTIF(Concepts!A:A,A92)</f>
        <v>1</v>
      </c>
      <c r="E92" s="23">
        <f>countif(Constants!J:J,$A92)</f>
        <v>1</v>
      </c>
      <c r="F92" s="29" t="str">
        <f t="shared" si="1"/>
        <v>https://w3ids.org/codata/fundamental/quantities/ElectronProtonMagneticMomentRatio</v>
      </c>
    </row>
    <row r="93">
      <c r="A93" s="33" t="s">
        <v>620</v>
      </c>
      <c r="B93" s="18" t="s">
        <v>621</v>
      </c>
      <c r="C93" s="23"/>
      <c r="D93" s="23">
        <f>COUNTIF(Concepts!A:A,A93)</f>
        <v>1</v>
      </c>
      <c r="E93" s="23">
        <f>countif(Constants!J:J,$A93)</f>
        <v>1</v>
      </c>
      <c r="F93" s="29" t="str">
        <f t="shared" si="1"/>
        <v>https://w3ids.org/codata/fundamental/quantities/ElectronProtonMassRatio</v>
      </c>
    </row>
    <row r="94">
      <c r="A94" s="33" t="s">
        <v>625</v>
      </c>
      <c r="B94" s="18" t="s">
        <v>626</v>
      </c>
      <c r="C94" s="23"/>
      <c r="D94" s="23">
        <f>COUNTIF(Concepts!A:A,A94)</f>
        <v>1</v>
      </c>
      <c r="E94" s="23">
        <f>countif(Constants!J:J,$A94)</f>
        <v>1</v>
      </c>
      <c r="F94" s="29" t="str">
        <f t="shared" si="1"/>
        <v>https://w3ids.org/codata/fundamental/quantities/ElectronRelativeAtomicMass</v>
      </c>
    </row>
    <row r="95">
      <c r="A95" s="33" t="s">
        <v>628</v>
      </c>
      <c r="B95" s="18" t="s">
        <v>629</v>
      </c>
      <c r="C95" s="23"/>
      <c r="D95" s="23">
        <f>COUNTIF(Concepts!A:A,A95)</f>
        <v>1</v>
      </c>
      <c r="E95" s="23">
        <f>countif(Constants!J:J,$A95)</f>
        <v>1</v>
      </c>
      <c r="F95" s="29" t="str">
        <f t="shared" si="1"/>
        <v>https://w3ids.org/codata/fundamental/quantities/ElectronTauMassRatio</v>
      </c>
    </row>
    <row r="96">
      <c r="A96" s="33" t="s">
        <v>630</v>
      </c>
      <c r="B96" s="18" t="s">
        <v>631</v>
      </c>
      <c r="C96" s="23"/>
      <c r="D96" s="23">
        <f>COUNTIF(Concepts!A:A,A96)</f>
        <v>1</v>
      </c>
      <c r="E96" s="23">
        <f>countif(Constants!J:J,$A96)</f>
        <v>1</v>
      </c>
      <c r="F96" s="29" t="str">
        <f t="shared" si="1"/>
        <v>https://w3ids.org/codata/fundamental/quantities/ElectronToAlphaParticleMassRatio</v>
      </c>
    </row>
    <row r="97">
      <c r="A97" s="33" t="s">
        <v>636</v>
      </c>
      <c r="B97" s="18" t="s">
        <v>637</v>
      </c>
      <c r="C97" s="23"/>
      <c r="D97" s="23">
        <f>COUNTIF(Concepts!A:A,A97)</f>
        <v>1</v>
      </c>
      <c r="E97" s="23">
        <f>countif(Constants!J:J,$A97)</f>
        <v>1</v>
      </c>
      <c r="F97" s="29" t="str">
        <f t="shared" si="1"/>
        <v>https://w3ids.org/codata/fundamental/quantities/ElectronToShieldedHelionMagneticMomentRatio</v>
      </c>
    </row>
    <row r="98">
      <c r="A98" s="33" t="s">
        <v>639</v>
      </c>
      <c r="B98" s="18" t="s">
        <v>640</v>
      </c>
      <c r="C98" s="23"/>
      <c r="D98" s="23">
        <f>COUNTIF(Concepts!A:A,A98)</f>
        <v>1</v>
      </c>
      <c r="E98" s="23">
        <f>countif(Constants!J:J,$A98)</f>
        <v>1</v>
      </c>
      <c r="F98" s="29" t="str">
        <f t="shared" si="1"/>
        <v>https://w3ids.org/codata/fundamental/quantities/ElectronToShieldedProtonMagneticMomentRatio</v>
      </c>
    </row>
    <row r="99">
      <c r="A99" s="22" t="s">
        <v>642</v>
      </c>
      <c r="B99" s="18" t="s">
        <v>643</v>
      </c>
      <c r="C99" s="23"/>
      <c r="D99" s="23">
        <f>COUNTIF(Concepts!A:A,A99)</f>
        <v>1</v>
      </c>
      <c r="E99" s="23">
        <f>countif(Constants!J:J,$A99)</f>
        <v>1</v>
      </c>
      <c r="F99" s="29" t="str">
        <f t="shared" si="1"/>
        <v>https://w3ids.org/codata/fundamental/quantities/ElectronTritonMassRatio</v>
      </c>
    </row>
    <row r="100">
      <c r="A100" s="33" t="s">
        <v>644</v>
      </c>
      <c r="B100" s="18" t="s">
        <v>645</v>
      </c>
      <c r="C100" s="23"/>
      <c r="D100" s="23">
        <f>COUNTIF(Concepts!A:A,A100)</f>
        <v>1</v>
      </c>
      <c r="E100" s="23">
        <f>countif(Constants!J:J,$A100)</f>
        <v>1</v>
      </c>
      <c r="F100" s="29" t="str">
        <f t="shared" si="1"/>
        <v>https://w3ids.org/codata/fundamental/quantities/ElectronVolt</v>
      </c>
    </row>
    <row r="101">
      <c r="A101" s="33" t="s">
        <v>650</v>
      </c>
      <c r="B101" s="18" t="s">
        <v>651</v>
      </c>
      <c r="C101" s="23"/>
      <c r="D101" s="23">
        <f>COUNTIF(Concepts!A:A,A101)</f>
        <v>1</v>
      </c>
      <c r="E101" s="23">
        <f>countif(Constants!J:J,$A101)</f>
        <v>1</v>
      </c>
      <c r="F101" s="29" t="str">
        <f t="shared" si="1"/>
        <v>https://w3ids.org/codata/fundamental/quantities/ElectronVoltAtomicMassUnitRelationship</v>
      </c>
    </row>
    <row r="102">
      <c r="A102" s="33" t="s">
        <v>659</v>
      </c>
      <c r="B102" s="18" t="s">
        <v>661</v>
      </c>
      <c r="C102" s="23"/>
      <c r="D102" s="23">
        <f>COUNTIF(Concepts!A:A,A102)</f>
        <v>1</v>
      </c>
      <c r="E102" s="23">
        <f>countif(Constants!J:J,$A102)</f>
        <v>1</v>
      </c>
      <c r="F102" s="29" t="str">
        <f t="shared" si="1"/>
        <v>https://w3ids.org/codata/fundamental/quantities/ElectronVoltHartreeRelationship</v>
      </c>
    </row>
    <row r="103">
      <c r="A103" s="33" t="s">
        <v>664</v>
      </c>
      <c r="B103" s="18" t="s">
        <v>665</v>
      </c>
      <c r="C103" s="23"/>
      <c r="D103" s="23">
        <f>COUNTIF(Concepts!A:A,A103)</f>
        <v>1</v>
      </c>
      <c r="E103" s="23">
        <f>countif(Constants!J:J,$A103)</f>
        <v>1</v>
      </c>
      <c r="F103" s="29" t="str">
        <f t="shared" si="1"/>
        <v>https://w3ids.org/codata/fundamental/quantities/ElectronVoltHertzRelationship</v>
      </c>
    </row>
    <row r="104">
      <c r="A104" s="33" t="s">
        <v>667</v>
      </c>
      <c r="B104" s="18" t="s">
        <v>668</v>
      </c>
      <c r="C104" s="23"/>
      <c r="D104" s="23">
        <f>COUNTIF(Concepts!A:A,A104)</f>
        <v>1</v>
      </c>
      <c r="E104" s="23">
        <f>countif(Constants!J:J,$A104)</f>
        <v>1</v>
      </c>
      <c r="F104" s="29" t="str">
        <f t="shared" si="1"/>
        <v>https://w3ids.org/codata/fundamental/quantities/ElectronVoltInverseMeterRelationship</v>
      </c>
    </row>
    <row r="105">
      <c r="A105" s="33" t="s">
        <v>670</v>
      </c>
      <c r="B105" s="18" t="s">
        <v>671</v>
      </c>
      <c r="C105" s="23"/>
      <c r="D105" s="23">
        <f>COUNTIF(Concepts!A:A,A105)</f>
        <v>1</v>
      </c>
      <c r="E105" s="23">
        <f>countif(Constants!J:J,$A105)</f>
        <v>1</v>
      </c>
      <c r="F105" s="29" t="str">
        <f t="shared" si="1"/>
        <v>https://w3ids.org/codata/fundamental/quantities/ElectronVoltJouleRelationship</v>
      </c>
    </row>
    <row r="106">
      <c r="A106" s="33" t="s">
        <v>678</v>
      </c>
      <c r="B106" s="18" t="s">
        <v>679</v>
      </c>
      <c r="C106" s="23"/>
      <c r="D106" s="23">
        <f>COUNTIF(Concepts!A:A,A106)</f>
        <v>1</v>
      </c>
      <c r="E106" s="23">
        <f>countif(Constants!J:J,$A106)</f>
        <v>1</v>
      </c>
      <c r="F106" s="29" t="str">
        <f t="shared" si="1"/>
        <v>https://w3ids.org/codata/fundamental/quantities/ElectronVoltKelvinRelationship</v>
      </c>
    </row>
    <row r="107">
      <c r="A107" s="33" t="s">
        <v>683</v>
      </c>
      <c r="B107" s="18" t="s">
        <v>684</v>
      </c>
      <c r="C107" s="23"/>
      <c r="D107" s="23">
        <f>COUNTIF(Concepts!A:A,A107)</f>
        <v>1</v>
      </c>
      <c r="E107" s="23">
        <f>countif(Constants!J:J,$A107)</f>
        <v>1</v>
      </c>
      <c r="F107" s="29" t="str">
        <f t="shared" si="1"/>
        <v>https://w3ids.org/codata/fundamental/quantities/ElectronVoltKilogramRelationship</v>
      </c>
    </row>
    <row r="108">
      <c r="A108" s="33" t="s">
        <v>687</v>
      </c>
      <c r="B108" s="18" t="s">
        <v>688</v>
      </c>
      <c r="C108" s="23"/>
      <c r="D108" s="23">
        <f>COUNTIF(Concepts!A:A,A108)</f>
        <v>1</v>
      </c>
      <c r="E108" s="23">
        <f>countif(Constants!J:J,$A108)</f>
        <v>1</v>
      </c>
      <c r="F108" s="29" t="str">
        <f t="shared" si="1"/>
        <v>https://w3ids.org/codata/fundamental/quantities/ElementaryCharge</v>
      </c>
    </row>
    <row r="109">
      <c r="A109" s="33" t="s">
        <v>690</v>
      </c>
      <c r="B109" s="18" t="s">
        <v>691</v>
      </c>
      <c r="C109" s="23"/>
      <c r="D109" s="23">
        <f>COUNTIF(Concepts!A:A,A109)</f>
        <v>1</v>
      </c>
      <c r="E109" s="23">
        <f>countif(Constants!J:J,$A109)</f>
        <v>1</v>
      </c>
      <c r="F109" s="29" t="str">
        <f t="shared" si="1"/>
        <v>https://w3ids.org/codata/fundamental/quantities/ElementaryChargeOverH</v>
      </c>
    </row>
    <row r="110">
      <c r="A110" s="33" t="s">
        <v>693</v>
      </c>
      <c r="B110" s="18" t="s">
        <v>694</v>
      </c>
      <c r="C110" s="23"/>
      <c r="D110" s="23">
        <f>COUNTIF(Concepts!A:A,A110)</f>
        <v>1</v>
      </c>
      <c r="E110" s="23">
        <f>countif(Constants!J:J,$A110)</f>
        <v>2</v>
      </c>
      <c r="F110" s="29" t="str">
        <f t="shared" si="1"/>
        <v>https://w3ids.org/codata/fundamental/quantities/FaradayConstant</v>
      </c>
    </row>
    <row r="111">
      <c r="A111" s="33" t="s">
        <v>699</v>
      </c>
      <c r="B111" s="18" t="s">
        <v>700</v>
      </c>
      <c r="C111" s="23"/>
      <c r="D111" s="23">
        <f>COUNTIF(Concepts!A:A,A111)</f>
        <v>1</v>
      </c>
      <c r="E111" s="23">
        <f>countif(Constants!J:J,$A111)</f>
        <v>1</v>
      </c>
      <c r="F111" s="29" t="str">
        <f t="shared" si="1"/>
        <v>https://w3ids.org/codata/fundamental/quantities/FermiCouplingConstant</v>
      </c>
    </row>
    <row r="112">
      <c r="A112" s="33" t="s">
        <v>703</v>
      </c>
      <c r="B112" s="18" t="s">
        <v>704</v>
      </c>
      <c r="C112" s="23"/>
      <c r="D112" s="23">
        <f>COUNTIF(Concepts!A:A,A112)</f>
        <v>1</v>
      </c>
      <c r="E112" s="23">
        <f>countif(Constants!J:J,$A112)</f>
        <v>1</v>
      </c>
      <c r="F112" s="29" t="str">
        <f t="shared" si="1"/>
        <v>https://w3ids.org/codata/fundamental/quantities/FineStructureConstant</v>
      </c>
    </row>
    <row r="113">
      <c r="A113" s="33" t="s">
        <v>706</v>
      </c>
      <c r="B113" s="18" t="s">
        <v>707</v>
      </c>
      <c r="C113" s="23"/>
      <c r="D113" s="23">
        <f>COUNTIF(Concepts!A:A,A113)</f>
        <v>1</v>
      </c>
      <c r="E113" s="23">
        <f>countif(Constants!J:J,$A113)</f>
        <v>1</v>
      </c>
      <c r="F113" s="29" t="str">
        <f t="shared" si="1"/>
        <v>https://w3ids.org/codata/fundamental/quantities/FirstRadiationConstant</v>
      </c>
    </row>
    <row r="114">
      <c r="A114" s="33" t="s">
        <v>709</v>
      </c>
      <c r="B114" s="18" t="s">
        <v>710</v>
      </c>
      <c r="C114" s="23"/>
      <c r="D114" s="23">
        <f>COUNTIF(Concepts!A:A,A114)</f>
        <v>1</v>
      </c>
      <c r="E114" s="23">
        <f>countif(Constants!J:J,$A114)</f>
        <v>1</v>
      </c>
      <c r="F114" s="29" t="str">
        <f t="shared" si="1"/>
        <v>https://w3ids.org/codata/fundamental/quantities/FirstRadiationConstantForSpectralRadiance</v>
      </c>
    </row>
    <row r="115">
      <c r="A115" s="33" t="s">
        <v>716</v>
      </c>
      <c r="B115" s="18" t="s">
        <v>717</v>
      </c>
      <c r="C115" s="23"/>
      <c r="D115" s="23">
        <f>COUNTIF(Concepts!A:A,A115)</f>
        <v>1</v>
      </c>
      <c r="E115" s="23">
        <f>countif(Constants!J:J,$A115)</f>
        <v>1</v>
      </c>
      <c r="F115" s="29" t="str">
        <f t="shared" si="1"/>
        <v>https://w3ids.org/codata/fundamental/quantities/HartreeAtomicMassUnitRelationship</v>
      </c>
    </row>
    <row r="116">
      <c r="A116" s="33" t="s">
        <v>718</v>
      </c>
      <c r="B116" s="18" t="s">
        <v>719</v>
      </c>
      <c r="C116" s="23"/>
      <c r="D116" s="23">
        <f>COUNTIF(Concepts!A:A,A116)</f>
        <v>1</v>
      </c>
      <c r="E116" s="23">
        <f>countif(Constants!J:J,$A116)</f>
        <v>1</v>
      </c>
      <c r="F116" s="29" t="str">
        <f t="shared" si="1"/>
        <v>https://w3ids.org/codata/fundamental/quantities/HartreeElectronVoltRelationship</v>
      </c>
    </row>
    <row r="117">
      <c r="A117" s="33" t="s">
        <v>721</v>
      </c>
      <c r="B117" s="18" t="s">
        <v>722</v>
      </c>
      <c r="C117" s="23"/>
      <c r="D117" s="23">
        <f>COUNTIF(Concepts!A:A,A117)</f>
        <v>1</v>
      </c>
      <c r="E117" s="23">
        <f>countif(Constants!J:J,$A117)</f>
        <v>2</v>
      </c>
      <c r="F117" s="29" t="str">
        <f t="shared" si="1"/>
        <v>https://w3ids.org/codata/fundamental/quantities/HartreeEnergy</v>
      </c>
    </row>
    <row r="118">
      <c r="A118" s="33" t="s">
        <v>724</v>
      </c>
      <c r="B118" s="18" t="s">
        <v>725</v>
      </c>
      <c r="C118" s="23"/>
      <c r="D118" s="23">
        <f>COUNTIF(Concepts!A:A,A118)</f>
        <v>1</v>
      </c>
      <c r="E118" s="23">
        <f>countif(Constants!J:J,$A118)</f>
        <v>1</v>
      </c>
      <c r="F118" s="29" t="str">
        <f t="shared" si="1"/>
        <v>https://w3ids.org/codata/fundamental/quantities/HartreeHertzRelationship</v>
      </c>
    </row>
    <row r="119">
      <c r="A119" s="33" t="s">
        <v>726</v>
      </c>
      <c r="B119" s="18" t="s">
        <v>727</v>
      </c>
      <c r="C119" s="23"/>
      <c r="D119" s="23">
        <f>COUNTIF(Concepts!A:A,A119)</f>
        <v>1</v>
      </c>
      <c r="E119" s="23">
        <f>countif(Constants!J:J,$A119)</f>
        <v>1</v>
      </c>
      <c r="F119" s="29" t="str">
        <f t="shared" si="1"/>
        <v>https://w3ids.org/codata/fundamental/quantities/HartreeInverseMeterRelationship</v>
      </c>
    </row>
    <row r="120">
      <c r="A120" s="33" t="s">
        <v>731</v>
      </c>
      <c r="B120" s="18" t="s">
        <v>732</v>
      </c>
      <c r="C120" s="23"/>
      <c r="D120" s="23">
        <f>COUNTIF(Concepts!A:A,A120)</f>
        <v>1</v>
      </c>
      <c r="E120" s="23">
        <f>countif(Constants!J:J,$A120)</f>
        <v>1</v>
      </c>
      <c r="F120" s="29" t="str">
        <f t="shared" si="1"/>
        <v>https://w3ids.org/codata/fundamental/quantities/HartreeJouleRelationship</v>
      </c>
    </row>
    <row r="121">
      <c r="A121" s="33" t="s">
        <v>734</v>
      </c>
      <c r="B121" s="18" t="s">
        <v>735</v>
      </c>
      <c r="C121" s="23"/>
      <c r="D121" s="23">
        <f>COUNTIF(Concepts!A:A,A121)</f>
        <v>1</v>
      </c>
      <c r="E121" s="23">
        <f>countif(Constants!J:J,$A121)</f>
        <v>1</v>
      </c>
      <c r="F121" s="29" t="str">
        <f t="shared" si="1"/>
        <v>https://w3ids.org/codata/fundamental/quantities/HartreeKelvinRelationship</v>
      </c>
    </row>
    <row r="122">
      <c r="A122" s="33" t="s">
        <v>736</v>
      </c>
      <c r="B122" s="18" t="s">
        <v>737</v>
      </c>
      <c r="C122" s="23"/>
      <c r="D122" s="23">
        <f>COUNTIF(Concepts!A:A,A122)</f>
        <v>1</v>
      </c>
      <c r="E122" s="23">
        <f>countif(Constants!J:J,$A122)</f>
        <v>1</v>
      </c>
      <c r="F122" s="29" t="str">
        <f t="shared" si="1"/>
        <v>https://w3ids.org/codata/fundamental/quantities/HartreeKilogramRelationship</v>
      </c>
    </row>
    <row r="123">
      <c r="A123" s="33" t="s">
        <v>740</v>
      </c>
      <c r="B123" s="18" t="s">
        <v>741</v>
      </c>
      <c r="C123" s="23"/>
      <c r="D123" s="23">
        <f>COUNTIF(Concepts!A:A,A123)</f>
        <v>1</v>
      </c>
      <c r="E123" s="23">
        <f>countif(Constants!J:J,$A123)</f>
        <v>1</v>
      </c>
      <c r="F123" s="29" t="str">
        <f t="shared" si="1"/>
        <v>https://w3ids.org/codata/fundamental/quantities/HelionElectronMassRatio</v>
      </c>
    </row>
    <row r="124">
      <c r="A124" s="33" t="s">
        <v>746</v>
      </c>
      <c r="B124" s="18" t="s">
        <v>747</v>
      </c>
      <c r="C124" s="23"/>
      <c r="D124" s="23">
        <f>COUNTIF(Concepts!A:A,A124)</f>
        <v>1</v>
      </c>
      <c r="E124" s="23">
        <f>countif(Constants!J:J,$A124)</f>
        <v>1</v>
      </c>
      <c r="F124" s="29" t="str">
        <f t="shared" si="1"/>
        <v>https://w3ids.org/codata/fundamental/quantities/HelionGFactor</v>
      </c>
    </row>
    <row r="125">
      <c r="A125" s="22" t="s">
        <v>749</v>
      </c>
      <c r="B125" s="18" t="s">
        <v>750</v>
      </c>
      <c r="C125" s="23"/>
      <c r="D125" s="23">
        <f>COUNTIF(Concepts!A:A,A125)</f>
        <v>1</v>
      </c>
      <c r="E125" s="23">
        <f>countif(Constants!J:J,$A125)</f>
        <v>1</v>
      </c>
      <c r="F125" s="29" t="str">
        <f t="shared" si="1"/>
        <v>https://w3ids.org/codata/fundamental/quantities/HelionMagneticMoment</v>
      </c>
    </row>
    <row r="126">
      <c r="A126" s="22" t="s">
        <v>751</v>
      </c>
      <c r="B126" s="18" t="s">
        <v>752</v>
      </c>
      <c r="C126" s="23"/>
      <c r="D126" s="23">
        <f>COUNTIF(Concepts!A:A,A126)</f>
        <v>1</v>
      </c>
      <c r="E126" s="23">
        <f>countif(Constants!J:J,$A126)</f>
        <v>1</v>
      </c>
      <c r="F126" s="29" t="str">
        <f t="shared" si="1"/>
        <v>https://w3ids.org/codata/fundamental/quantities/HelionMagneticMomentToBohrMagnetonRatio</v>
      </c>
    </row>
    <row r="127">
      <c r="A127" s="22" t="s">
        <v>753</v>
      </c>
      <c r="B127" s="18" t="s">
        <v>754</v>
      </c>
      <c r="C127" s="23"/>
      <c r="D127" s="23">
        <f>COUNTIF(Concepts!A:A,A127)</f>
        <v>1</v>
      </c>
      <c r="E127" s="23">
        <f>countif(Constants!J:J,$A127)</f>
        <v>1</v>
      </c>
      <c r="F127" s="29" t="str">
        <f t="shared" si="1"/>
        <v>https://w3ids.org/codata/fundamental/quantities/HelionMagneticMomentToNuclearMagnetonRatio</v>
      </c>
    </row>
    <row r="128">
      <c r="A128" s="33" t="s">
        <v>758</v>
      </c>
      <c r="B128" s="18" t="s">
        <v>759</v>
      </c>
      <c r="C128" s="23"/>
      <c r="D128" s="23">
        <f>COUNTIF(Concepts!A:A,A128)</f>
        <v>1</v>
      </c>
      <c r="E128" s="23">
        <f>countif(Constants!J:J,$A128)</f>
        <v>3</v>
      </c>
      <c r="F128" s="29" t="str">
        <f t="shared" si="1"/>
        <v>https://w3ids.org/codata/fundamental/quantities/HelionMass</v>
      </c>
    </row>
    <row r="129">
      <c r="A129" s="17" t="s">
        <v>760</v>
      </c>
      <c r="B129" s="18" t="s">
        <v>761</v>
      </c>
      <c r="C129" s="23"/>
      <c r="D129" s="23">
        <f>COUNTIF(Concepts!A:A,A129)</f>
        <v>1</v>
      </c>
      <c r="E129" s="23">
        <f>countif(Constants!J:J,$A129)</f>
        <v>1</v>
      </c>
      <c r="F129" s="29" t="str">
        <f t="shared" si="1"/>
        <v>https://w3ids.org/codata/fundamental/quantities/HelionMassEnergyEquivalent</v>
      </c>
    </row>
    <row r="130">
      <c r="A130" s="33" t="s">
        <v>763</v>
      </c>
      <c r="B130" s="18" t="s">
        <v>764</v>
      </c>
      <c r="C130" s="23"/>
      <c r="D130" s="23">
        <f>COUNTIF(Concepts!A:A,A130)</f>
        <v>1</v>
      </c>
      <c r="E130" s="23">
        <f>countif(Constants!J:J,$A130)</f>
        <v>1</v>
      </c>
      <c r="F130" s="29" t="str">
        <f t="shared" si="1"/>
        <v>https://w3ids.org/codata/fundamental/quantities/HelionMolarMass</v>
      </c>
    </row>
    <row r="131">
      <c r="A131" s="33" t="s">
        <v>766</v>
      </c>
      <c r="B131" s="18" t="s">
        <v>767</v>
      </c>
      <c r="C131" s="23"/>
      <c r="D131" s="23">
        <f>COUNTIF(Concepts!A:A,A131)</f>
        <v>1</v>
      </c>
      <c r="E131" s="23">
        <f>countif(Constants!J:J,$A131)</f>
        <v>1</v>
      </c>
      <c r="F131" s="29" t="str">
        <f t="shared" si="1"/>
        <v>https://w3ids.org/codata/fundamental/quantities/HelionProtonMassRatio</v>
      </c>
    </row>
    <row r="132">
      <c r="A132" s="33" t="s">
        <v>773</v>
      </c>
      <c r="B132" s="18" t="s">
        <v>774</v>
      </c>
      <c r="C132" s="23"/>
      <c r="D132" s="23">
        <f>COUNTIF(Concepts!A:A,A132)</f>
        <v>1</v>
      </c>
      <c r="E132" s="23">
        <f>countif(Constants!J:J,$A132)</f>
        <v>1</v>
      </c>
      <c r="F132" s="29" t="str">
        <f t="shared" si="1"/>
        <v>https://w3ids.org/codata/fundamental/quantities/HelionRelativeAtomicMass</v>
      </c>
    </row>
    <row r="133">
      <c r="A133" s="33" t="s">
        <v>776</v>
      </c>
      <c r="B133" s="18" t="s">
        <v>777</v>
      </c>
      <c r="C133" s="23"/>
      <c r="D133" s="23">
        <f>COUNTIF(Concepts!A:A,A133)</f>
        <v>1</v>
      </c>
      <c r="E133" s="23">
        <f>countif(Constants!J:J,$A133)</f>
        <v>1</v>
      </c>
      <c r="F133" s="29" t="str">
        <f t="shared" si="1"/>
        <v>https://w3ids.org/codata/fundamental/quantities/HelionShieldingShift</v>
      </c>
    </row>
    <row r="134">
      <c r="A134" s="33" t="s">
        <v>778</v>
      </c>
      <c r="B134" s="18" t="s">
        <v>779</v>
      </c>
      <c r="C134" s="23"/>
      <c r="D134" s="23">
        <f>COUNTIF(Concepts!A:A,A134)</f>
        <v>1</v>
      </c>
      <c r="E134" s="23">
        <f>countif(Constants!J:J,$A134)</f>
        <v>1</v>
      </c>
      <c r="F134" s="29" t="str">
        <f t="shared" si="1"/>
        <v>https://w3ids.org/codata/fundamental/quantities/HertzAtomicMassUnitRelationship</v>
      </c>
    </row>
    <row r="135">
      <c r="A135" s="33" t="s">
        <v>781</v>
      </c>
      <c r="B135" s="18" t="s">
        <v>782</v>
      </c>
      <c r="C135" s="23"/>
      <c r="D135" s="23">
        <f>COUNTIF(Concepts!A:A,A135)</f>
        <v>1</v>
      </c>
      <c r="E135" s="23">
        <f>countif(Constants!J:J,$A135)</f>
        <v>1</v>
      </c>
      <c r="F135" s="29" t="str">
        <f t="shared" si="1"/>
        <v>https://w3ids.org/codata/fundamental/quantities/HertzElectronVoltRelationship</v>
      </c>
    </row>
    <row r="136">
      <c r="A136" s="33" t="s">
        <v>783</v>
      </c>
      <c r="B136" s="18" t="s">
        <v>784</v>
      </c>
      <c r="C136" s="23"/>
      <c r="D136" s="23">
        <f>COUNTIF(Concepts!A:A,A136)</f>
        <v>1</v>
      </c>
      <c r="E136" s="23">
        <f>countif(Constants!J:J,$A136)</f>
        <v>1</v>
      </c>
      <c r="F136" s="29" t="str">
        <f t="shared" si="1"/>
        <v>https://w3ids.org/codata/fundamental/quantities/HertzHartreeRelationship</v>
      </c>
    </row>
    <row r="137">
      <c r="A137" s="33" t="s">
        <v>790</v>
      </c>
      <c r="B137" s="18" t="s">
        <v>791</v>
      </c>
      <c r="C137" s="23"/>
      <c r="D137" s="23">
        <f>COUNTIF(Concepts!A:A,A137)</f>
        <v>1</v>
      </c>
      <c r="E137" s="23">
        <f>countif(Constants!J:J,$A137)</f>
        <v>1</v>
      </c>
      <c r="F137" s="29" t="str">
        <f t="shared" si="1"/>
        <v>https://w3ids.org/codata/fundamental/quantities/HertzInverseMeterRelationship</v>
      </c>
    </row>
    <row r="138">
      <c r="A138" s="33" t="s">
        <v>793</v>
      </c>
      <c r="B138" s="18" t="s">
        <v>794</v>
      </c>
      <c r="C138" s="23"/>
      <c r="D138" s="23">
        <f>COUNTIF(Concepts!A:A,A138)</f>
        <v>1</v>
      </c>
      <c r="E138" s="23">
        <f>countif(Constants!J:J,$A138)</f>
        <v>1</v>
      </c>
      <c r="F138" s="29" t="str">
        <f t="shared" si="1"/>
        <v>https://w3ids.org/codata/fundamental/quantities/HertzJouleRelationship</v>
      </c>
    </row>
    <row r="139">
      <c r="A139" s="33" t="s">
        <v>795</v>
      </c>
      <c r="B139" s="18" t="s">
        <v>796</v>
      </c>
      <c r="C139" s="23"/>
      <c r="D139" s="23">
        <f>COUNTIF(Concepts!A:A,A139)</f>
        <v>1</v>
      </c>
      <c r="E139" s="23">
        <f>countif(Constants!J:J,$A139)</f>
        <v>1</v>
      </c>
      <c r="F139" s="29" t="str">
        <f t="shared" si="1"/>
        <v>https://w3ids.org/codata/fundamental/quantities/HertzKelvinRelationship</v>
      </c>
    </row>
    <row r="140">
      <c r="A140" s="33" t="s">
        <v>799</v>
      </c>
      <c r="B140" s="18" t="s">
        <v>800</v>
      </c>
      <c r="C140" s="23"/>
      <c r="D140" s="23">
        <f>COUNTIF(Concepts!A:A,A140)</f>
        <v>1</v>
      </c>
      <c r="E140" s="23">
        <f>countif(Constants!J:J,$A140)</f>
        <v>1</v>
      </c>
      <c r="F140" s="29" t="str">
        <f t="shared" si="1"/>
        <v>https://w3ids.org/codata/fundamental/quantities/HertzKilogramRelationship</v>
      </c>
    </row>
    <row r="141">
      <c r="A141" s="22" t="s">
        <v>802</v>
      </c>
      <c r="B141" s="18" t="s">
        <v>803</v>
      </c>
      <c r="C141" s="39" t="s">
        <v>804</v>
      </c>
      <c r="D141" s="23">
        <f>COUNTIF(Concepts!A:A,A141)</f>
        <v>1</v>
      </c>
      <c r="E141" s="23">
        <f>countif(Constants!J:J,$A141)</f>
        <v>1</v>
      </c>
      <c r="F141" s="29" t="str">
        <f t="shared" si="1"/>
        <v>https://w3ids.org/codata/fundamental/quantities/HyperfineTransitionFrequencyOfCs133</v>
      </c>
    </row>
    <row r="142">
      <c r="A142" s="33" t="s">
        <v>807</v>
      </c>
      <c r="B142" s="18" t="s">
        <v>808</v>
      </c>
      <c r="C142" s="23"/>
      <c r="D142" s="23">
        <f>COUNTIF(Concepts!A:A,A142)</f>
        <v>1</v>
      </c>
      <c r="E142" s="23">
        <f>countif(Constants!J:J,$A142)</f>
        <v>1</v>
      </c>
      <c r="F142" s="29" t="str">
        <f t="shared" si="1"/>
        <v>https://w3ids.org/codata/fundamental/quantities/InverseFineStructureConstant</v>
      </c>
    </row>
    <row r="143">
      <c r="A143" s="33" t="s">
        <v>814</v>
      </c>
      <c r="B143" s="18" t="s">
        <v>815</v>
      </c>
      <c r="C143" s="23"/>
      <c r="D143" s="23">
        <f>COUNTIF(Concepts!A:A,A143)</f>
        <v>1</v>
      </c>
      <c r="E143" s="23">
        <f>countif(Constants!J:J,$A143)</f>
        <v>1</v>
      </c>
      <c r="F143" s="29" t="str">
        <f t="shared" si="1"/>
        <v>https://w3ids.org/codata/fundamental/quantities/InverseMeterAtomicMassUnitRelationship</v>
      </c>
    </row>
    <row r="144">
      <c r="A144" s="33" t="s">
        <v>818</v>
      </c>
      <c r="B144" s="18" t="s">
        <v>819</v>
      </c>
      <c r="C144" s="23"/>
      <c r="D144" s="23">
        <f>COUNTIF(Concepts!A:A,A144)</f>
        <v>1</v>
      </c>
      <c r="E144" s="23">
        <f>countif(Constants!J:J,$A144)</f>
        <v>1</v>
      </c>
      <c r="F144" s="29" t="str">
        <f t="shared" si="1"/>
        <v>https://w3ids.org/codata/fundamental/quantities/InverseMeterElectronVoltRelationship</v>
      </c>
    </row>
    <row r="145">
      <c r="A145" s="33" t="s">
        <v>821</v>
      </c>
      <c r="B145" s="18" t="s">
        <v>823</v>
      </c>
      <c r="C145" s="23"/>
      <c r="D145" s="23">
        <f>COUNTIF(Concepts!A:A,A145)</f>
        <v>1</v>
      </c>
      <c r="E145" s="23">
        <f>countif(Constants!J:J,$A145)</f>
        <v>1</v>
      </c>
      <c r="F145" s="29" t="str">
        <f t="shared" si="1"/>
        <v>https://w3ids.org/codata/fundamental/quantities/InverseMeterHartreeRelationship</v>
      </c>
    </row>
    <row r="146">
      <c r="A146" s="33" t="s">
        <v>826</v>
      </c>
      <c r="B146" s="18" t="s">
        <v>827</v>
      </c>
      <c r="C146" s="23"/>
      <c r="D146" s="23">
        <f>COUNTIF(Concepts!A:A,A146)</f>
        <v>1</v>
      </c>
      <c r="E146" s="23">
        <f>countif(Constants!J:J,$A146)</f>
        <v>1</v>
      </c>
      <c r="F146" s="29" t="str">
        <f t="shared" si="1"/>
        <v>https://w3ids.org/codata/fundamental/quantities/InverseMeterHertzRelationship</v>
      </c>
    </row>
    <row r="147">
      <c r="A147" s="33" t="s">
        <v>830</v>
      </c>
      <c r="B147" s="18" t="s">
        <v>831</v>
      </c>
      <c r="C147" s="23"/>
      <c r="D147" s="23">
        <f>COUNTIF(Concepts!A:A,A147)</f>
        <v>1</v>
      </c>
      <c r="E147" s="23">
        <f>countif(Constants!J:J,$A147)</f>
        <v>1</v>
      </c>
      <c r="F147" s="29" t="str">
        <f t="shared" si="1"/>
        <v>https://w3ids.org/codata/fundamental/quantities/InverseMeterJouleRelationship</v>
      </c>
    </row>
    <row r="148">
      <c r="A148" s="33" t="s">
        <v>838</v>
      </c>
      <c r="B148" s="18" t="s">
        <v>839</v>
      </c>
      <c r="C148" s="23"/>
      <c r="D148" s="23">
        <f>COUNTIF(Concepts!A:A,A148)</f>
        <v>1</v>
      </c>
      <c r="E148" s="23">
        <f>countif(Constants!J:J,$A148)</f>
        <v>1</v>
      </c>
      <c r="F148" s="29" t="str">
        <f t="shared" si="1"/>
        <v>https://w3ids.org/codata/fundamental/quantities/InverseMeterKelvinRelationship</v>
      </c>
    </row>
    <row r="149">
      <c r="A149" s="33" t="s">
        <v>840</v>
      </c>
      <c r="B149" s="18" t="s">
        <v>841</v>
      </c>
      <c r="C149" s="23"/>
      <c r="D149" s="23">
        <f>COUNTIF(Concepts!A:A,A149)</f>
        <v>1</v>
      </c>
      <c r="E149" s="23">
        <f>countif(Constants!J:J,$A149)</f>
        <v>1</v>
      </c>
      <c r="F149" s="29" t="str">
        <f t="shared" si="1"/>
        <v>https://w3ids.org/codata/fundamental/quantities/InverseMeterKilogramRelationship</v>
      </c>
    </row>
    <row r="150">
      <c r="A150" s="33" t="s">
        <v>845</v>
      </c>
      <c r="B150" s="18" t="s">
        <v>846</v>
      </c>
      <c r="C150" s="23"/>
      <c r="D150" s="23">
        <f>COUNTIF(Concepts!A:A,A150)</f>
        <v>1</v>
      </c>
      <c r="E150" s="23">
        <f>countif(Constants!J:J,$A150)</f>
        <v>1</v>
      </c>
      <c r="F150" s="29" t="str">
        <f t="shared" si="1"/>
        <v>https://w3ids.org/codata/fundamental/quantities/InverseOfConductanceQuantum</v>
      </c>
    </row>
    <row r="151">
      <c r="A151" s="33" t="s">
        <v>849</v>
      </c>
      <c r="B151" s="18" t="s">
        <v>850</v>
      </c>
      <c r="C151" s="23"/>
      <c r="D151" s="23">
        <f>COUNTIF(Concepts!A:A,A151)</f>
        <v>1</v>
      </c>
      <c r="E151" s="23">
        <f>countif(Constants!J:J,$A151)</f>
        <v>1</v>
      </c>
      <c r="F151" s="29" t="str">
        <f t="shared" si="1"/>
        <v>https://w3ids.org/codata/fundamental/quantities/JosephsonConstant</v>
      </c>
    </row>
    <row r="152">
      <c r="A152" s="33" t="s">
        <v>851</v>
      </c>
      <c r="B152" s="18" t="s">
        <v>852</v>
      </c>
      <c r="C152" s="23"/>
      <c r="D152" s="23">
        <f>COUNTIF(Concepts!A:A,A152)</f>
        <v>1</v>
      </c>
      <c r="E152" s="23">
        <f>countif(Constants!J:J,$A152)</f>
        <v>1</v>
      </c>
      <c r="F152" s="29" t="str">
        <f t="shared" si="1"/>
        <v>https://w3ids.org/codata/fundamental/quantities/JouleAtomicMassUnitRelationship</v>
      </c>
    </row>
    <row r="153">
      <c r="A153" s="33" t="s">
        <v>854</v>
      </c>
      <c r="B153" s="18" t="s">
        <v>856</v>
      </c>
      <c r="C153" s="23"/>
      <c r="D153" s="23">
        <f>COUNTIF(Concepts!A:A,A153)</f>
        <v>1</v>
      </c>
      <c r="E153" s="23">
        <f>countif(Constants!J:J,$A153)</f>
        <v>1</v>
      </c>
      <c r="F153" s="29" t="str">
        <f t="shared" si="1"/>
        <v>https://w3ids.org/codata/fundamental/quantities/JouleElectronVoltRelationship</v>
      </c>
    </row>
    <row r="154">
      <c r="A154" s="33" t="s">
        <v>861</v>
      </c>
      <c r="B154" s="18" t="s">
        <v>863</v>
      </c>
      <c r="C154" s="23"/>
      <c r="D154" s="23">
        <f>COUNTIF(Concepts!A:A,A154)</f>
        <v>1</v>
      </c>
      <c r="E154" s="23">
        <f>countif(Constants!J:J,$A154)</f>
        <v>1</v>
      </c>
      <c r="F154" s="29" t="str">
        <f t="shared" si="1"/>
        <v>https://w3ids.org/codata/fundamental/quantities/JouleHartreeRelationship</v>
      </c>
    </row>
    <row r="155">
      <c r="A155" s="33" t="s">
        <v>867</v>
      </c>
      <c r="B155" s="18" t="s">
        <v>868</v>
      </c>
      <c r="C155" s="23"/>
      <c r="D155" s="23">
        <f>COUNTIF(Concepts!A:A,A155)</f>
        <v>1</v>
      </c>
      <c r="E155" s="23">
        <f>countif(Constants!J:J,$A155)</f>
        <v>1</v>
      </c>
      <c r="F155" s="29" t="str">
        <f t="shared" si="1"/>
        <v>https://w3ids.org/codata/fundamental/quantities/JouleHertzRelationship</v>
      </c>
    </row>
    <row r="156">
      <c r="A156" s="33" t="s">
        <v>870</v>
      </c>
      <c r="B156" s="18" t="s">
        <v>871</v>
      </c>
      <c r="C156" s="23"/>
      <c r="D156" s="23">
        <f>COUNTIF(Concepts!A:A,A156)</f>
        <v>1</v>
      </c>
      <c r="E156" s="23">
        <f>countif(Constants!J:J,$A156)</f>
        <v>1</v>
      </c>
      <c r="F156" s="29" t="str">
        <f t="shared" si="1"/>
        <v>https://w3ids.org/codata/fundamental/quantities/JouleInverseMeterRelationship</v>
      </c>
    </row>
    <row r="157">
      <c r="A157" s="33" t="s">
        <v>873</v>
      </c>
      <c r="B157" s="18" t="s">
        <v>874</v>
      </c>
      <c r="C157" s="23"/>
      <c r="D157" s="23">
        <f>COUNTIF(Concepts!A:A,A157)</f>
        <v>1</v>
      </c>
      <c r="E157" s="23">
        <f>countif(Constants!J:J,$A157)</f>
        <v>1</v>
      </c>
      <c r="F157" s="29" t="str">
        <f t="shared" si="1"/>
        <v>https://w3ids.org/codata/fundamental/quantities/JouleKelvinRelationship</v>
      </c>
    </row>
    <row r="158">
      <c r="A158" s="33" t="s">
        <v>876</v>
      </c>
      <c r="B158" s="18" t="s">
        <v>877</v>
      </c>
      <c r="C158" s="23"/>
      <c r="D158" s="23">
        <f>COUNTIF(Concepts!A:A,A158)</f>
        <v>1</v>
      </c>
      <c r="E158" s="23">
        <f>countif(Constants!J:J,$A158)</f>
        <v>1</v>
      </c>
      <c r="F158" s="29" t="str">
        <f t="shared" si="1"/>
        <v>https://w3ids.org/codata/fundamental/quantities/JouleKilogramRelationship</v>
      </c>
    </row>
    <row r="159">
      <c r="A159" s="33" t="s">
        <v>878</v>
      </c>
      <c r="B159" s="18" t="s">
        <v>879</v>
      </c>
      <c r="C159" s="23"/>
      <c r="D159" s="23">
        <f>COUNTIF(Concepts!A:A,A159)</f>
        <v>1</v>
      </c>
      <c r="E159" s="23">
        <f>countif(Constants!J:J,$A159)</f>
        <v>1</v>
      </c>
      <c r="F159" s="29" t="str">
        <f t="shared" si="1"/>
        <v>https://w3ids.org/codata/fundamental/quantities/KelvinAtomicMassUnitRelationship</v>
      </c>
    </row>
    <row r="160">
      <c r="A160" s="33" t="s">
        <v>885</v>
      </c>
      <c r="B160" s="18" t="s">
        <v>886</v>
      </c>
      <c r="C160" s="23"/>
      <c r="D160" s="23">
        <f>COUNTIF(Concepts!A:A,A160)</f>
        <v>1</v>
      </c>
      <c r="E160" s="23">
        <f>countif(Constants!J:J,$A160)</f>
        <v>1</v>
      </c>
      <c r="F160" s="29" t="str">
        <f t="shared" si="1"/>
        <v>https://w3ids.org/codata/fundamental/quantities/KelvinElectronVoltRelationship</v>
      </c>
    </row>
    <row r="161">
      <c r="A161" s="33" t="s">
        <v>888</v>
      </c>
      <c r="B161" s="18" t="s">
        <v>889</v>
      </c>
      <c r="C161" s="23"/>
      <c r="D161" s="23">
        <f>COUNTIF(Concepts!A:A,A161)</f>
        <v>1</v>
      </c>
      <c r="E161" s="23">
        <f>countif(Constants!J:J,$A161)</f>
        <v>1</v>
      </c>
      <c r="F161" s="29" t="str">
        <f t="shared" si="1"/>
        <v>https://w3ids.org/codata/fundamental/quantities/KelvinHartreeRelationship</v>
      </c>
    </row>
    <row r="162">
      <c r="A162" s="33" t="s">
        <v>890</v>
      </c>
      <c r="B162" s="18" t="s">
        <v>891</v>
      </c>
      <c r="C162" s="23"/>
      <c r="D162" s="23">
        <f>COUNTIF(Concepts!A:A,A162)</f>
        <v>1</v>
      </c>
      <c r="E162" s="23">
        <f>countif(Constants!J:J,$A162)</f>
        <v>1</v>
      </c>
      <c r="F162" s="29" t="str">
        <f t="shared" si="1"/>
        <v>https://w3ids.org/codata/fundamental/quantities/KelvinHertzRelationship</v>
      </c>
    </row>
    <row r="163">
      <c r="A163" s="33" t="s">
        <v>893</v>
      </c>
      <c r="B163" s="18" t="s">
        <v>894</v>
      </c>
      <c r="C163" s="23"/>
      <c r="D163" s="23">
        <f>COUNTIF(Concepts!A:A,A163)</f>
        <v>1</v>
      </c>
      <c r="E163" s="23">
        <f>countif(Constants!J:J,$A163)</f>
        <v>1</v>
      </c>
      <c r="F163" s="29" t="str">
        <f t="shared" si="1"/>
        <v>https://w3ids.org/codata/fundamental/quantities/KelvinInverseMeterRelationship</v>
      </c>
    </row>
    <row r="164">
      <c r="A164" s="33" t="s">
        <v>895</v>
      </c>
      <c r="B164" s="18" t="s">
        <v>896</v>
      </c>
      <c r="C164" s="23"/>
      <c r="D164" s="23">
        <f>COUNTIF(Concepts!A:A,A164)</f>
        <v>1</v>
      </c>
      <c r="E164" s="23">
        <f>countif(Constants!J:J,$A164)</f>
        <v>1</v>
      </c>
      <c r="F164" s="29" t="str">
        <f t="shared" si="1"/>
        <v>https://w3ids.org/codata/fundamental/quantities/KelvinJouleRelationship</v>
      </c>
    </row>
    <row r="165">
      <c r="A165" s="33" t="s">
        <v>898</v>
      </c>
      <c r="B165" s="18" t="s">
        <v>899</v>
      </c>
      <c r="C165" s="23"/>
      <c r="D165" s="23">
        <f>COUNTIF(Concepts!A:A,A165)</f>
        <v>1</v>
      </c>
      <c r="E165" s="23">
        <f>countif(Constants!J:J,$A165)</f>
        <v>1</v>
      </c>
      <c r="F165" s="29" t="str">
        <f t="shared" si="1"/>
        <v>https://w3ids.org/codata/fundamental/quantities/KelvinKilogramRelationship</v>
      </c>
    </row>
    <row r="166">
      <c r="A166" s="33" t="s">
        <v>903</v>
      </c>
      <c r="B166" s="18" t="s">
        <v>904</v>
      </c>
      <c r="C166" s="23"/>
      <c r="D166" s="23">
        <f>COUNTIF(Concepts!A:A,A166)</f>
        <v>1</v>
      </c>
      <c r="E166" s="23">
        <f>countif(Constants!J:J,$A166)</f>
        <v>1</v>
      </c>
      <c r="F166" s="29" t="str">
        <f t="shared" si="1"/>
        <v>https://w3ids.org/codata/fundamental/quantities/KilogramAtomicMassUnitRelationship</v>
      </c>
    </row>
    <row r="167">
      <c r="A167" s="33" t="s">
        <v>906</v>
      </c>
      <c r="B167" s="18" t="s">
        <v>907</v>
      </c>
      <c r="C167" s="23"/>
      <c r="D167" s="23">
        <f>COUNTIF(Concepts!A:A,A167)</f>
        <v>1</v>
      </c>
      <c r="E167" s="23">
        <f>countif(Constants!J:J,$A167)</f>
        <v>1</v>
      </c>
      <c r="F167" s="29" t="str">
        <f t="shared" si="1"/>
        <v>https://w3ids.org/codata/fundamental/quantities/KilogramElectronVoltRelationship</v>
      </c>
    </row>
    <row r="168">
      <c r="A168" s="33" t="s">
        <v>908</v>
      </c>
      <c r="B168" s="18" t="s">
        <v>909</v>
      </c>
      <c r="C168" s="23"/>
      <c r="D168" s="23">
        <f>COUNTIF(Concepts!A:A,A168)</f>
        <v>1</v>
      </c>
      <c r="E168" s="23">
        <f>countif(Constants!J:J,$A168)</f>
        <v>1</v>
      </c>
      <c r="F168" s="29" t="str">
        <f t="shared" si="1"/>
        <v>https://w3ids.org/codata/fundamental/quantities/KilogramHartreeRelationship</v>
      </c>
    </row>
    <row r="169">
      <c r="A169" s="33" t="s">
        <v>910</v>
      </c>
      <c r="B169" s="18" t="s">
        <v>911</v>
      </c>
      <c r="C169" s="23"/>
      <c r="D169" s="23">
        <f>COUNTIF(Concepts!A:A,A169)</f>
        <v>1</v>
      </c>
      <c r="E169" s="23">
        <f>countif(Constants!J:J,$A169)</f>
        <v>1</v>
      </c>
      <c r="F169" s="29" t="str">
        <f t="shared" si="1"/>
        <v>https://w3ids.org/codata/fundamental/quantities/KilogramHertzRelationship</v>
      </c>
    </row>
    <row r="170">
      <c r="A170" s="33" t="s">
        <v>912</v>
      </c>
      <c r="B170" s="18" t="s">
        <v>913</v>
      </c>
      <c r="C170" s="23"/>
      <c r="D170" s="23">
        <f>COUNTIF(Concepts!A:A,A170)</f>
        <v>1</v>
      </c>
      <c r="E170" s="23">
        <f>countif(Constants!J:J,$A170)</f>
        <v>1</v>
      </c>
      <c r="F170" s="29" t="str">
        <f t="shared" si="1"/>
        <v>https://w3ids.org/codata/fundamental/quantities/KilogramInverseMeterRelationship</v>
      </c>
    </row>
    <row r="171">
      <c r="A171" s="33" t="s">
        <v>915</v>
      </c>
      <c r="B171" s="18" t="s">
        <v>916</v>
      </c>
      <c r="C171" s="23"/>
      <c r="D171" s="23">
        <f>COUNTIF(Concepts!A:A,A171)</f>
        <v>1</v>
      </c>
      <c r="E171" s="23">
        <f>countif(Constants!J:J,$A171)</f>
        <v>1</v>
      </c>
      <c r="F171" s="29" t="str">
        <f t="shared" si="1"/>
        <v>https://w3ids.org/codata/fundamental/quantities/KilogramJouleRelationship</v>
      </c>
    </row>
    <row r="172">
      <c r="A172" s="33" t="s">
        <v>917</v>
      </c>
      <c r="B172" s="18" t="s">
        <v>918</v>
      </c>
      <c r="C172" s="23"/>
      <c r="D172" s="23">
        <f>COUNTIF(Concepts!A:A,A172)</f>
        <v>1</v>
      </c>
      <c r="E172" s="23">
        <f>countif(Constants!J:J,$A172)</f>
        <v>1</v>
      </c>
      <c r="F172" s="29" t="str">
        <f t="shared" si="1"/>
        <v>https://w3ids.org/codata/fundamental/quantities/KilogramKelvinRelationship</v>
      </c>
    </row>
    <row r="173">
      <c r="A173" s="33" t="s">
        <v>923</v>
      </c>
      <c r="B173" s="18" t="s">
        <v>924</v>
      </c>
      <c r="C173" s="23"/>
      <c r="D173" s="23">
        <f>COUNTIF(Concepts!A:A,A173)</f>
        <v>1</v>
      </c>
      <c r="E173" s="23">
        <f>countif(Constants!J:J,$A173)</f>
        <v>1</v>
      </c>
      <c r="F173" s="29" t="str">
        <f t="shared" si="1"/>
        <v>https://w3ids.org/codata/fundamental/quantities/LatticeParameterOfSilicon</v>
      </c>
    </row>
    <row r="174">
      <c r="A174" s="33" t="s">
        <v>926</v>
      </c>
      <c r="B174" s="18" t="s">
        <v>927</v>
      </c>
      <c r="C174" s="23"/>
      <c r="D174" s="23">
        <f>COUNTIF(Concepts!A:A,A174)</f>
        <v>1</v>
      </c>
      <c r="E174" s="23">
        <f>countif(Constants!J:J,$A174)</f>
        <v>1</v>
      </c>
      <c r="F174" s="29" t="str">
        <f t="shared" si="1"/>
        <v>https://w3ids.org/codata/fundamental/quantities/LatticeSpacingOfSilicon</v>
      </c>
    </row>
    <row r="175">
      <c r="A175" s="33" t="s">
        <v>928</v>
      </c>
      <c r="B175" s="17" t="s">
        <v>929</v>
      </c>
      <c r="C175" s="23"/>
      <c r="D175" s="23">
        <f>COUNTIF(Concepts!A:A,A175)</f>
        <v>1</v>
      </c>
      <c r="E175" s="23">
        <f>countif(Constants!J:J,$A175)</f>
        <v>2</v>
      </c>
      <c r="F175" s="29" t="str">
        <f t="shared" si="1"/>
        <v>https://w3ids.org/codata/fundamental/quantities/LoschmidtConstant</v>
      </c>
    </row>
    <row r="176">
      <c r="A176" s="33" t="s">
        <v>931</v>
      </c>
      <c r="B176" s="18" t="s">
        <v>932</v>
      </c>
      <c r="C176" s="23"/>
      <c r="D176" s="23">
        <f>COUNTIF(Concepts!A:A,A176)</f>
        <v>1</v>
      </c>
      <c r="E176" s="23">
        <f>countif(Constants!J:J,$A176)</f>
        <v>1</v>
      </c>
      <c r="F176" s="29" t="str">
        <f t="shared" si="1"/>
        <v>https://w3ids.org/codata/fundamental/quantities/LuminousEfficacy</v>
      </c>
    </row>
    <row r="177">
      <c r="A177" s="33" t="s">
        <v>934</v>
      </c>
      <c r="B177" s="18" t="s">
        <v>935</v>
      </c>
      <c r="C177" s="23"/>
      <c r="D177" s="23">
        <f>COUNTIF(Concepts!A:A,A177)</f>
        <v>1</v>
      </c>
      <c r="E177" s="23">
        <f>countif(Constants!J:J,$A177)</f>
        <v>1</v>
      </c>
      <c r="F177" s="29" t="str">
        <f t="shared" si="1"/>
        <v>https://w3ids.org/codata/fundamental/quantities/MagneticFluxQuantum</v>
      </c>
    </row>
    <row r="178">
      <c r="A178" s="33" t="s">
        <v>938</v>
      </c>
      <c r="B178" s="18" t="s">
        <v>939</v>
      </c>
      <c r="C178" s="23"/>
      <c r="D178" s="23">
        <f>COUNTIF(Concepts!A:A,A178)</f>
        <v>1</v>
      </c>
      <c r="E178" s="23">
        <f>countif(Constants!J:J,$A178)</f>
        <v>1</v>
      </c>
      <c r="F178" s="29" t="str">
        <f t="shared" si="1"/>
        <v>https://w3ids.org/codata/fundamental/quantities/MolarGasConstant</v>
      </c>
    </row>
    <row r="179">
      <c r="A179" s="33" t="s">
        <v>942</v>
      </c>
      <c r="B179" s="18" t="s">
        <v>943</v>
      </c>
      <c r="C179" s="23"/>
      <c r="D179" s="23">
        <f>COUNTIF(Concepts!A:A,A179)</f>
        <v>1</v>
      </c>
      <c r="E179" s="23">
        <f>countif(Constants!J:J,$A179)</f>
        <v>1</v>
      </c>
      <c r="F179" s="29" t="str">
        <f t="shared" si="1"/>
        <v>https://w3ids.org/codata/fundamental/quantities/MolarMassConstant</v>
      </c>
    </row>
    <row r="180">
      <c r="A180" s="33" t="s">
        <v>945</v>
      </c>
      <c r="B180" s="18" t="s">
        <v>946</v>
      </c>
      <c r="C180" s="23"/>
      <c r="D180" s="23">
        <f>COUNTIF(Concepts!A:A,A180)</f>
        <v>1</v>
      </c>
      <c r="E180" s="23">
        <f>countif(Constants!J:J,$A180)</f>
        <v>1</v>
      </c>
      <c r="F180" s="29" t="str">
        <f t="shared" si="1"/>
        <v>https://w3ids.org/codata/fundamental/quantities/MolarMassOfCarbon12</v>
      </c>
    </row>
    <row r="181">
      <c r="A181" s="33" t="s">
        <v>948</v>
      </c>
      <c r="B181" s="18" t="s">
        <v>949</v>
      </c>
      <c r="C181" s="23"/>
      <c r="D181" s="23">
        <f>COUNTIF(Concepts!A:A,A181)</f>
        <v>1</v>
      </c>
      <c r="E181" s="23">
        <f>countif(Constants!J:J,$A181)</f>
        <v>1</v>
      </c>
      <c r="F181" s="29" t="str">
        <f t="shared" si="1"/>
        <v>https://w3ids.org/codata/fundamental/quantities/MolarPlanckConstant</v>
      </c>
    </row>
    <row r="182">
      <c r="A182" s="33" t="s">
        <v>950</v>
      </c>
      <c r="B182" s="18" t="s">
        <v>951</v>
      </c>
      <c r="C182" s="23"/>
      <c r="D182" s="23">
        <f>COUNTIF(Concepts!A:A,A182)</f>
        <v>1</v>
      </c>
      <c r="E182" s="23">
        <f>countif(Constants!J:J,$A182)</f>
        <v>1</v>
      </c>
      <c r="F182" s="29" t="str">
        <f t="shared" si="1"/>
        <v>https://w3ids.org/codata/fundamental/quantities/MolarPlanckConstantTimesC</v>
      </c>
    </row>
    <row r="183">
      <c r="A183" s="33" t="s">
        <v>953</v>
      </c>
      <c r="B183" s="17" t="s">
        <v>954</v>
      </c>
      <c r="C183" s="23"/>
      <c r="D183" s="23">
        <f>COUNTIF(Concepts!A:A,A183)</f>
        <v>1</v>
      </c>
      <c r="E183" s="23">
        <f>countif(Constants!J:J,$A183)</f>
        <v>2</v>
      </c>
      <c r="F183" s="29" t="str">
        <f t="shared" si="1"/>
        <v>https://w3ids.org/codata/fundamental/quantities/MolarVolumeOfIdealGas</v>
      </c>
    </row>
    <row r="184">
      <c r="A184" s="33" t="s">
        <v>956</v>
      </c>
      <c r="B184" s="18" t="s">
        <v>957</v>
      </c>
      <c r="C184" s="23"/>
      <c r="D184" s="23">
        <f>COUNTIF(Concepts!A:A,A184)</f>
        <v>1</v>
      </c>
      <c r="E184" s="23">
        <f>countif(Constants!J:J,$A184)</f>
        <v>1</v>
      </c>
      <c r="F184" s="29" t="str">
        <f t="shared" si="1"/>
        <v>https://w3ids.org/codata/fundamental/quantities/MolarVolumeOfSilicon</v>
      </c>
    </row>
    <row r="185">
      <c r="A185" s="33" t="s">
        <v>958</v>
      </c>
      <c r="B185" s="18" t="s">
        <v>959</v>
      </c>
      <c r="C185" s="23"/>
      <c r="D185" s="23">
        <f>COUNTIF(Concepts!A:A,A185)</f>
        <v>1</v>
      </c>
      <c r="E185" s="23">
        <f>countif(Constants!J:J,$A185)</f>
        <v>1</v>
      </c>
      <c r="F185" s="29" t="str">
        <f t="shared" si="1"/>
        <v>https://w3ids.org/codata/fundamental/quantities/MoXUnit</v>
      </c>
    </row>
    <row r="186">
      <c r="A186" s="33" t="s">
        <v>965</v>
      </c>
      <c r="B186" s="18" t="s">
        <v>966</v>
      </c>
      <c r="C186" s="23"/>
      <c r="D186" s="23">
        <f>COUNTIF(Concepts!A:A,A186)</f>
        <v>1</v>
      </c>
      <c r="E186" s="23">
        <f>countif(Constants!J:J,$A186)</f>
        <v>1</v>
      </c>
      <c r="F186" s="29" t="str">
        <f t="shared" si="1"/>
        <v>https://w3ids.org/codata/fundamental/quantities/MuonComptonWavelength</v>
      </c>
    </row>
    <row r="187">
      <c r="A187" s="33" t="s">
        <v>968</v>
      </c>
      <c r="B187" s="18" t="s">
        <v>969</v>
      </c>
      <c r="C187" s="23"/>
      <c r="D187" s="23">
        <f>COUNTIF(Concepts!A:A,A187)</f>
        <v>1</v>
      </c>
      <c r="E187" s="23">
        <f>countif(Constants!J:J,$A187)</f>
        <v>1</v>
      </c>
      <c r="F187" s="29" t="str">
        <f t="shared" si="1"/>
        <v>https://w3ids.org/codata/fundamental/quantities/MuonElectronMassRatio</v>
      </c>
    </row>
    <row r="188">
      <c r="A188" s="33" t="s">
        <v>970</v>
      </c>
      <c r="B188" s="18" t="s">
        <v>971</v>
      </c>
      <c r="C188" s="23"/>
      <c r="D188" s="23">
        <f>COUNTIF(Concepts!A:A,A188)</f>
        <v>1</v>
      </c>
      <c r="E188" s="23">
        <f>countif(Constants!J:J,$A188)</f>
        <v>1</v>
      </c>
      <c r="F188" s="29" t="str">
        <f t="shared" si="1"/>
        <v>https://w3ids.org/codata/fundamental/quantities/MuonGFactor</v>
      </c>
    </row>
    <row r="189">
      <c r="A189" s="33" t="s">
        <v>973</v>
      </c>
      <c r="B189" s="18" t="s">
        <v>974</v>
      </c>
      <c r="C189" s="23"/>
      <c r="D189" s="23">
        <f>COUNTIF(Concepts!A:A,A189)</f>
        <v>1</v>
      </c>
      <c r="E189" s="23">
        <f>countif(Constants!J:J,$A189)</f>
        <v>1</v>
      </c>
      <c r="F189" s="29" t="str">
        <f t="shared" si="1"/>
        <v>https://w3ids.org/codata/fundamental/quantities/MuonMagneticMoment</v>
      </c>
    </row>
    <row r="190">
      <c r="A190" s="33" t="s">
        <v>976</v>
      </c>
      <c r="B190" s="18" t="s">
        <v>977</v>
      </c>
      <c r="C190" s="23"/>
      <c r="D190" s="23">
        <f>COUNTIF(Concepts!A:A,A190)</f>
        <v>1</v>
      </c>
      <c r="E190" s="23">
        <f>countif(Constants!J:J,$A190)</f>
        <v>1</v>
      </c>
      <c r="F190" s="29" t="str">
        <f t="shared" si="1"/>
        <v>https://w3ids.org/codata/fundamental/quantities/MuonMagneticMomentAnomaly</v>
      </c>
    </row>
    <row r="191">
      <c r="A191" s="33" t="s">
        <v>981</v>
      </c>
      <c r="B191" s="18" t="s">
        <v>982</v>
      </c>
      <c r="C191" s="23"/>
      <c r="D191" s="23">
        <f>COUNTIF(Concepts!A:A,A191)</f>
        <v>1</v>
      </c>
      <c r="E191" s="23">
        <f>countif(Constants!J:J,$A191)</f>
        <v>1</v>
      </c>
      <c r="F191" s="29" t="str">
        <f t="shared" si="1"/>
        <v>https://w3ids.org/codata/fundamental/quantities/MuonMagneticMomentToBohrMagnetonRatio</v>
      </c>
    </row>
    <row r="192">
      <c r="A192" s="33" t="s">
        <v>984</v>
      </c>
      <c r="B192" s="18" t="s">
        <v>985</v>
      </c>
      <c r="C192" s="23"/>
      <c r="D192" s="23">
        <f>COUNTIF(Concepts!A:A,A192)</f>
        <v>1</v>
      </c>
      <c r="E192" s="23">
        <f>countif(Constants!J:J,$A192)</f>
        <v>1</v>
      </c>
      <c r="F192" s="29" t="str">
        <f t="shared" si="1"/>
        <v>https://w3ids.org/codata/fundamental/quantities/MuonMagneticMomentToNuclearMagnetonRatio</v>
      </c>
    </row>
    <row r="193">
      <c r="A193" s="33" t="s">
        <v>986</v>
      </c>
      <c r="B193" s="18" t="s">
        <v>987</v>
      </c>
      <c r="C193" s="23"/>
      <c r="D193" s="23">
        <f>COUNTIF(Concepts!A:A,A193)</f>
        <v>1</v>
      </c>
      <c r="E193" s="23">
        <f>countif(Constants!J:J,$A193)</f>
        <v>3</v>
      </c>
      <c r="F193" s="29" t="str">
        <f t="shared" si="1"/>
        <v>https://w3ids.org/codata/fundamental/quantities/MuonMass</v>
      </c>
    </row>
    <row r="194">
      <c r="A194" s="17" t="s">
        <v>989</v>
      </c>
      <c r="B194" s="18" t="s">
        <v>990</v>
      </c>
      <c r="C194" s="23"/>
      <c r="D194" s="23">
        <f>COUNTIF(Concepts!A:A,A194)</f>
        <v>1</v>
      </c>
      <c r="E194" s="23">
        <f>countif(Constants!J:J,$A194)</f>
        <v>1</v>
      </c>
      <c r="F194" s="29" t="str">
        <f t="shared" si="1"/>
        <v>https://w3ids.org/codata/fundamental/quantities/MuonMassEnergyEquivalent</v>
      </c>
    </row>
    <row r="195">
      <c r="A195" s="33" t="s">
        <v>992</v>
      </c>
      <c r="B195" s="18" t="s">
        <v>993</v>
      </c>
      <c r="C195" s="23"/>
      <c r="D195" s="23">
        <f>COUNTIF(Concepts!A:A,A195)</f>
        <v>1</v>
      </c>
      <c r="E195" s="23">
        <f>countif(Constants!J:J,$A195)</f>
        <v>1</v>
      </c>
      <c r="F195" s="29" t="str">
        <f t="shared" si="1"/>
        <v>https://w3ids.org/codata/fundamental/quantities/MuonMolarMass</v>
      </c>
    </row>
    <row r="196">
      <c r="A196" s="33" t="s">
        <v>995</v>
      </c>
      <c r="B196" s="18" t="s">
        <v>996</v>
      </c>
      <c r="C196" s="23"/>
      <c r="D196" s="23">
        <f>COUNTIF(Concepts!A:A,A196)</f>
        <v>1</v>
      </c>
      <c r="E196" s="23">
        <f>countif(Constants!J:J,$A196)</f>
        <v>1</v>
      </c>
      <c r="F196" s="29" t="str">
        <f t="shared" si="1"/>
        <v>https://w3ids.org/codata/fundamental/quantities/MuonNeutronMassRatio</v>
      </c>
    </row>
    <row r="197">
      <c r="A197" s="33" t="s">
        <v>1001</v>
      </c>
      <c r="B197" s="18" t="s">
        <v>1002</v>
      </c>
      <c r="C197" s="23"/>
      <c r="D197" s="23">
        <f>COUNTIF(Concepts!A:A,A197)</f>
        <v>1</v>
      </c>
      <c r="E197" s="23">
        <f>countif(Constants!J:J,$A197)</f>
        <v>1</v>
      </c>
      <c r="F197" s="29" t="str">
        <f t="shared" si="1"/>
        <v>https://w3ids.org/codata/fundamental/quantities/MuonProtonMagneticMomentRatio</v>
      </c>
    </row>
    <row r="198">
      <c r="A198" s="33" t="s">
        <v>1003</v>
      </c>
      <c r="B198" s="18" t="s">
        <v>1005</v>
      </c>
      <c r="C198" s="23"/>
      <c r="D198" s="23">
        <f>COUNTIF(Concepts!A:A,A198)</f>
        <v>1</v>
      </c>
      <c r="E198" s="23">
        <f>countif(Constants!J:J,$A198)</f>
        <v>1</v>
      </c>
      <c r="F198" s="29" t="str">
        <f t="shared" si="1"/>
        <v>https://w3ids.org/codata/fundamental/quantities/MuonProtonMassRatio</v>
      </c>
    </row>
    <row r="199">
      <c r="A199" s="33" t="s">
        <v>1006</v>
      </c>
      <c r="B199" s="18" t="s">
        <v>1007</v>
      </c>
      <c r="C199" s="23"/>
      <c r="D199" s="23">
        <f>COUNTIF(Concepts!A:A,A199)</f>
        <v>1</v>
      </c>
      <c r="E199" s="23">
        <f>countif(Constants!J:J,$A199)</f>
        <v>1</v>
      </c>
      <c r="F199" s="29" t="str">
        <f t="shared" si="1"/>
        <v>https://w3ids.org/codata/fundamental/quantities/MuonTauMassRatio</v>
      </c>
    </row>
    <row r="200">
      <c r="A200" s="33" t="s">
        <v>1009</v>
      </c>
      <c r="B200" s="18" t="s">
        <v>1010</v>
      </c>
      <c r="C200" s="23"/>
      <c r="D200" s="23">
        <f>COUNTIF(Concepts!A:A,A200)</f>
        <v>1</v>
      </c>
      <c r="E200" s="23">
        <f>countif(Constants!J:J,$A200)</f>
        <v>2</v>
      </c>
      <c r="F200" s="29" t="str">
        <f t="shared" si="1"/>
        <v>https://w3ids.org/codata/fundamental/quantities/NaturalUnitOfAction</v>
      </c>
    </row>
    <row r="201">
      <c r="A201" s="33" t="s">
        <v>1011</v>
      </c>
      <c r="B201" s="18" t="s">
        <v>1012</v>
      </c>
      <c r="C201" s="23"/>
      <c r="D201" s="23">
        <f>COUNTIF(Concepts!A:A,A201)</f>
        <v>1</v>
      </c>
      <c r="E201" s="23">
        <f>countif(Constants!J:J,$A201)</f>
        <v>2</v>
      </c>
      <c r="F201" s="29" t="str">
        <f t="shared" si="1"/>
        <v>https://w3ids.org/codata/fundamental/quantities/NaturalUnitOfEnergy</v>
      </c>
    </row>
    <row r="202">
      <c r="A202" s="33" t="s">
        <v>1016</v>
      </c>
      <c r="B202" s="18" t="s">
        <v>1018</v>
      </c>
      <c r="C202" s="23"/>
      <c r="D202" s="23">
        <f>COUNTIF(Concepts!A:A,A202)</f>
        <v>1</v>
      </c>
      <c r="E202" s="23">
        <f>countif(Constants!J:J,$A202)</f>
        <v>1</v>
      </c>
      <c r="F202" s="29" t="str">
        <f t="shared" si="1"/>
        <v>https://w3ids.org/codata/fundamental/quantities/NaturalUnitOfLength</v>
      </c>
    </row>
    <row r="203">
      <c r="A203" s="33" t="s">
        <v>1020</v>
      </c>
      <c r="B203" s="18" t="s">
        <v>1021</v>
      </c>
      <c r="C203" s="23"/>
      <c r="D203" s="23">
        <f>COUNTIF(Concepts!A:A,A203)</f>
        <v>1</v>
      </c>
      <c r="E203" s="23">
        <f>countif(Constants!J:J,$A203)</f>
        <v>1</v>
      </c>
      <c r="F203" s="29" t="str">
        <f t="shared" si="1"/>
        <v>https://w3ids.org/codata/fundamental/quantities/NaturalUnitOfMass</v>
      </c>
    </row>
    <row r="204">
      <c r="A204" s="33" t="s">
        <v>1027</v>
      </c>
      <c r="B204" s="17" t="s">
        <v>1028</v>
      </c>
      <c r="C204" s="23"/>
      <c r="D204" s="23">
        <f>COUNTIF(Concepts!A:A,A204)</f>
        <v>1</v>
      </c>
      <c r="E204" s="23">
        <f>countif(Constants!J:J,$A204)</f>
        <v>2</v>
      </c>
      <c r="F204" s="29" t="str">
        <f t="shared" si="1"/>
        <v>https://w3ids.org/codata/fundamental/quantities/NaturalUnitOfMomentum</v>
      </c>
    </row>
    <row r="205">
      <c r="A205" s="33" t="s">
        <v>1030</v>
      </c>
      <c r="B205" s="18" t="s">
        <v>1031</v>
      </c>
      <c r="C205" s="23"/>
      <c r="D205" s="23">
        <f>COUNTIF(Concepts!A:A,A205)</f>
        <v>1</v>
      </c>
      <c r="E205" s="23">
        <f>countif(Constants!J:J,$A205)</f>
        <v>1</v>
      </c>
      <c r="F205" s="29" t="str">
        <f t="shared" si="1"/>
        <v>https://w3ids.org/codata/fundamental/quantities/NaturalUnitOfTime</v>
      </c>
    </row>
    <row r="206">
      <c r="A206" s="33" t="s">
        <v>1034</v>
      </c>
      <c r="B206" s="18" t="s">
        <v>1035</v>
      </c>
      <c r="C206" s="23"/>
      <c r="D206" s="23">
        <f>COUNTIF(Concepts!A:A,A206)</f>
        <v>1</v>
      </c>
      <c r="E206" s="23">
        <f>countif(Constants!J:J,$A206)</f>
        <v>1</v>
      </c>
      <c r="F206" s="29" t="str">
        <f t="shared" si="1"/>
        <v>https://w3ids.org/codata/fundamental/quantities/NaturalUnitOfVelocity</v>
      </c>
    </row>
    <row r="207">
      <c r="A207" s="33" t="s">
        <v>1037</v>
      </c>
      <c r="B207" s="18" t="s">
        <v>1038</v>
      </c>
      <c r="C207" s="23"/>
      <c r="D207" s="23">
        <f>COUNTIF(Concepts!A:A,A207)</f>
        <v>1</v>
      </c>
      <c r="E207" s="23">
        <f>countif(Constants!J:J,$A207)</f>
        <v>1</v>
      </c>
      <c r="F207" s="29" t="str">
        <f t="shared" si="1"/>
        <v>https://w3ids.org/codata/fundamental/quantities/NeutronComptonWavelength</v>
      </c>
    </row>
    <row r="208">
      <c r="A208" s="33" t="s">
        <v>1040</v>
      </c>
      <c r="B208" s="18" t="s">
        <v>1041</v>
      </c>
      <c r="C208" s="23"/>
      <c r="D208" s="23">
        <f>COUNTIF(Concepts!A:A,A208)</f>
        <v>1</v>
      </c>
      <c r="E208" s="23">
        <f>countif(Constants!J:J,$A208)</f>
        <v>1</v>
      </c>
      <c r="F208" s="29" t="str">
        <f t="shared" si="1"/>
        <v>https://w3ids.org/codata/fundamental/quantities/NeutronElectronMagneticMomentRatio</v>
      </c>
    </row>
    <row r="209">
      <c r="A209" s="33" t="s">
        <v>1042</v>
      </c>
      <c r="B209" s="18" t="s">
        <v>1043</v>
      </c>
      <c r="C209" s="23"/>
      <c r="D209" s="23">
        <f>COUNTIF(Concepts!A:A,A209)</f>
        <v>1</v>
      </c>
      <c r="E209" s="23">
        <f>countif(Constants!J:J,$A209)</f>
        <v>1</v>
      </c>
      <c r="F209" s="29" t="str">
        <f t="shared" si="1"/>
        <v>https://w3ids.org/codata/fundamental/quantities/NeutronElectronMassRatio</v>
      </c>
    </row>
    <row r="210">
      <c r="A210" s="33" t="s">
        <v>1044</v>
      </c>
      <c r="B210" s="18" t="s">
        <v>1045</v>
      </c>
      <c r="C210" s="23"/>
      <c r="D210" s="23">
        <f>COUNTIF(Concepts!A:A,A210)</f>
        <v>1</v>
      </c>
      <c r="E210" s="23">
        <f>countif(Constants!J:J,$A210)</f>
        <v>1</v>
      </c>
      <c r="F210" s="29" t="str">
        <f t="shared" si="1"/>
        <v>https://w3ids.org/codata/fundamental/quantities/NeutronGFactor</v>
      </c>
    </row>
    <row r="211">
      <c r="A211" s="33" t="s">
        <v>1046</v>
      </c>
      <c r="B211" s="18" t="s">
        <v>1047</v>
      </c>
      <c r="C211" s="23"/>
      <c r="D211" s="23">
        <f>COUNTIF(Concepts!A:A,A211)</f>
        <v>1</v>
      </c>
      <c r="E211" s="23">
        <f>countif(Constants!J:J,$A211)</f>
        <v>2</v>
      </c>
      <c r="F211" s="29" t="str">
        <f t="shared" si="1"/>
        <v>https://w3ids.org/codata/fundamental/quantities/NeutronGyromagneticRatio</v>
      </c>
    </row>
    <row r="212">
      <c r="A212" s="33" t="s">
        <v>1050</v>
      </c>
      <c r="B212" s="18" t="s">
        <v>1051</v>
      </c>
      <c r="C212" s="23"/>
      <c r="D212" s="23">
        <f>COUNTIF(Concepts!A:A,A212)</f>
        <v>1</v>
      </c>
      <c r="E212" s="23">
        <f>countif(Constants!J:J,$A212)</f>
        <v>1</v>
      </c>
      <c r="F212" s="29" t="str">
        <f t="shared" si="1"/>
        <v>https://w3ids.org/codata/fundamental/quantities/NeutronMagneticMoment</v>
      </c>
    </row>
    <row r="213">
      <c r="A213" s="33" t="s">
        <v>1054</v>
      </c>
      <c r="B213" s="18" t="s">
        <v>1055</v>
      </c>
      <c r="C213" s="23"/>
      <c r="D213" s="23">
        <f>COUNTIF(Concepts!A:A,A213)</f>
        <v>1</v>
      </c>
      <c r="E213" s="23">
        <f>countif(Constants!J:J,$A213)</f>
        <v>1</v>
      </c>
      <c r="F213" s="29" t="str">
        <f t="shared" si="1"/>
        <v>https://w3ids.org/codata/fundamental/quantities/NeutronMagneticMomentToBohrMagnetonRatio</v>
      </c>
    </row>
    <row r="214">
      <c r="A214" s="33" t="s">
        <v>1059</v>
      </c>
      <c r="B214" s="18" t="s">
        <v>1060</v>
      </c>
      <c r="C214" s="23"/>
      <c r="D214" s="23">
        <f>COUNTIF(Concepts!A:A,A214)</f>
        <v>1</v>
      </c>
      <c r="E214" s="23">
        <f>countif(Constants!J:J,$A214)</f>
        <v>1</v>
      </c>
      <c r="F214" s="29" t="str">
        <f t="shared" si="1"/>
        <v>https://w3ids.org/codata/fundamental/quantities/NeutronMagneticMomentToNuclearMagnetonRatio</v>
      </c>
    </row>
    <row r="215">
      <c r="A215" s="33" t="s">
        <v>1062</v>
      </c>
      <c r="B215" s="18" t="s">
        <v>1063</v>
      </c>
      <c r="C215" s="23"/>
      <c r="D215" s="23">
        <f>COUNTIF(Concepts!A:A,A215)</f>
        <v>1</v>
      </c>
      <c r="E215" s="23">
        <f>countif(Constants!J:J,$A215)</f>
        <v>3</v>
      </c>
      <c r="F215" s="29" t="str">
        <f t="shared" si="1"/>
        <v>https://w3ids.org/codata/fundamental/quantities/NeutronMass</v>
      </c>
    </row>
    <row r="216">
      <c r="A216" s="17" t="s">
        <v>1066</v>
      </c>
      <c r="B216" s="18" t="s">
        <v>1067</v>
      </c>
      <c r="C216" s="23"/>
      <c r="D216" s="23">
        <f>COUNTIF(Concepts!A:A,A216)</f>
        <v>1</v>
      </c>
      <c r="E216" s="23">
        <f>countif(Constants!J:J,$A216)</f>
        <v>1</v>
      </c>
      <c r="F216" s="29" t="str">
        <f t="shared" si="1"/>
        <v>https://w3ids.org/codata/fundamental/quantities/NeutronMassEnergyEquivalent</v>
      </c>
    </row>
    <row r="217">
      <c r="A217" s="33" t="s">
        <v>1068</v>
      </c>
      <c r="B217" s="18" t="s">
        <v>1069</v>
      </c>
      <c r="C217" s="23"/>
      <c r="D217" s="23">
        <f>COUNTIF(Concepts!A:A,A217)</f>
        <v>1</v>
      </c>
      <c r="E217" s="23">
        <f>countif(Constants!J:J,$A217)</f>
        <v>1</v>
      </c>
      <c r="F217" s="29" t="str">
        <f t="shared" si="1"/>
        <v>https://w3ids.org/codata/fundamental/quantities/NeutronMolarMass</v>
      </c>
    </row>
    <row r="218">
      <c r="A218" s="33" t="s">
        <v>1070</v>
      </c>
      <c r="B218" s="18" t="s">
        <v>1071</v>
      </c>
      <c r="C218" s="23"/>
      <c r="D218" s="23">
        <f>COUNTIF(Concepts!A:A,A218)</f>
        <v>1</v>
      </c>
      <c r="E218" s="23">
        <f>countif(Constants!J:J,$A218)</f>
        <v>1</v>
      </c>
      <c r="F218" s="29" t="str">
        <f t="shared" si="1"/>
        <v>https://w3ids.org/codata/fundamental/quantities/NeutronMuonMassRatio</v>
      </c>
    </row>
    <row r="219">
      <c r="A219" s="33" t="s">
        <v>1074</v>
      </c>
      <c r="B219" s="18" t="s">
        <v>1075</v>
      </c>
      <c r="C219" s="23"/>
      <c r="D219" s="23">
        <f>COUNTIF(Concepts!A:A,A219)</f>
        <v>1</v>
      </c>
      <c r="E219" s="23">
        <f>countif(Constants!J:J,$A219)</f>
        <v>1</v>
      </c>
      <c r="F219" s="29" t="str">
        <f t="shared" si="1"/>
        <v>https://w3ids.org/codata/fundamental/quantities/NeutronProtonMagneticMomentRatio</v>
      </c>
    </row>
    <row r="220">
      <c r="A220" s="22" t="s">
        <v>1079</v>
      </c>
      <c r="B220" s="18" t="s">
        <v>1080</v>
      </c>
      <c r="C220" s="23"/>
      <c r="D220" s="23">
        <f>COUNTIF(Concepts!A:A,A220)</f>
        <v>1</v>
      </c>
      <c r="E220" s="23">
        <f>countif(Constants!J:J,$A220)</f>
        <v>3</v>
      </c>
      <c r="F220" s="29" t="str">
        <f t="shared" si="1"/>
        <v>https://w3ids.org/codata/fundamental/quantities/NeutronProtonMassDifference</v>
      </c>
    </row>
    <row r="221">
      <c r="A221" s="17" t="s">
        <v>1081</v>
      </c>
      <c r="B221" s="18" t="s">
        <v>1082</v>
      </c>
      <c r="C221" s="23"/>
      <c r="D221" s="23">
        <f>COUNTIF(Concepts!A:A,A221)</f>
        <v>1</v>
      </c>
      <c r="E221" s="23">
        <f>countif(Constants!J:J,$A221)</f>
        <v>1</v>
      </c>
      <c r="F221" s="29" t="str">
        <f t="shared" si="1"/>
        <v>https://w3ids.org/codata/fundamental/quantities/NeutronProtonMassDifferenceEnergyEquivalent</v>
      </c>
    </row>
    <row r="222">
      <c r="A222" s="33" t="s">
        <v>1083</v>
      </c>
      <c r="B222" s="18" t="s">
        <v>1084</v>
      </c>
      <c r="C222" s="23"/>
      <c r="D222" s="23">
        <f>COUNTIF(Concepts!A:A,A222)</f>
        <v>1</v>
      </c>
      <c r="E222" s="23">
        <f>countif(Constants!J:J,$A222)</f>
        <v>1</v>
      </c>
      <c r="F222" s="29" t="str">
        <f t="shared" si="1"/>
        <v>https://w3ids.org/codata/fundamental/quantities/NeutronProtonMassRatio</v>
      </c>
    </row>
    <row r="223">
      <c r="A223" s="33" t="s">
        <v>1085</v>
      </c>
      <c r="B223" s="18" t="s">
        <v>1086</v>
      </c>
      <c r="C223" s="23"/>
      <c r="D223" s="23">
        <f>COUNTIF(Concepts!A:A,A223)</f>
        <v>1</v>
      </c>
      <c r="E223" s="23">
        <f>countif(Constants!J:J,$A223)</f>
        <v>1</v>
      </c>
      <c r="F223" s="29" t="str">
        <f t="shared" si="1"/>
        <v>https://w3ids.org/codata/fundamental/quantities/NeutronRelativeAtomicMass</v>
      </c>
    </row>
    <row r="224">
      <c r="A224" s="33" t="s">
        <v>1088</v>
      </c>
      <c r="B224" s="18" t="s">
        <v>1089</v>
      </c>
      <c r="C224" s="23"/>
      <c r="D224" s="23">
        <f>COUNTIF(Concepts!A:A,A224)</f>
        <v>1</v>
      </c>
      <c r="E224" s="23">
        <f>countif(Constants!J:J,$A224)</f>
        <v>1</v>
      </c>
      <c r="F224" s="29" t="str">
        <f t="shared" si="1"/>
        <v>https://w3ids.org/codata/fundamental/quantities/NeutronTauMassRatio</v>
      </c>
    </row>
    <row r="225">
      <c r="A225" s="33" t="s">
        <v>1092</v>
      </c>
      <c r="B225" s="18" t="s">
        <v>1093</v>
      </c>
      <c r="C225" s="23"/>
      <c r="D225" s="23">
        <f>COUNTIF(Concepts!A:A,A225)</f>
        <v>1</v>
      </c>
      <c r="E225" s="23">
        <f>countif(Constants!J:J,$A225)</f>
        <v>1</v>
      </c>
      <c r="F225" s="29" t="str">
        <f t="shared" si="1"/>
        <v>https://w3ids.org/codata/fundamental/quantities/NeutronToShieldedProtonMagneticMomentRatio</v>
      </c>
    </row>
    <row r="226">
      <c r="A226" s="33" t="s">
        <v>1094</v>
      </c>
      <c r="B226" s="18" t="s">
        <v>1095</v>
      </c>
      <c r="C226" s="23"/>
      <c r="D226" s="23">
        <f>COUNTIF(Concepts!A:A,A226)</f>
        <v>1</v>
      </c>
      <c r="E226" s="23">
        <f>countif(Constants!J:J,$A226)</f>
        <v>2</v>
      </c>
      <c r="F226" s="29" t="str">
        <f t="shared" si="1"/>
        <v>https://w3ids.org/codata/fundamental/quantities/NewtonianConstantOfGravitation</v>
      </c>
    </row>
    <row r="227">
      <c r="A227" s="33" t="s">
        <v>1098</v>
      </c>
      <c r="B227" s="18" t="s">
        <v>1099</v>
      </c>
      <c r="C227" s="23"/>
      <c r="D227" s="23">
        <f>COUNTIF(Concepts!A:A,A227)</f>
        <v>1</v>
      </c>
      <c r="E227" s="23">
        <f>countif(Constants!J:J,$A227)</f>
        <v>5</v>
      </c>
      <c r="F227" s="29" t="str">
        <f t="shared" si="1"/>
        <v>https://w3ids.org/codata/fundamental/quantities/NuclearMagneton</v>
      </c>
    </row>
    <row r="228">
      <c r="A228" s="33" t="s">
        <v>813</v>
      </c>
      <c r="B228" s="18" t="s">
        <v>1101</v>
      </c>
      <c r="C228" s="23"/>
      <c r="D228" s="23">
        <f>COUNTIF(Concepts!A:A,A228)</f>
        <v>1</v>
      </c>
      <c r="E228" s="23">
        <f>countif(Constants!J:J,$A228)</f>
        <v>1</v>
      </c>
      <c r="F228" s="29" t="str">
        <f t="shared" si="1"/>
        <v>https://w3ids.org/codata/fundamental/quantities/PermittivityOfVacuum</v>
      </c>
    </row>
    <row r="229">
      <c r="A229" s="33" t="s">
        <v>1105</v>
      </c>
      <c r="B229" s="18" t="s">
        <v>1106</v>
      </c>
      <c r="C229" s="23"/>
      <c r="D229" s="23">
        <f>COUNTIF(Concepts!A:A,A229)</f>
        <v>1</v>
      </c>
      <c r="E229" s="23">
        <f>countif(Constants!J:J,$A229)</f>
        <v>2</v>
      </c>
      <c r="F229" s="29" t="str">
        <f t="shared" si="1"/>
        <v>https://w3ids.org/codata/fundamental/quantities/PlanckConstant</v>
      </c>
    </row>
    <row r="230">
      <c r="A230" s="33" t="s">
        <v>1112</v>
      </c>
      <c r="B230" s="18" t="s">
        <v>1113</v>
      </c>
      <c r="C230" s="23"/>
      <c r="D230" s="23">
        <f>COUNTIF(Concepts!A:A,A230)</f>
        <v>1</v>
      </c>
      <c r="E230" s="23">
        <f>countif(Constants!J:J,$A230)</f>
        <v>1</v>
      </c>
      <c r="F230" s="29" t="str">
        <f t="shared" si="1"/>
        <v>https://w3ids.org/codata/fundamental/quantities/PlanckLength</v>
      </c>
    </row>
    <row r="231">
      <c r="A231" s="33" t="s">
        <v>1115</v>
      </c>
      <c r="B231" s="18" t="s">
        <v>1116</v>
      </c>
      <c r="C231" s="23"/>
      <c r="D231" s="23">
        <f>COUNTIF(Concepts!A:A,A231)</f>
        <v>1</v>
      </c>
      <c r="E231" s="23">
        <f>countif(Constants!J:J,$A231)</f>
        <v>2</v>
      </c>
      <c r="F231" s="29" t="str">
        <f t="shared" si="1"/>
        <v>https://w3ids.org/codata/fundamental/quantities/PlanckMass</v>
      </c>
    </row>
    <row r="232">
      <c r="A232" s="33" t="s">
        <v>1118</v>
      </c>
      <c r="B232" s="18" t="s">
        <v>1119</v>
      </c>
      <c r="C232" s="23"/>
      <c r="D232" s="23">
        <f>COUNTIF(Concepts!A:A,A232)</f>
        <v>1</v>
      </c>
      <c r="E232" s="23">
        <f>countif(Constants!J:J,$A232)</f>
        <v>1</v>
      </c>
      <c r="F232" s="29" t="str">
        <f t="shared" si="1"/>
        <v>https://w3ids.org/codata/fundamental/quantities/PlanckTemperature</v>
      </c>
    </row>
    <row r="233">
      <c r="A233" s="33" t="s">
        <v>1121</v>
      </c>
      <c r="B233" s="18" t="s">
        <v>1122</v>
      </c>
      <c r="C233" s="23"/>
      <c r="D233" s="23">
        <f>COUNTIF(Concepts!A:A,A233)</f>
        <v>1</v>
      </c>
      <c r="E233" s="23">
        <f>countif(Constants!J:J,$A233)</f>
        <v>1</v>
      </c>
      <c r="F233" s="29" t="str">
        <f t="shared" si="1"/>
        <v>https://w3ids.org/codata/fundamental/quantities/PlanckTime</v>
      </c>
    </row>
    <row r="234">
      <c r="A234" s="33" t="s">
        <v>1128</v>
      </c>
      <c r="B234" s="18" t="s">
        <v>1129</v>
      </c>
      <c r="C234" s="23"/>
      <c r="D234" s="23">
        <f>COUNTIF(Concepts!A:A,A234)</f>
        <v>1</v>
      </c>
      <c r="E234" s="23">
        <f>countif(Constants!J:J,$A234)</f>
        <v>1</v>
      </c>
      <c r="F234" s="29" t="str">
        <f t="shared" si="1"/>
        <v>https://w3ids.org/codata/fundamental/quantities/ProtonChargeToMassQuotient</v>
      </c>
    </row>
    <row r="235">
      <c r="A235" s="33" t="s">
        <v>1131</v>
      </c>
      <c r="B235" s="18" t="s">
        <v>1132</v>
      </c>
      <c r="C235" s="23"/>
      <c r="D235" s="23">
        <f>COUNTIF(Concepts!A:A,A235)</f>
        <v>1</v>
      </c>
      <c r="E235" s="23">
        <f>countif(Constants!J:J,$A235)</f>
        <v>1</v>
      </c>
      <c r="F235" s="29" t="str">
        <f t="shared" si="1"/>
        <v>https://w3ids.org/codata/fundamental/quantities/ProtonComptonWavelength</v>
      </c>
    </row>
    <row r="236">
      <c r="A236" s="33" t="s">
        <v>1134</v>
      </c>
      <c r="B236" s="18" t="s">
        <v>1135</v>
      </c>
      <c r="C236" s="23"/>
      <c r="D236" s="23">
        <f>COUNTIF(Concepts!A:A,A236)</f>
        <v>1</v>
      </c>
      <c r="E236" s="23">
        <f>countif(Constants!J:J,$A236)</f>
        <v>1</v>
      </c>
      <c r="F236" s="29" t="str">
        <f t="shared" si="1"/>
        <v>https://w3ids.org/codata/fundamental/quantities/ProtonElectronMassRatio</v>
      </c>
    </row>
    <row r="237">
      <c r="A237" s="33" t="s">
        <v>1137</v>
      </c>
      <c r="B237" s="18" t="s">
        <v>1138</v>
      </c>
      <c r="C237" s="23"/>
      <c r="D237" s="23">
        <f>COUNTIF(Concepts!A:A,A237)</f>
        <v>1</v>
      </c>
      <c r="E237" s="23">
        <f>countif(Constants!J:J,$A237)</f>
        <v>1</v>
      </c>
      <c r="F237" s="29" t="str">
        <f t="shared" si="1"/>
        <v>https://w3ids.org/codata/fundamental/quantities/ProtonGFactor</v>
      </c>
    </row>
    <row r="238">
      <c r="A238" s="33" t="s">
        <v>1140</v>
      </c>
      <c r="B238" s="18" t="s">
        <v>1141</v>
      </c>
      <c r="C238" s="23"/>
      <c r="D238" s="23">
        <f>COUNTIF(Concepts!A:A,A238)</f>
        <v>1</v>
      </c>
      <c r="E238" s="23">
        <f>countif(Constants!J:J,$A238)</f>
        <v>2</v>
      </c>
      <c r="F238" s="29" t="str">
        <f t="shared" si="1"/>
        <v>https://w3ids.org/codata/fundamental/quantities/ProtonGyromagneticRatio</v>
      </c>
    </row>
    <row r="239">
      <c r="A239" s="33" t="s">
        <v>1143</v>
      </c>
      <c r="B239" s="18" t="s">
        <v>1144</v>
      </c>
      <c r="C239" s="23"/>
      <c r="D239" s="23">
        <f>COUNTIF(Concepts!A:A,A239)</f>
        <v>1</v>
      </c>
      <c r="E239" s="23">
        <f>countif(Constants!J:J,$A239)</f>
        <v>1</v>
      </c>
      <c r="F239" s="29" t="str">
        <f t="shared" si="1"/>
        <v>https://w3ids.org/codata/fundamental/quantities/ProtonMagneticMoment</v>
      </c>
    </row>
    <row r="240">
      <c r="A240" s="33" t="s">
        <v>1148</v>
      </c>
      <c r="B240" s="18" t="s">
        <v>1149</v>
      </c>
      <c r="C240" s="23"/>
      <c r="D240" s="23">
        <f>COUNTIF(Concepts!A:A,A240)</f>
        <v>1</v>
      </c>
      <c r="E240" s="23">
        <f>countif(Constants!J:J,$A240)</f>
        <v>1</v>
      </c>
      <c r="F240" s="29" t="str">
        <f t="shared" si="1"/>
        <v>https://w3ids.org/codata/fundamental/quantities/ProtonMagneticMomentToBohrMagnetonRatio</v>
      </c>
    </row>
    <row r="241">
      <c r="A241" s="33" t="s">
        <v>1151</v>
      </c>
      <c r="B241" s="18" t="s">
        <v>1152</v>
      </c>
      <c r="C241" s="23"/>
      <c r="D241" s="23">
        <f>COUNTIF(Concepts!A:A,A241)</f>
        <v>1</v>
      </c>
      <c r="E241" s="23">
        <f>countif(Constants!J:J,$A241)</f>
        <v>1</v>
      </c>
      <c r="F241" s="29" t="str">
        <f t="shared" si="1"/>
        <v>https://w3ids.org/codata/fundamental/quantities/ProtonMagneticMomentToNuclearMagnetonRatio</v>
      </c>
    </row>
    <row r="242">
      <c r="A242" s="33" t="s">
        <v>1154</v>
      </c>
      <c r="B242" s="18" t="s">
        <v>1155</v>
      </c>
      <c r="C242" s="23"/>
      <c r="D242" s="23">
        <f>COUNTIF(Concepts!A:A,A242)</f>
        <v>1</v>
      </c>
      <c r="E242" s="23">
        <f>countif(Constants!J:J,$A242)</f>
        <v>1</v>
      </c>
      <c r="F242" s="29" t="str">
        <f t="shared" si="1"/>
        <v>https://w3ids.org/codata/fundamental/quantities/ProtonMagneticShieldingCorrection</v>
      </c>
    </row>
    <row r="243">
      <c r="A243" s="33" t="s">
        <v>1157</v>
      </c>
      <c r="B243" s="18" t="s">
        <v>1158</v>
      </c>
      <c r="C243" s="23"/>
      <c r="D243" s="23">
        <f>COUNTIF(Concepts!A:A,A243)</f>
        <v>1</v>
      </c>
      <c r="E243" s="23">
        <f>countif(Constants!J:J,$A243)</f>
        <v>3</v>
      </c>
      <c r="F243" s="29" t="str">
        <f t="shared" si="1"/>
        <v>https://w3ids.org/codata/fundamental/quantities/ProtonMass</v>
      </c>
    </row>
    <row r="244">
      <c r="A244" s="17" t="s">
        <v>1166</v>
      </c>
      <c r="B244" s="18" t="s">
        <v>1167</v>
      </c>
      <c r="C244" s="23"/>
      <c r="D244" s="23">
        <f>COUNTIF(Concepts!A:A,A244)</f>
        <v>1</v>
      </c>
      <c r="E244" s="23">
        <f>countif(Constants!J:J,$A244)</f>
        <v>1</v>
      </c>
      <c r="F244" s="29" t="str">
        <f t="shared" si="1"/>
        <v>https://w3ids.org/codata/fundamental/quantities/ProtonMassEnergyEquivalent</v>
      </c>
    </row>
    <row r="245">
      <c r="A245" s="33" t="s">
        <v>1168</v>
      </c>
      <c r="B245" s="18" t="s">
        <v>1169</v>
      </c>
      <c r="C245" s="23"/>
      <c r="D245" s="23">
        <f>COUNTIF(Concepts!A:A,A245)</f>
        <v>1</v>
      </c>
      <c r="E245" s="23">
        <f>countif(Constants!J:J,$A245)</f>
        <v>1</v>
      </c>
      <c r="F245" s="29" t="str">
        <f t="shared" si="1"/>
        <v>https://w3ids.org/codata/fundamental/quantities/ProtonMolarMass</v>
      </c>
    </row>
    <row r="246">
      <c r="A246" s="33" t="s">
        <v>1172</v>
      </c>
      <c r="B246" s="18" t="s">
        <v>1173</v>
      </c>
      <c r="C246" s="23"/>
      <c r="D246" s="23">
        <f>COUNTIF(Concepts!A:A,A246)</f>
        <v>1</v>
      </c>
      <c r="E246" s="23">
        <f>countif(Constants!J:J,$A246)</f>
        <v>1</v>
      </c>
      <c r="F246" s="29" t="str">
        <f t="shared" si="1"/>
        <v>https://w3ids.org/codata/fundamental/quantities/ProtonMuonMassRatio</v>
      </c>
    </row>
    <row r="247">
      <c r="A247" s="33" t="s">
        <v>1174</v>
      </c>
      <c r="B247" s="18" t="s">
        <v>1175</v>
      </c>
      <c r="C247" s="23"/>
      <c r="D247" s="23">
        <f>COUNTIF(Concepts!A:A,A247)</f>
        <v>1</v>
      </c>
      <c r="E247" s="23">
        <f>countif(Constants!J:J,$A247)</f>
        <v>1</v>
      </c>
      <c r="F247" s="29" t="str">
        <f t="shared" si="1"/>
        <v>https://w3ids.org/codata/fundamental/quantities/ProtonNeutronMagneticMomentRatio</v>
      </c>
    </row>
    <row r="248">
      <c r="A248" s="33" t="s">
        <v>1177</v>
      </c>
      <c r="B248" s="18" t="s">
        <v>1178</v>
      </c>
      <c r="C248" s="23"/>
      <c r="D248" s="23">
        <f>COUNTIF(Concepts!A:A,A248)</f>
        <v>1</v>
      </c>
      <c r="E248" s="23">
        <f>countif(Constants!J:J,$A248)</f>
        <v>1</v>
      </c>
      <c r="F248" s="29" t="str">
        <f t="shared" si="1"/>
        <v>https://w3ids.org/codata/fundamental/quantities/ProtonNeutronMassRatio</v>
      </c>
    </row>
    <row r="249">
      <c r="A249" s="33" t="s">
        <v>1182</v>
      </c>
      <c r="B249" s="18" t="s">
        <v>1183</v>
      </c>
      <c r="C249" s="23"/>
      <c r="D249" s="23">
        <f>COUNTIF(Concepts!A:A,A249)</f>
        <v>1</v>
      </c>
      <c r="E249" s="23">
        <f>countif(Constants!J:J,$A249)</f>
        <v>1</v>
      </c>
      <c r="F249" s="29" t="str">
        <f t="shared" si="1"/>
        <v>https://w3ids.org/codata/fundamental/quantities/ProtonRelativeAtomicMass</v>
      </c>
    </row>
    <row r="250">
      <c r="A250" s="33" t="s">
        <v>1187</v>
      </c>
      <c r="B250" s="18" t="s">
        <v>1188</v>
      </c>
      <c r="C250" s="23"/>
      <c r="D250" s="23">
        <f>COUNTIF(Concepts!A:A,A250)</f>
        <v>1</v>
      </c>
      <c r="E250" s="23">
        <f>countif(Constants!J:J,$A250)</f>
        <v>1</v>
      </c>
      <c r="F250" s="29" t="str">
        <f t="shared" si="1"/>
        <v>https://w3ids.org/codata/fundamental/quantities/ProtonRmsChargeRadius</v>
      </c>
    </row>
    <row r="251">
      <c r="A251" s="33" t="s">
        <v>1191</v>
      </c>
      <c r="B251" s="18" t="s">
        <v>1192</v>
      </c>
      <c r="C251" s="23"/>
      <c r="D251" s="23">
        <f>COUNTIF(Concepts!A:A,A251)</f>
        <v>1</v>
      </c>
      <c r="E251" s="23">
        <f>countif(Constants!J:J,$A251)</f>
        <v>1</v>
      </c>
      <c r="F251" s="29" t="str">
        <f t="shared" si="1"/>
        <v>https://w3ids.org/codata/fundamental/quantities/ProtonTauMassRatio</v>
      </c>
    </row>
    <row r="252">
      <c r="A252" s="33" t="s">
        <v>1194</v>
      </c>
      <c r="B252" s="18" t="s">
        <v>1195</v>
      </c>
      <c r="C252" s="23"/>
      <c r="D252" s="23">
        <f>COUNTIF(Concepts!A:A,A252)</f>
        <v>1</v>
      </c>
      <c r="E252" s="23">
        <f>countif(Constants!J:J,$A252)</f>
        <v>1</v>
      </c>
      <c r="F252" s="29" t="str">
        <f t="shared" si="1"/>
        <v>https://w3ids.org/codata/fundamental/quantities/QuantumOfCirculation</v>
      </c>
    </row>
    <row r="253">
      <c r="A253" s="33" t="s">
        <v>1197</v>
      </c>
      <c r="B253" s="18" t="s">
        <v>1198</v>
      </c>
      <c r="C253" s="23"/>
      <c r="D253" s="23">
        <f>COUNTIF(Concepts!A:A,A253)</f>
        <v>1</v>
      </c>
      <c r="E253" s="23">
        <f>countif(Constants!J:J,$A253)</f>
        <v>1</v>
      </c>
      <c r="F253" s="29" t="str">
        <f t="shared" si="1"/>
        <v>https://w3ids.org/codata/fundamental/quantities/QuantumOfCirculationTimes2</v>
      </c>
    </row>
    <row r="254">
      <c r="A254" s="33" t="s">
        <v>1200</v>
      </c>
      <c r="B254" s="18" t="s">
        <v>1202</v>
      </c>
      <c r="C254" s="23"/>
      <c r="D254" s="23">
        <f>COUNTIF(Concepts!A:A,A254)</f>
        <v>1</v>
      </c>
      <c r="E254" s="23">
        <f>countif(Constants!J:J,$A254)</f>
        <v>1</v>
      </c>
      <c r="F254" s="29" t="str">
        <f t="shared" si="1"/>
        <v>https://w3ids.org/codata/fundamental/quantities/ReducedComptonWavelength</v>
      </c>
    </row>
    <row r="255">
      <c r="A255" s="33" t="s">
        <v>1207</v>
      </c>
      <c r="B255" s="18" t="s">
        <v>1208</v>
      </c>
      <c r="C255" s="23"/>
      <c r="D255" s="23">
        <f>COUNTIF(Concepts!A:A,A255)</f>
        <v>1</v>
      </c>
      <c r="E255" s="23">
        <f>countif(Constants!J:J,$A255)</f>
        <v>1</v>
      </c>
      <c r="F255" s="29" t="str">
        <f t="shared" si="1"/>
        <v>https://w3ids.org/codata/fundamental/quantities/ReducedMuonComptonWavelength</v>
      </c>
    </row>
    <row r="256">
      <c r="A256" s="33" t="s">
        <v>1209</v>
      </c>
      <c r="B256" s="18" t="s">
        <v>1210</v>
      </c>
      <c r="C256" s="23"/>
      <c r="D256" s="23">
        <f>COUNTIF(Concepts!A:A,A256)</f>
        <v>1</v>
      </c>
      <c r="E256" s="23">
        <f>countif(Constants!J:J,$A256)</f>
        <v>1</v>
      </c>
      <c r="F256" s="29" t="str">
        <f t="shared" si="1"/>
        <v>https://w3ids.org/codata/fundamental/quantities/ReducedNeutronComptonWavelength</v>
      </c>
    </row>
    <row r="257">
      <c r="A257" s="33" t="s">
        <v>1212</v>
      </c>
      <c r="B257" s="18" t="s">
        <v>1213</v>
      </c>
      <c r="C257" s="23"/>
      <c r="D257" s="23">
        <f>COUNTIF(Concepts!A:A,A257)</f>
        <v>1</v>
      </c>
      <c r="E257" s="23">
        <f>countif(Constants!J:J,$A257)</f>
        <v>3</v>
      </c>
      <c r="F257" s="29" t="str">
        <f t="shared" si="1"/>
        <v>https://w3ids.org/codata/fundamental/quantities/ReducedPlanckConstant</v>
      </c>
    </row>
    <row r="258">
      <c r="A258" s="33" t="s">
        <v>1215</v>
      </c>
      <c r="B258" s="18" t="s">
        <v>1216</v>
      </c>
      <c r="C258" s="23"/>
      <c r="D258" s="23">
        <f>COUNTIF(Concepts!A:A,A258)</f>
        <v>1</v>
      </c>
      <c r="E258" s="23">
        <f>countif(Constants!J:J,$A258)</f>
        <v>1</v>
      </c>
      <c r="F258" s="29" t="str">
        <f t="shared" si="1"/>
        <v>https://w3ids.org/codata/fundamental/quantities/ReducedProtonComptonWavelength</v>
      </c>
    </row>
    <row r="259">
      <c r="A259" s="33" t="s">
        <v>1217</v>
      </c>
      <c r="B259" s="18" t="s">
        <v>1218</v>
      </c>
      <c r="C259" s="23"/>
      <c r="D259" s="23">
        <f>COUNTIF(Concepts!A:A,A259)</f>
        <v>1</v>
      </c>
      <c r="E259" s="23">
        <f>countif(Constants!J:J,$A259)</f>
        <v>1</v>
      </c>
      <c r="F259" s="29" t="str">
        <f t="shared" si="1"/>
        <v>https://w3ids.org/codata/fundamental/quantities/ReducedTauComptonWavelength</v>
      </c>
    </row>
    <row r="260">
      <c r="A260" s="33" t="s">
        <v>1220</v>
      </c>
      <c r="B260" s="18" t="s">
        <v>1222</v>
      </c>
      <c r="C260" s="23"/>
      <c r="D260" s="23">
        <f>COUNTIF(Concepts!A:A,A260)</f>
        <v>1</v>
      </c>
      <c r="E260" s="23">
        <f>countif(Constants!J:J,$A260)</f>
        <v>4</v>
      </c>
      <c r="F260" s="29" t="str">
        <f t="shared" si="1"/>
        <v>https://w3ids.org/codata/fundamental/quantities/RydbergConstant</v>
      </c>
    </row>
    <row r="261">
      <c r="A261" s="33" t="s">
        <v>1228</v>
      </c>
      <c r="B261" s="17" t="s">
        <v>1229</v>
      </c>
      <c r="C261" s="23"/>
      <c r="D261" s="23">
        <f>COUNTIF(Concepts!A:A,A261)</f>
        <v>1</v>
      </c>
      <c r="E261" s="23">
        <f>countif(Constants!J:J,$A261)</f>
        <v>2</v>
      </c>
      <c r="F261" s="29" t="str">
        <f t="shared" si="1"/>
        <v>https://w3ids.org/codata/fundamental/quantities/SackurTetrodeConstant</v>
      </c>
    </row>
    <row r="262">
      <c r="A262" s="33" t="s">
        <v>1231</v>
      </c>
      <c r="B262" s="18" t="s">
        <v>1232</v>
      </c>
      <c r="C262" s="23"/>
      <c r="D262" s="23">
        <f>COUNTIF(Concepts!A:A,A262)</f>
        <v>1</v>
      </c>
      <c r="E262" s="23">
        <f>countif(Constants!J:J,$A262)</f>
        <v>1</v>
      </c>
      <c r="F262" s="29" t="str">
        <f t="shared" si="1"/>
        <v>https://w3ids.org/codata/fundamental/quantities/SecondRadiationConstant</v>
      </c>
    </row>
    <row r="263">
      <c r="A263" s="33" t="s">
        <v>1234</v>
      </c>
      <c r="B263" s="18" t="s">
        <v>1235</v>
      </c>
      <c r="C263" s="23"/>
      <c r="D263" s="23">
        <f>COUNTIF(Concepts!A:A,A263)</f>
        <v>1</v>
      </c>
      <c r="E263" s="23">
        <f>countif(Constants!J:J,$A263)</f>
        <v>2</v>
      </c>
      <c r="F263" s="29" t="str">
        <f t="shared" si="1"/>
        <v>https://w3ids.org/codata/fundamental/quantities/ShieldedHelionGyromagneticRatio</v>
      </c>
    </row>
    <row r="264">
      <c r="A264" s="33" t="s">
        <v>1236</v>
      </c>
      <c r="B264" s="18" t="s">
        <v>1237</v>
      </c>
      <c r="C264" s="23"/>
      <c r="D264" s="23">
        <f>COUNTIF(Concepts!A:A,A264)</f>
        <v>1</v>
      </c>
      <c r="E264" s="23">
        <f>countif(Constants!J:J,$A264)</f>
        <v>1</v>
      </c>
      <c r="F264" s="29" t="str">
        <f t="shared" si="1"/>
        <v>https://w3ids.org/codata/fundamental/quantities/ShieldedHelionMagneticMoment</v>
      </c>
    </row>
    <row r="265">
      <c r="A265" s="33" t="s">
        <v>1243</v>
      </c>
      <c r="B265" s="18" t="s">
        <v>1244</v>
      </c>
      <c r="C265" s="23"/>
      <c r="D265" s="23">
        <f>COUNTIF(Concepts!A:A,A265)</f>
        <v>1</v>
      </c>
      <c r="E265" s="23">
        <f>countif(Constants!J:J,$A265)</f>
        <v>1</v>
      </c>
      <c r="F265" s="29" t="str">
        <f t="shared" si="1"/>
        <v>https://w3ids.org/codata/fundamental/quantities/ShieldedHelionMagneticMomentToBohrMagnetonRatio</v>
      </c>
    </row>
    <row r="266">
      <c r="A266" s="33" t="s">
        <v>1246</v>
      </c>
      <c r="B266" s="18" t="s">
        <v>1247</v>
      </c>
      <c r="C266" s="23"/>
      <c r="D266" s="23">
        <f>COUNTIF(Concepts!A:A,A266)</f>
        <v>1</v>
      </c>
      <c r="E266" s="23">
        <f>countif(Constants!J:J,$A266)</f>
        <v>1</v>
      </c>
      <c r="F266" s="29" t="str">
        <f t="shared" si="1"/>
        <v>https://w3ids.org/codata/fundamental/quantities/ShieldedHelionMagneticMomentToNuclearMagnetonRatio</v>
      </c>
    </row>
    <row r="267">
      <c r="A267" s="33" t="s">
        <v>1248</v>
      </c>
      <c r="B267" s="18" t="s">
        <v>1249</v>
      </c>
      <c r="C267" s="23"/>
      <c r="D267" s="23">
        <f>COUNTIF(Concepts!A:A,A267)</f>
        <v>1</v>
      </c>
      <c r="E267" s="23">
        <f>countif(Constants!J:J,$A267)</f>
        <v>1</v>
      </c>
      <c r="F267" s="29" t="str">
        <f t="shared" si="1"/>
        <v>https://w3ids.org/codata/fundamental/quantities/ShieldedHelionToProtonMagneticMomentRatio</v>
      </c>
    </row>
    <row r="268">
      <c r="A268" s="33" t="s">
        <v>1251</v>
      </c>
      <c r="B268" s="18" t="s">
        <v>1252</v>
      </c>
      <c r="C268" s="23"/>
      <c r="D268" s="23">
        <f>COUNTIF(Concepts!A:A,A268)</f>
        <v>1</v>
      </c>
      <c r="E268" s="23">
        <f>countif(Constants!J:J,$A268)</f>
        <v>1</v>
      </c>
      <c r="F268" s="29" t="str">
        <f t="shared" si="1"/>
        <v>https://w3ids.org/codata/fundamental/quantities/ShieldedHelionToShieldedProtonMagneticMomentRatio</v>
      </c>
    </row>
    <row r="269">
      <c r="A269" s="33" t="s">
        <v>1254</v>
      </c>
      <c r="B269" s="18" t="s">
        <v>1255</v>
      </c>
      <c r="C269" s="23"/>
      <c r="D269" s="23">
        <f>COUNTIF(Concepts!A:A,A269)</f>
        <v>1</v>
      </c>
      <c r="E269" s="23">
        <f>countif(Constants!J:J,$A269)</f>
        <v>2</v>
      </c>
      <c r="F269" s="29" t="str">
        <f t="shared" si="1"/>
        <v>https://w3ids.org/codata/fundamental/quantities/ShieldedProtonGyromagneticRatio</v>
      </c>
    </row>
    <row r="270">
      <c r="A270" s="33" t="s">
        <v>1261</v>
      </c>
      <c r="B270" s="18" t="s">
        <v>1262</v>
      </c>
      <c r="C270" s="23"/>
      <c r="D270" s="23">
        <f>COUNTIF(Concepts!A:A,A270)</f>
        <v>1</v>
      </c>
      <c r="E270" s="23">
        <f>countif(Constants!J:J,$A270)</f>
        <v>1</v>
      </c>
      <c r="F270" s="29" t="str">
        <f t="shared" si="1"/>
        <v>https://w3ids.org/codata/fundamental/quantities/ShieldedProtonMagneticMoment</v>
      </c>
    </row>
    <row r="271">
      <c r="A271" s="33" t="s">
        <v>1263</v>
      </c>
      <c r="B271" s="18" t="s">
        <v>1264</v>
      </c>
      <c r="C271" s="23"/>
      <c r="D271" s="23">
        <f>COUNTIF(Concepts!A:A,A271)</f>
        <v>1</v>
      </c>
      <c r="E271" s="23">
        <f>countif(Constants!J:J,$A271)</f>
        <v>1</v>
      </c>
      <c r="F271" s="29" t="str">
        <f t="shared" si="1"/>
        <v>https://w3ids.org/codata/fundamental/quantities/ShieldedProtonMagneticMomentToBohrMagnetonRatio</v>
      </c>
    </row>
    <row r="272">
      <c r="A272" s="33" t="s">
        <v>1267</v>
      </c>
      <c r="B272" s="18" t="s">
        <v>1268</v>
      </c>
      <c r="C272" s="23"/>
      <c r="D272" s="23">
        <f>COUNTIF(Concepts!A:A,A272)</f>
        <v>1</v>
      </c>
      <c r="E272" s="23">
        <f>countif(Constants!J:J,$A272)</f>
        <v>1</v>
      </c>
      <c r="F272" s="29" t="str">
        <f t="shared" si="1"/>
        <v>https://w3ids.org/codata/fundamental/quantities/ShieldedProtonMagneticMomentToNuclearMagnetonRatio</v>
      </c>
    </row>
    <row r="273">
      <c r="A273" s="33" t="s">
        <v>1270</v>
      </c>
      <c r="B273" s="18" t="s">
        <v>1271</v>
      </c>
      <c r="C273" s="23"/>
      <c r="D273" s="23">
        <f>COUNTIF(Concepts!A:A,A273)</f>
        <v>1</v>
      </c>
      <c r="E273" s="23">
        <f>countif(Constants!J:J,$A273)</f>
        <v>1</v>
      </c>
      <c r="F273" s="29" t="str">
        <f t="shared" si="1"/>
        <v>https://w3ids.org/codata/fundamental/quantities/ShieldingDifferenceOfDAndP</v>
      </c>
    </row>
    <row r="274">
      <c r="A274" s="33" t="s">
        <v>1273</v>
      </c>
      <c r="B274" s="18" t="s">
        <v>1274</v>
      </c>
      <c r="C274" s="23"/>
      <c r="D274" s="23">
        <f>COUNTIF(Concepts!A:A,A274)</f>
        <v>1</v>
      </c>
      <c r="E274" s="23">
        <f>countif(Constants!J:J,$A274)</f>
        <v>1</v>
      </c>
      <c r="F274" s="29" t="str">
        <f t="shared" si="1"/>
        <v>https://w3ids.org/codata/fundamental/quantities/ShieldingDifferenceOfTAndP</v>
      </c>
    </row>
    <row r="275">
      <c r="A275" s="17" t="s">
        <v>1280</v>
      </c>
      <c r="B275" s="18" t="s">
        <v>1282</v>
      </c>
      <c r="C275" s="39" t="s">
        <v>1284</v>
      </c>
      <c r="D275" s="23">
        <f>COUNTIF(Concepts!A:A,A275)</f>
        <v>1</v>
      </c>
      <c r="E275" s="23">
        <f>countif(Constants!J:J,$A275)</f>
        <v>1</v>
      </c>
      <c r="F275" s="29" t="str">
        <f t="shared" si="1"/>
        <v>https://w3ids.org/codata/fundamental/quantities/SpeedOfLight</v>
      </c>
    </row>
    <row r="276">
      <c r="A276" s="33" t="s">
        <v>1286</v>
      </c>
      <c r="B276" s="18" t="s">
        <v>1287</v>
      </c>
      <c r="C276" s="23"/>
      <c r="D276" s="23">
        <f>COUNTIF(Concepts!A:A,A276)</f>
        <v>1</v>
      </c>
      <c r="E276" s="23">
        <f>countif(Constants!J:J,$A276)</f>
        <v>1</v>
      </c>
      <c r="F276" s="29" t="str">
        <f t="shared" si="1"/>
        <v>https://w3ids.org/codata/fundamental/quantities/StandardAccelerationOfGravity</v>
      </c>
    </row>
    <row r="277">
      <c r="A277" s="33" t="s">
        <v>1289</v>
      </c>
      <c r="B277" s="18" t="s">
        <v>1290</v>
      </c>
      <c r="C277" s="23"/>
      <c r="D277" s="23">
        <f>COUNTIF(Concepts!A:A,A277)</f>
        <v>1</v>
      </c>
      <c r="E277" s="23">
        <f>countif(Constants!J:J,$A277)</f>
        <v>1</v>
      </c>
      <c r="F277" s="29" t="str">
        <f t="shared" si="1"/>
        <v>https://w3ids.org/codata/fundamental/quantities/StandardAtmosphere</v>
      </c>
    </row>
    <row r="278">
      <c r="A278" s="22" t="s">
        <v>1292</v>
      </c>
      <c r="B278" s="18" t="s">
        <v>1293</v>
      </c>
      <c r="C278" s="23"/>
      <c r="D278" s="23">
        <f>COUNTIF(Concepts!A:A,A278)</f>
        <v>1</v>
      </c>
      <c r="E278" s="23">
        <f>countif(Constants!J:J,$A278)</f>
        <v>1</v>
      </c>
      <c r="F278" s="29" t="str">
        <f t="shared" si="1"/>
        <v>https://w3ids.org/codata/fundamental/quantities/StandardStatePressure</v>
      </c>
    </row>
    <row r="279">
      <c r="A279" s="33" t="s">
        <v>1294</v>
      </c>
      <c r="B279" s="18" t="s">
        <v>1295</v>
      </c>
      <c r="C279" s="23"/>
      <c r="D279" s="23">
        <f>COUNTIF(Concepts!A:A,A279)</f>
        <v>1</v>
      </c>
      <c r="E279" s="23">
        <f>countif(Constants!J:J,$A279)</f>
        <v>1</v>
      </c>
      <c r="F279" s="29" t="str">
        <f t="shared" si="1"/>
        <v>https://w3ids.org/codata/fundamental/quantities/StefanBoltzmannConstant</v>
      </c>
    </row>
    <row r="280">
      <c r="A280" s="33" t="s">
        <v>1299</v>
      </c>
      <c r="B280" s="18" t="s">
        <v>1300</v>
      </c>
      <c r="C280" s="23"/>
      <c r="D280" s="23">
        <f>COUNTIF(Concepts!A:A,A280)</f>
        <v>1</v>
      </c>
      <c r="E280" s="23">
        <f>countif(Constants!J:J,$A280)</f>
        <v>1</v>
      </c>
      <c r="F280" s="29" t="str">
        <f t="shared" si="1"/>
        <v>https://w3ids.org/codata/fundamental/quantities/TauComptonWavelength</v>
      </c>
    </row>
    <row r="281">
      <c r="A281" s="33" t="s">
        <v>1305</v>
      </c>
      <c r="B281" s="18" t="s">
        <v>1306</v>
      </c>
      <c r="C281" s="23"/>
      <c r="D281" s="23">
        <f>COUNTIF(Concepts!A:A,A281)</f>
        <v>1</v>
      </c>
      <c r="E281" s="23">
        <f>countif(Constants!J:J,$A281)</f>
        <v>1</v>
      </c>
      <c r="F281" s="29" t="str">
        <f t="shared" si="1"/>
        <v>https://w3ids.org/codata/fundamental/quantities/TauElectronMassRatio</v>
      </c>
    </row>
    <row r="282">
      <c r="A282" s="33" t="s">
        <v>1307</v>
      </c>
      <c r="B282" s="18" t="s">
        <v>1308</v>
      </c>
      <c r="C282" s="23"/>
      <c r="D282" s="23">
        <f>COUNTIF(Concepts!A:A,A282)</f>
        <v>1</v>
      </c>
      <c r="E282" s="23">
        <f>countif(Constants!J:J,$A282)</f>
        <v>3</v>
      </c>
      <c r="F282" s="29" t="str">
        <f t="shared" si="1"/>
        <v>https://w3ids.org/codata/fundamental/quantities/TauMass</v>
      </c>
    </row>
    <row r="283">
      <c r="A283" s="17" t="s">
        <v>1310</v>
      </c>
      <c r="B283" s="18" t="s">
        <v>1311</v>
      </c>
      <c r="C283" s="23"/>
      <c r="D283" s="23">
        <f>COUNTIF(Concepts!A:A,A283)</f>
        <v>1</v>
      </c>
      <c r="E283" s="23">
        <f>countif(Constants!J:J,$A283)</f>
        <v>1</v>
      </c>
      <c r="F283" s="29" t="str">
        <f t="shared" si="1"/>
        <v>https://w3ids.org/codata/fundamental/quantities/TauMassEnergyEquivalent</v>
      </c>
    </row>
    <row r="284">
      <c r="A284" s="33" t="s">
        <v>1313</v>
      </c>
      <c r="B284" s="18" t="s">
        <v>1315</v>
      </c>
      <c r="C284" s="23"/>
      <c r="D284" s="23">
        <f>COUNTIF(Concepts!A:A,A284)</f>
        <v>1</v>
      </c>
      <c r="E284" s="23">
        <f>countif(Constants!J:J,$A284)</f>
        <v>1</v>
      </c>
      <c r="F284" s="29" t="str">
        <f t="shared" si="1"/>
        <v>https://w3ids.org/codata/fundamental/quantities/TauMolarMass</v>
      </c>
    </row>
    <row r="285">
      <c r="A285" s="33" t="s">
        <v>1330</v>
      </c>
      <c r="B285" s="18" t="s">
        <v>1331</v>
      </c>
      <c r="C285" s="23"/>
      <c r="D285" s="23">
        <f>COUNTIF(Concepts!A:A,A285)</f>
        <v>1</v>
      </c>
      <c r="E285" s="23">
        <f>countif(Constants!J:J,$A285)</f>
        <v>1</v>
      </c>
      <c r="F285" s="29" t="str">
        <f t="shared" si="1"/>
        <v>https://w3ids.org/codata/fundamental/quantities/TauMuonMassRatio</v>
      </c>
    </row>
    <row r="286">
      <c r="A286" s="33" t="s">
        <v>1332</v>
      </c>
      <c r="B286" s="18" t="s">
        <v>1333</v>
      </c>
      <c r="C286" s="23"/>
      <c r="D286" s="23">
        <f>COUNTIF(Concepts!A:A,A286)</f>
        <v>1</v>
      </c>
      <c r="E286" s="23">
        <f>countif(Constants!J:J,$A286)</f>
        <v>1</v>
      </c>
      <c r="F286" s="29" t="str">
        <f t="shared" si="1"/>
        <v>https://w3ids.org/codata/fundamental/quantities/TauNeutronMassRatio</v>
      </c>
    </row>
    <row r="287">
      <c r="A287" s="33" t="s">
        <v>1339</v>
      </c>
      <c r="B287" s="18" t="s">
        <v>1340</v>
      </c>
      <c r="C287" s="23"/>
      <c r="D287" s="23">
        <f>COUNTIF(Concepts!A:A,A287)</f>
        <v>1</v>
      </c>
      <c r="E287" s="23">
        <f>countif(Constants!J:J,$A287)</f>
        <v>1</v>
      </c>
      <c r="F287" s="29" t="str">
        <f t="shared" si="1"/>
        <v>https://w3ids.org/codata/fundamental/quantities/TauProtonMassRatio</v>
      </c>
    </row>
    <row r="288">
      <c r="A288" s="33" t="s">
        <v>1342</v>
      </c>
      <c r="B288" s="18" t="s">
        <v>1343</v>
      </c>
      <c r="C288" s="23"/>
      <c r="D288" s="23">
        <f>COUNTIF(Concepts!A:A,A288)</f>
        <v>1</v>
      </c>
      <c r="E288" s="23">
        <f>countif(Constants!J:J,$A288)</f>
        <v>1</v>
      </c>
      <c r="F288" s="29" t="str">
        <f t="shared" si="1"/>
        <v>https://w3ids.org/codata/fundamental/quantities/ThomsonCrossSection</v>
      </c>
    </row>
    <row r="289">
      <c r="A289" s="33" t="s">
        <v>1344</v>
      </c>
      <c r="B289" s="18" t="s">
        <v>1345</v>
      </c>
      <c r="C289" s="23"/>
      <c r="D289" s="23">
        <f>COUNTIF(Concepts!A:A,A289)</f>
        <v>1</v>
      </c>
      <c r="E289" s="23">
        <f>countif(Constants!J:J,$A289)</f>
        <v>1</v>
      </c>
      <c r="F289" s="29" t="str">
        <f t="shared" si="1"/>
        <v>https://w3ids.org/codata/fundamental/quantities/TritonElectronMagneticMomentRatio</v>
      </c>
    </row>
    <row r="290">
      <c r="A290" s="33" t="s">
        <v>1347</v>
      </c>
      <c r="B290" s="18" t="s">
        <v>1348</v>
      </c>
      <c r="C290" s="23"/>
      <c r="D290" s="23">
        <f>COUNTIF(Concepts!A:A,A290)</f>
        <v>1</v>
      </c>
      <c r="E290" s="23">
        <f>countif(Constants!J:J,$A290)</f>
        <v>1</v>
      </c>
      <c r="F290" s="29" t="str">
        <f t="shared" si="1"/>
        <v>https://w3ids.org/codata/fundamental/quantities/TritonElectronMassRatio</v>
      </c>
    </row>
    <row r="291">
      <c r="A291" s="33" t="s">
        <v>1353</v>
      </c>
      <c r="B291" s="18" t="s">
        <v>1354</v>
      </c>
      <c r="C291" s="23"/>
      <c r="D291" s="23">
        <f>COUNTIF(Concepts!A:A,A291)</f>
        <v>1</v>
      </c>
      <c r="E291" s="23">
        <f>countif(Constants!J:J,$A291)</f>
        <v>1</v>
      </c>
      <c r="F291" s="29" t="str">
        <f t="shared" si="1"/>
        <v>https://w3ids.org/codata/fundamental/quantities/TritonGFactor</v>
      </c>
    </row>
    <row r="292">
      <c r="A292" s="33" t="s">
        <v>1356</v>
      </c>
      <c r="B292" s="18" t="s">
        <v>1357</v>
      </c>
      <c r="C292" s="23"/>
      <c r="D292" s="23">
        <f>COUNTIF(Concepts!A:A,A292)</f>
        <v>1</v>
      </c>
      <c r="E292" s="23">
        <f>countif(Constants!J:J,$A292)</f>
        <v>1</v>
      </c>
      <c r="F292" s="29" t="str">
        <f t="shared" si="1"/>
        <v>https://w3ids.org/codata/fundamental/quantities/TritonMagneticMoment</v>
      </c>
    </row>
    <row r="293">
      <c r="A293" s="33" t="s">
        <v>1359</v>
      </c>
      <c r="B293" s="18" t="s">
        <v>1360</v>
      </c>
      <c r="C293" s="23"/>
      <c r="D293" s="23">
        <f>COUNTIF(Concepts!A:A,A293)</f>
        <v>1</v>
      </c>
      <c r="E293" s="23">
        <f>countif(Constants!J:J,$A293)</f>
        <v>1</v>
      </c>
      <c r="F293" s="29" t="str">
        <f t="shared" si="1"/>
        <v>https://w3ids.org/codata/fundamental/quantities/TritonMagneticMomentToBohrMagnetonRatio</v>
      </c>
    </row>
    <row r="294">
      <c r="A294" s="33" t="s">
        <v>1361</v>
      </c>
      <c r="B294" s="18" t="s">
        <v>1362</v>
      </c>
      <c r="C294" s="23"/>
      <c r="D294" s="23">
        <f>COUNTIF(Concepts!A:A,A294)</f>
        <v>1</v>
      </c>
      <c r="E294" s="23">
        <f>countif(Constants!J:J,$A294)</f>
        <v>1</v>
      </c>
      <c r="F294" s="29" t="str">
        <f t="shared" si="1"/>
        <v>https://w3ids.org/codata/fundamental/quantities/TritonMagneticMomentToNuclearMagnetonRatio</v>
      </c>
    </row>
    <row r="295">
      <c r="A295" s="33" t="s">
        <v>1365</v>
      </c>
      <c r="B295" s="18" t="s">
        <v>1366</v>
      </c>
      <c r="C295" s="23"/>
      <c r="D295" s="23">
        <f>COUNTIF(Concepts!A:A,A295)</f>
        <v>1</v>
      </c>
      <c r="E295" s="23">
        <f>countif(Constants!J:J,$A295)</f>
        <v>3</v>
      </c>
      <c r="F295" s="29" t="str">
        <f t="shared" si="1"/>
        <v>https://w3ids.org/codata/fundamental/quantities/TritonMass</v>
      </c>
    </row>
    <row r="296">
      <c r="A296" s="17" t="s">
        <v>1368</v>
      </c>
      <c r="B296" s="18" t="s">
        <v>1370</v>
      </c>
      <c r="C296" s="23"/>
      <c r="D296" s="23">
        <f>COUNTIF(Concepts!A:A,A296)</f>
        <v>1</v>
      </c>
      <c r="E296" s="23">
        <f>countif(Constants!J:J,$A296)</f>
        <v>1</v>
      </c>
      <c r="F296" s="29" t="str">
        <f t="shared" si="1"/>
        <v>https://w3ids.org/codata/fundamental/quantities/TritonMassEnergyEquivalent</v>
      </c>
    </row>
    <row r="297">
      <c r="A297" s="33" t="s">
        <v>1373</v>
      </c>
      <c r="B297" s="18" t="s">
        <v>1374</v>
      </c>
      <c r="C297" s="23"/>
      <c r="D297" s="23">
        <f>COUNTIF(Concepts!A:A,A297)</f>
        <v>1</v>
      </c>
      <c r="E297" s="23">
        <f>countif(Constants!J:J,$A297)</f>
        <v>1</v>
      </c>
      <c r="F297" s="29" t="str">
        <f t="shared" si="1"/>
        <v>https://w3ids.org/codata/fundamental/quantities/TritonMolarMass</v>
      </c>
    </row>
    <row r="298">
      <c r="A298" s="33" t="s">
        <v>1376</v>
      </c>
      <c r="B298" s="18" t="s">
        <v>1377</v>
      </c>
      <c r="C298" s="23"/>
      <c r="D298" s="23">
        <f>COUNTIF(Concepts!A:A,A298)</f>
        <v>1</v>
      </c>
      <c r="E298" s="23">
        <f>countif(Constants!J:J,$A298)</f>
        <v>1</v>
      </c>
      <c r="F298" s="29" t="str">
        <f t="shared" si="1"/>
        <v>https://w3ids.org/codata/fundamental/quantities/TritonNeutronMagneticMomentRatio</v>
      </c>
    </row>
    <row r="299">
      <c r="A299" s="33" t="s">
        <v>1379</v>
      </c>
      <c r="B299" s="18" t="s">
        <v>1380</v>
      </c>
      <c r="C299" s="23"/>
      <c r="D299" s="23">
        <f>COUNTIF(Concepts!A:A,A299)</f>
        <v>1</v>
      </c>
      <c r="E299" s="23">
        <f>countif(Constants!J:J,$A299)</f>
        <v>1</v>
      </c>
      <c r="F299" s="29" t="str">
        <f t="shared" si="1"/>
        <v>https://w3ids.org/codata/fundamental/quantities/TritonProtonMagneticMomentRatio</v>
      </c>
    </row>
    <row r="300">
      <c r="A300" s="33" t="s">
        <v>1381</v>
      </c>
      <c r="B300" s="18" t="s">
        <v>1382</v>
      </c>
      <c r="C300" s="23"/>
      <c r="D300" s="23">
        <f>COUNTIF(Concepts!A:A,A300)</f>
        <v>1</v>
      </c>
      <c r="E300" s="23">
        <f>countif(Constants!J:J,$A300)</f>
        <v>1</v>
      </c>
      <c r="F300" s="29" t="str">
        <f t="shared" si="1"/>
        <v>https://w3ids.org/codata/fundamental/quantities/TritonProtonMassRatio</v>
      </c>
    </row>
    <row r="301">
      <c r="A301" s="33" t="s">
        <v>1383</v>
      </c>
      <c r="B301" s="18" t="s">
        <v>1384</v>
      </c>
      <c r="C301" s="23"/>
      <c r="D301" s="23">
        <f>COUNTIF(Concepts!A:A,A301)</f>
        <v>1</v>
      </c>
      <c r="E301" s="23">
        <f>countif(Constants!J:J,$A301)</f>
        <v>1</v>
      </c>
      <c r="F301" s="29" t="str">
        <f t="shared" si="1"/>
        <v>https://w3ids.org/codata/fundamental/quantities/TritonRelativeAtomicMass</v>
      </c>
    </row>
    <row r="302">
      <c r="A302" s="33" t="s">
        <v>1386</v>
      </c>
      <c r="B302" s="18" t="s">
        <v>1387</v>
      </c>
      <c r="C302" s="23"/>
      <c r="D302" s="23">
        <f>COUNTIF(Concepts!A:A,A302)</f>
        <v>1</v>
      </c>
      <c r="E302" s="23">
        <f>countif(Constants!J:J,$A302)</f>
        <v>1</v>
      </c>
      <c r="F302" s="29" t="str">
        <f t="shared" si="1"/>
        <v>https://w3ids.org/codata/fundamental/quantities/UnifiedAtomicMassUnit</v>
      </c>
    </row>
    <row r="303">
      <c r="A303" s="33" t="s">
        <v>1390</v>
      </c>
      <c r="B303" s="18" t="s">
        <v>1391</v>
      </c>
      <c r="C303" s="23"/>
      <c r="D303" s="23">
        <f>COUNTIF(Concepts!A:A,A303)</f>
        <v>1</v>
      </c>
      <c r="E303" s="23">
        <f>countif(Constants!J:J,$A303)</f>
        <v>1</v>
      </c>
      <c r="F303" s="29" t="str">
        <f t="shared" si="1"/>
        <v>https://w3ids.org/codata/fundamental/quantities/VonKlitzingConstant</v>
      </c>
    </row>
    <row r="304">
      <c r="A304" s="33" t="s">
        <v>1392</v>
      </c>
      <c r="B304" s="18" t="s">
        <v>1393</v>
      </c>
      <c r="C304" s="23"/>
      <c r="D304" s="23">
        <f>COUNTIF(Concepts!A:A,A304)</f>
        <v>1</v>
      </c>
      <c r="E304" s="23">
        <f>countif(Constants!J:J,$A304)</f>
        <v>1</v>
      </c>
      <c r="F304" s="29" t="str">
        <f t="shared" si="1"/>
        <v>https://w3ids.org/codata/fundamental/quantities/WeakMixingAngle</v>
      </c>
    </row>
    <row r="305">
      <c r="A305" s="33" t="s">
        <v>1394</v>
      </c>
      <c r="B305" s="18" t="s">
        <v>1395</v>
      </c>
      <c r="C305" s="23"/>
      <c r="D305" s="23">
        <f>COUNTIF(Concepts!A:A,A305)</f>
        <v>1</v>
      </c>
      <c r="E305" s="23">
        <f>countif(Constants!J:J,$A305)</f>
        <v>1</v>
      </c>
      <c r="F305" s="29" t="str">
        <f t="shared" si="1"/>
        <v>https://w3ids.org/codata/fundamental/quantities/WienFrequencyDisplacementLawConstant</v>
      </c>
    </row>
    <row r="306">
      <c r="A306" s="33" t="s">
        <v>1396</v>
      </c>
      <c r="B306" s="18" t="s">
        <v>1397</v>
      </c>
      <c r="C306" s="23"/>
      <c r="D306" s="23">
        <f>COUNTIF(Concepts!A:A,A306)</f>
        <v>1</v>
      </c>
      <c r="E306" s="23">
        <f>countif(Constants!J:J,$A306)</f>
        <v>1</v>
      </c>
      <c r="F306" s="29" t="str">
        <f t="shared" si="1"/>
        <v>https://w3ids.org/codata/fundamental/quantities/WienWavelengthDisplacementLawConstant</v>
      </c>
    </row>
    <row r="307">
      <c r="A307" s="33" t="s">
        <v>1398</v>
      </c>
      <c r="B307" s="18" t="s">
        <v>1399</v>
      </c>
      <c r="C307" s="23"/>
      <c r="D307" s="23">
        <f>COUNTIF(Concepts!A:A,A307)</f>
        <v>1</v>
      </c>
      <c r="E307" s="23">
        <f>countif(Constants!J:J,$A307)</f>
        <v>1</v>
      </c>
      <c r="F307" s="29" t="str">
        <f t="shared" si="1"/>
        <v>https://w3ids.org/codata/fundamental/quantities/WToZMassRatio</v>
      </c>
    </row>
  </sheetData>
  <conditionalFormatting sqref="D1:D307">
    <cfRule type="cellIs" dxfId="0" priority="1" operator="equal">
      <formula>0</formula>
    </cfRule>
  </conditionalFormatting>
  <conditionalFormatting sqref="E1:E307">
    <cfRule type="cellIs" dxfId="0" priority="2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13"/>
    <col customWidth="1" min="2" max="2" width="44.0"/>
    <col customWidth="1" min="3" max="3" width="47.25"/>
    <col customWidth="1" min="4" max="4" width="106.0"/>
    <col customWidth="1" min="5" max="5" width="45.5"/>
    <col customWidth="1" min="6" max="6" width="46.0"/>
    <col customWidth="1" min="7" max="7" width="13.25"/>
    <col customWidth="1" min="8" max="8" width="11.38"/>
    <col customWidth="1" min="9" max="9" width="13.38"/>
    <col customWidth="1" min="10" max="10" width="44.0"/>
    <col customWidth="1" min="11" max="11" width="16.25"/>
    <col customWidth="1" min="12" max="12" width="8.0"/>
    <col customWidth="1" min="13" max="13" width="44.0"/>
    <col customWidth="1" min="14" max="14" width="7.63"/>
    <col customWidth="1" min="16" max="16" width="7.88"/>
    <col customWidth="1" min="17" max="17" width="30.38"/>
    <col customWidth="1" min="18" max="19" width="7.88"/>
    <col customWidth="1" min="20" max="26" width="7.0"/>
  </cols>
  <sheetData>
    <row r="1">
      <c r="A1" s="7" t="s">
        <v>18</v>
      </c>
      <c r="B1" s="7" t="s">
        <v>0</v>
      </c>
      <c r="C1" s="7" t="s">
        <v>1</v>
      </c>
      <c r="D1" s="7" t="s">
        <v>15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8" t="s">
        <v>25</v>
      </c>
      <c r="L1" s="7" t="s">
        <v>26</v>
      </c>
      <c r="M1" s="7" t="s">
        <v>27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10" t="s">
        <v>33</v>
      </c>
      <c r="T1" s="11" t="s">
        <v>34</v>
      </c>
      <c r="U1" s="11" t="s">
        <v>36</v>
      </c>
      <c r="V1" s="11" t="s">
        <v>37</v>
      </c>
      <c r="W1" s="11" t="s">
        <v>39</v>
      </c>
      <c r="X1" s="11" t="s">
        <v>40</v>
      </c>
      <c r="Y1" s="11" t="s">
        <v>41</v>
      </c>
      <c r="Z1" s="11" t="s">
        <v>42</v>
      </c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>
      <c r="A2" s="17" t="s">
        <v>44</v>
      </c>
      <c r="B2" s="18" t="s">
        <v>45</v>
      </c>
      <c r="C2" s="21" t="str">
        <f t="shared" ref="C2:C4" si="1">proper(E2)</f>
        <v>Alpha Particle - Electron Mass Ratio</v>
      </c>
      <c r="D2" s="21" t="str">
        <f t="shared" ref="D2:D8" si="2">UPPER(LEFT(F2,1))&amp;MID(F2,2,LEN(F2))</f>
        <v>Rapport de la masse de la particule alpha à celle de l'électron</v>
      </c>
      <c r="E2" s="17" t="s">
        <v>59</v>
      </c>
      <c r="F2" s="17" t="s">
        <v>60</v>
      </c>
      <c r="H2" s="18" t="str">
        <f t="shared" ref="H2:H59" si="3">if(ISBLANK(G2),"",SUBSTITUTE(SUBSTITUTE(G2,"^","")," ","_"))</f>
        <v/>
      </c>
      <c r="I2" s="17" t="str">
        <f>if(H2="","", countif(Units!A:A,H2))</f>
        <v/>
      </c>
      <c r="J2" s="17" t="s">
        <v>45</v>
      </c>
      <c r="K2" s="28">
        <f>countif(Quantities!A:A,J2)</f>
        <v>1</v>
      </c>
      <c r="L2" s="30" t="b">
        <f t="shared" ref="L2:L360" si="4">J2=B2</f>
        <v>1</v>
      </c>
      <c r="M2" s="17" t="s">
        <v>45</v>
      </c>
      <c r="N2" s="34" t="str">
        <f t="shared" ref="N2:N360" si="5">if(isblank(M2),"",hyperlink("https://qudt.org/vocab/constant/"&amp;M2&amp;".html","qudt"))</f>
        <v>qudt</v>
      </c>
      <c r="O2" s="18" t="b">
        <f t="shared" ref="O2:O304" si="6">not(isblank(M2))</f>
        <v>1</v>
      </c>
      <c r="P2" s="39"/>
      <c r="Q2" s="39"/>
      <c r="R2" s="39" t="str">
        <f t="shared" ref="R2:R360" si="7">if(isblank(Q2),"",hyperlink("https://si-digital-framework.org/constants/"&amp;Q2,"SI"))</f>
        <v/>
      </c>
      <c r="S2" s="43">
        <f t="shared" ref="S2:S360" si="8">sum(T2:Z2)</f>
        <v>7</v>
      </c>
      <c r="T2" s="21">
        <f>countif('v2022'!E:E,A2)</f>
        <v>1</v>
      </c>
      <c r="U2" s="21">
        <f>countif('v2018'!E:E,A2)</f>
        <v>1</v>
      </c>
      <c r="V2" s="21">
        <f>countif('v2014'!E:E,A2)</f>
        <v>1</v>
      </c>
      <c r="W2" s="21">
        <f>countif('v2010'!E:E,A2)</f>
        <v>1</v>
      </c>
      <c r="X2" s="21">
        <f>countif('v2006'!E:E,A2)</f>
        <v>1</v>
      </c>
      <c r="Y2" s="21">
        <f>countif('v2002'!E:E,A2)</f>
        <v>1</v>
      </c>
      <c r="Z2" s="21">
        <f>countif('v1998'!E:E,A2)</f>
        <v>1</v>
      </c>
      <c r="AA2" s="37"/>
    </row>
    <row r="3">
      <c r="A3" s="17" t="s">
        <v>92</v>
      </c>
      <c r="B3" s="18" t="s">
        <v>63</v>
      </c>
      <c r="C3" s="21" t="str">
        <f t="shared" si="1"/>
        <v>Alpha Particle Mass</v>
      </c>
      <c r="D3" s="21" t="str">
        <f t="shared" si="2"/>
        <v>Masse de la particule alpha</v>
      </c>
      <c r="E3" s="17" t="s">
        <v>96</v>
      </c>
      <c r="F3" s="17" t="s">
        <v>97</v>
      </c>
      <c r="G3" s="18" t="s">
        <v>98</v>
      </c>
      <c r="H3" s="18" t="str">
        <f t="shared" si="3"/>
        <v>kg</v>
      </c>
      <c r="I3" s="17">
        <f>if(H3="","", countif(Units!A:A,H3))</f>
        <v>1</v>
      </c>
      <c r="J3" s="18" t="s">
        <v>63</v>
      </c>
      <c r="K3" s="28">
        <f>countif(Quantities!A:A,J3)</f>
        <v>1</v>
      </c>
      <c r="L3" s="30" t="b">
        <f t="shared" si="4"/>
        <v>1</v>
      </c>
      <c r="M3" s="17" t="s">
        <v>63</v>
      </c>
      <c r="N3" s="34" t="str">
        <f t="shared" si="5"/>
        <v>qudt</v>
      </c>
      <c r="O3" s="18" t="b">
        <f t="shared" si="6"/>
        <v>1</v>
      </c>
      <c r="P3" s="39"/>
      <c r="Q3" s="39"/>
      <c r="R3" s="39" t="str">
        <f t="shared" si="7"/>
        <v/>
      </c>
      <c r="S3" s="43">
        <f t="shared" si="8"/>
        <v>7</v>
      </c>
      <c r="T3" s="21">
        <f>countif('v2022'!E:E,A3)</f>
        <v>1</v>
      </c>
      <c r="U3" s="21">
        <f>countif('v2018'!E:E,A3)</f>
        <v>1</v>
      </c>
      <c r="V3" s="21">
        <f>countif('v2014'!E:E,A3)</f>
        <v>1</v>
      </c>
      <c r="W3" s="21">
        <f>countif('v2010'!E:E,A3)</f>
        <v>1</v>
      </c>
      <c r="X3" s="21">
        <f>countif('v2006'!E:E,A3)</f>
        <v>1</v>
      </c>
      <c r="Y3" s="21">
        <f>countif('v2002'!E:E,A3)</f>
        <v>1</v>
      </c>
      <c r="Z3" s="21">
        <f>countif('v1998'!E:E,A3)</f>
        <v>1</v>
      </c>
    </row>
    <row r="4">
      <c r="A4" s="17" t="s">
        <v>172</v>
      </c>
      <c r="B4" s="18" t="s">
        <v>68</v>
      </c>
      <c r="C4" s="21" t="str">
        <f t="shared" si="1"/>
        <v>Alpha Particle Mass Energy Equivalent</v>
      </c>
      <c r="D4" s="21" t="str">
        <f t="shared" si="2"/>
        <v>Énergie de masse de la particule alpha</v>
      </c>
      <c r="E4" s="17" t="s">
        <v>176</v>
      </c>
      <c r="F4" s="17" t="s">
        <v>177</v>
      </c>
      <c r="G4" s="18" t="s">
        <v>173</v>
      </c>
      <c r="H4" s="18" t="str">
        <f t="shared" si="3"/>
        <v>J</v>
      </c>
      <c r="I4" s="17">
        <f>if(H4="","", countif(Units!A:A,H4))</f>
        <v>1</v>
      </c>
      <c r="J4" s="17" t="s">
        <v>68</v>
      </c>
      <c r="K4" s="28">
        <f>countif(Quantities!A:A,J4)</f>
        <v>1</v>
      </c>
      <c r="L4" s="30" t="b">
        <f t="shared" si="4"/>
        <v>1</v>
      </c>
      <c r="M4" s="17" t="s">
        <v>68</v>
      </c>
      <c r="N4" s="34" t="str">
        <f t="shared" si="5"/>
        <v>qudt</v>
      </c>
      <c r="O4" s="18" t="b">
        <f t="shared" si="6"/>
        <v>1</v>
      </c>
      <c r="P4" s="39"/>
      <c r="Q4" s="39"/>
      <c r="R4" s="39" t="str">
        <f t="shared" si="7"/>
        <v/>
      </c>
      <c r="S4" s="43">
        <f t="shared" si="8"/>
        <v>7</v>
      </c>
      <c r="T4" s="21">
        <f>countif('v2022'!E:E,A4)</f>
        <v>1</v>
      </c>
      <c r="U4" s="21">
        <f>countif('v2018'!E:E,A4)</f>
        <v>1</v>
      </c>
      <c r="V4" s="21">
        <f>countif('v2014'!E:E,A4)</f>
        <v>1</v>
      </c>
      <c r="W4" s="21">
        <f>countif('v2010'!E:E,A4)</f>
        <v>1</v>
      </c>
      <c r="X4" s="21">
        <f>countif('v2006'!E:E,A4)</f>
        <v>1</v>
      </c>
      <c r="Y4" s="21">
        <f>countif('v2002'!E:E,A4)</f>
        <v>1</v>
      </c>
      <c r="Z4" s="21">
        <f>countif('v1998'!E:E,A4)</f>
        <v>1</v>
      </c>
    </row>
    <row r="5">
      <c r="A5" s="17" t="s">
        <v>214</v>
      </c>
      <c r="B5" s="18" t="s">
        <v>215</v>
      </c>
      <c r="C5" s="17" t="s">
        <v>220</v>
      </c>
      <c r="D5" s="21" t="str">
        <f t="shared" si="2"/>
        <v>Énergie de masse de la particule alpha in MeV</v>
      </c>
      <c r="E5" s="17" t="s">
        <v>222</v>
      </c>
      <c r="F5" s="17" t="s">
        <v>223</v>
      </c>
      <c r="G5" s="18" t="s">
        <v>224</v>
      </c>
      <c r="H5" s="18" t="str">
        <f t="shared" si="3"/>
        <v>MeV</v>
      </c>
      <c r="I5" s="17">
        <f>if(H5="","", countif(Units!A:A,H5))</f>
        <v>1</v>
      </c>
      <c r="J5" s="17" t="s">
        <v>68</v>
      </c>
      <c r="K5" s="28">
        <f>countif(Quantities!A:A,J5)</f>
        <v>1</v>
      </c>
      <c r="L5" s="30" t="b">
        <f t="shared" si="4"/>
        <v>0</v>
      </c>
      <c r="M5" s="17" t="s">
        <v>215</v>
      </c>
      <c r="N5" s="34" t="str">
        <f t="shared" si="5"/>
        <v>qudt</v>
      </c>
      <c r="O5" s="18" t="b">
        <f t="shared" si="6"/>
        <v>1</v>
      </c>
      <c r="P5" s="23"/>
      <c r="Q5" s="23"/>
      <c r="R5" s="39" t="str">
        <f t="shared" si="7"/>
        <v/>
      </c>
      <c r="S5" s="43">
        <f t="shared" si="8"/>
        <v>7</v>
      </c>
      <c r="T5" s="21">
        <f>countif('v2022'!E:E,A5)</f>
        <v>1</v>
      </c>
      <c r="U5" s="21">
        <f>countif('v2018'!E:E,A5)</f>
        <v>1</v>
      </c>
      <c r="V5" s="21">
        <f>countif('v2014'!E:E,A5)</f>
        <v>1</v>
      </c>
      <c r="W5" s="21">
        <f>countif('v2010'!E:E,A5)</f>
        <v>1</v>
      </c>
      <c r="X5" s="21">
        <f>countif('v2006'!E:E,A5)</f>
        <v>1</v>
      </c>
      <c r="Y5" s="21">
        <f>countif('v2002'!E:E,A5)</f>
        <v>1</v>
      </c>
      <c r="Z5" s="21">
        <f>countif('v1998'!E:E,A5)</f>
        <v>1</v>
      </c>
    </row>
    <row r="6">
      <c r="A6" s="17" t="s">
        <v>243</v>
      </c>
      <c r="B6" s="18" t="s">
        <v>244</v>
      </c>
      <c r="C6" s="21" t="str">
        <f t="shared" ref="C6:C12" si="9">proper(E6)</f>
        <v>Alpha Particle Mass In U</v>
      </c>
      <c r="D6" s="21" t="str">
        <f t="shared" si="2"/>
        <v>Masse de la particule alpha en u</v>
      </c>
      <c r="E6" s="17" t="s">
        <v>245</v>
      </c>
      <c r="F6" s="17" t="s">
        <v>246</v>
      </c>
      <c r="G6" s="18" t="s">
        <v>249</v>
      </c>
      <c r="H6" s="18" t="str">
        <f t="shared" si="3"/>
        <v>u</v>
      </c>
      <c r="I6" s="17">
        <f>if(H6="","", countif(Units!A:A,H6))</f>
        <v>1</v>
      </c>
      <c r="J6" s="17" t="s">
        <v>63</v>
      </c>
      <c r="K6" s="28">
        <f>countif(Quantities!A:A,J6)</f>
        <v>1</v>
      </c>
      <c r="L6" s="30" t="b">
        <f t="shared" si="4"/>
        <v>0</v>
      </c>
      <c r="M6" s="17" t="s">
        <v>244</v>
      </c>
      <c r="N6" s="34" t="str">
        <f t="shared" si="5"/>
        <v>qudt</v>
      </c>
      <c r="O6" s="18" t="b">
        <f t="shared" si="6"/>
        <v>1</v>
      </c>
      <c r="P6" s="39"/>
      <c r="Q6" s="39"/>
      <c r="R6" s="39" t="str">
        <f t="shared" si="7"/>
        <v/>
      </c>
      <c r="S6" s="43">
        <f t="shared" si="8"/>
        <v>7</v>
      </c>
      <c r="T6" s="21">
        <f>countif('v2022'!E:E,A6)</f>
        <v>1</v>
      </c>
      <c r="U6" s="21">
        <f>countif('v2018'!E:E,A6)</f>
        <v>1</v>
      </c>
      <c r="V6" s="21">
        <f>countif('v2014'!E:E,A6)</f>
        <v>1</v>
      </c>
      <c r="W6" s="21">
        <f>countif('v2010'!E:E,A6)</f>
        <v>1</v>
      </c>
      <c r="X6" s="21">
        <f>countif('v2006'!E:E,A6)</f>
        <v>1</v>
      </c>
      <c r="Y6" s="21">
        <f>countif('v2002'!E:E,A6)</f>
        <v>1</v>
      </c>
      <c r="Z6" s="21">
        <f>countif('v1998'!E:E,A6)</f>
        <v>1</v>
      </c>
    </row>
    <row r="7">
      <c r="A7" s="17" t="s">
        <v>282</v>
      </c>
      <c r="B7" s="18" t="s">
        <v>74</v>
      </c>
      <c r="C7" s="21" t="str">
        <f t="shared" si="9"/>
        <v>Alpha Particle Molar Mass</v>
      </c>
      <c r="D7" s="21" t="str">
        <f t="shared" si="2"/>
        <v>Masse molaire de la particule alpha</v>
      </c>
      <c r="E7" s="17" t="s">
        <v>284</v>
      </c>
      <c r="F7" s="17" t="s">
        <v>285</v>
      </c>
      <c r="G7" s="18" t="s">
        <v>286</v>
      </c>
      <c r="H7" s="18" t="str">
        <f t="shared" si="3"/>
        <v>kg_mol-1</v>
      </c>
      <c r="I7" s="17">
        <f>if(H7="","", countif(Units!A:A,H7))</f>
        <v>1</v>
      </c>
      <c r="J7" s="17" t="s">
        <v>74</v>
      </c>
      <c r="K7" s="28">
        <f>countif(Quantities!A:A,J7)</f>
        <v>1</v>
      </c>
      <c r="L7" s="30" t="b">
        <f t="shared" si="4"/>
        <v>1</v>
      </c>
      <c r="M7" s="17" t="s">
        <v>74</v>
      </c>
      <c r="N7" s="34" t="str">
        <f t="shared" si="5"/>
        <v>qudt</v>
      </c>
      <c r="O7" s="18" t="b">
        <f t="shared" si="6"/>
        <v>1</v>
      </c>
      <c r="P7" s="39"/>
      <c r="Q7" s="39"/>
      <c r="R7" s="39" t="str">
        <f t="shared" si="7"/>
        <v/>
      </c>
      <c r="S7" s="43">
        <f t="shared" si="8"/>
        <v>7</v>
      </c>
      <c r="T7" s="21">
        <f>countif('v2022'!E:E,A7)</f>
        <v>1</v>
      </c>
      <c r="U7" s="21">
        <f>countif('v2018'!E:E,A7)</f>
        <v>1</v>
      </c>
      <c r="V7" s="21">
        <f>countif('v2014'!E:E,A7)</f>
        <v>1</v>
      </c>
      <c r="W7" s="21">
        <f>countif('v2010'!E:E,A7)</f>
        <v>1</v>
      </c>
      <c r="X7" s="21">
        <f>countif('v2006'!E:E,A7)</f>
        <v>1</v>
      </c>
      <c r="Y7" s="21">
        <f>countif('v2002'!E:E,A7)</f>
        <v>1</v>
      </c>
      <c r="Z7" s="21">
        <f>countif('v1998'!E:E,A7)</f>
        <v>1</v>
      </c>
    </row>
    <row r="8">
      <c r="A8" s="17" t="s">
        <v>310</v>
      </c>
      <c r="B8" s="18" t="s">
        <v>79</v>
      </c>
      <c r="C8" s="21" t="str">
        <f t="shared" si="9"/>
        <v>Alpha Particle - Proton Mass Ratio</v>
      </c>
      <c r="D8" s="21" t="str">
        <f t="shared" si="2"/>
        <v>Rapport de la masse de la particule alpha à celle du proton</v>
      </c>
      <c r="E8" s="17" t="s">
        <v>313</v>
      </c>
      <c r="F8" s="17" t="s">
        <v>314</v>
      </c>
      <c r="H8" s="18" t="str">
        <f t="shared" si="3"/>
        <v/>
      </c>
      <c r="I8" s="17" t="str">
        <f>if(H8="","", countif(Units!A:A,H8))</f>
        <v/>
      </c>
      <c r="J8" s="18" t="s">
        <v>79</v>
      </c>
      <c r="K8" s="28">
        <f>countif(Quantities!A:A,J8)</f>
        <v>1</v>
      </c>
      <c r="L8" s="30" t="b">
        <f t="shared" si="4"/>
        <v>1</v>
      </c>
      <c r="M8" s="17" t="s">
        <v>79</v>
      </c>
      <c r="N8" s="34" t="str">
        <f t="shared" si="5"/>
        <v>qudt</v>
      </c>
      <c r="O8" s="18" t="b">
        <f t="shared" si="6"/>
        <v>1</v>
      </c>
      <c r="P8" s="39"/>
      <c r="Q8" s="39"/>
      <c r="R8" s="39" t="str">
        <f t="shared" si="7"/>
        <v/>
      </c>
      <c r="S8" s="43">
        <f t="shared" si="8"/>
        <v>7</v>
      </c>
      <c r="T8" s="21">
        <f>countif('v2022'!E:E,A8)</f>
        <v>1</v>
      </c>
      <c r="U8" s="21">
        <f>countif('v2018'!E:E,A8)</f>
        <v>1</v>
      </c>
      <c r="V8" s="21">
        <f>countif('v2014'!E:E,A8)</f>
        <v>1</v>
      </c>
      <c r="W8" s="21">
        <f>countif('v2010'!E:E,A8)</f>
        <v>1</v>
      </c>
      <c r="X8" s="21">
        <f>countif('v2006'!E:E,A8)</f>
        <v>1</v>
      </c>
      <c r="Y8" s="21">
        <f>countif('v2002'!E:E,A8)</f>
        <v>1</v>
      </c>
      <c r="Z8" s="21">
        <f>countif('v1998'!E:E,A8)</f>
        <v>1</v>
      </c>
    </row>
    <row r="9">
      <c r="A9" s="17" t="s">
        <v>338</v>
      </c>
      <c r="B9" s="18" t="s">
        <v>83</v>
      </c>
      <c r="C9" s="21" t="str">
        <f t="shared" si="9"/>
        <v>Alpha Particle Relative Atomic Mass</v>
      </c>
      <c r="D9" s="21" t="str">
        <f>proper(F9)</f>
        <v>Rapport De La Masse De La Particule Alpha À Celle Du Proton</v>
      </c>
      <c r="E9" s="17" t="s">
        <v>341</v>
      </c>
      <c r="F9" s="17" t="s">
        <v>314</v>
      </c>
      <c r="H9" s="18" t="str">
        <f t="shared" si="3"/>
        <v/>
      </c>
      <c r="I9" s="17" t="str">
        <f>if(H9="","", countif(Units!A:A,H9))</f>
        <v/>
      </c>
      <c r="J9" s="18" t="s">
        <v>83</v>
      </c>
      <c r="K9" s="28">
        <f>countif(Quantities!A:A,J9)</f>
        <v>1</v>
      </c>
      <c r="L9" s="30" t="b">
        <f t="shared" si="4"/>
        <v>1</v>
      </c>
      <c r="N9" s="39" t="str">
        <f t="shared" si="5"/>
        <v/>
      </c>
      <c r="O9" s="18" t="b">
        <f t="shared" si="6"/>
        <v>0</v>
      </c>
      <c r="P9" s="23"/>
      <c r="Q9" s="23"/>
      <c r="R9" s="39" t="str">
        <f t="shared" si="7"/>
        <v/>
      </c>
      <c r="S9" s="43">
        <f t="shared" si="8"/>
        <v>2</v>
      </c>
      <c r="T9" s="21">
        <f>countif('v2022'!E:E,A9)</f>
        <v>1</v>
      </c>
      <c r="U9" s="21">
        <f>countif('v2018'!E:E,A9)</f>
        <v>1</v>
      </c>
      <c r="V9" s="21">
        <f>countif('v2014'!E:E,A9)</f>
        <v>0</v>
      </c>
      <c r="W9" s="21">
        <f>countif('v2010'!E:E,A9)</f>
        <v>0</v>
      </c>
      <c r="X9" s="21">
        <f>countif('v2006'!E:E,A9)</f>
        <v>0</v>
      </c>
      <c r="Y9" s="21">
        <f>countif('v2002'!E:E,A9)</f>
        <v>0</v>
      </c>
      <c r="Z9" s="21">
        <f>countif('v1998'!E:E,A9)</f>
        <v>0</v>
      </c>
    </row>
    <row r="10">
      <c r="A10" s="17" t="s">
        <v>370</v>
      </c>
      <c r="B10" s="18" t="s">
        <v>87</v>
      </c>
      <c r="C10" s="21" t="str">
        <f t="shared" si="9"/>
        <v>Alpha Particle Rms Charge Radius</v>
      </c>
      <c r="D10" s="21" t="str">
        <f t="shared" ref="D10:D360" si="10">UPPER(LEFT(F10,1))&amp;MID(F10,2,LEN(F10))</f>
        <v>Rayon de charge effectif de l aparticule alpha</v>
      </c>
      <c r="E10" s="17" t="s">
        <v>377</v>
      </c>
      <c r="F10" s="17" t="s">
        <v>378</v>
      </c>
      <c r="H10" s="18" t="str">
        <f t="shared" si="3"/>
        <v/>
      </c>
      <c r="I10" s="17" t="str">
        <f>if(H10="","", countif(Units!A:A,H10))</f>
        <v/>
      </c>
      <c r="J10" s="18" t="s">
        <v>87</v>
      </c>
      <c r="K10" s="28">
        <f>countif(Quantities!A:A,J10)</f>
        <v>1</v>
      </c>
      <c r="L10" s="30" t="b">
        <f t="shared" si="4"/>
        <v>1</v>
      </c>
      <c r="M10" s="17"/>
      <c r="N10" s="39" t="str">
        <f t="shared" si="5"/>
        <v/>
      </c>
      <c r="O10" s="18" t="b">
        <f t="shared" si="6"/>
        <v>0</v>
      </c>
      <c r="P10" s="39"/>
      <c r="Q10" s="39"/>
      <c r="R10" s="39" t="str">
        <f t="shared" si="7"/>
        <v/>
      </c>
      <c r="S10" s="43">
        <f t="shared" si="8"/>
        <v>1</v>
      </c>
      <c r="T10" s="21">
        <f>countif('v2022'!E:E,A10)</f>
        <v>1</v>
      </c>
      <c r="U10" s="21">
        <f>countif('v2018'!E:E,A10)</f>
        <v>0</v>
      </c>
      <c r="V10" s="21">
        <f>countif('v2014'!E:E,A10)</f>
        <v>0</v>
      </c>
      <c r="W10" s="21">
        <f>countif('v2010'!E:E,A10)</f>
        <v>0</v>
      </c>
      <c r="X10" s="21">
        <f>countif('v2006'!E:E,A10)</f>
        <v>0</v>
      </c>
      <c r="Y10" s="21">
        <f>countif('v2002'!E:E,A10)</f>
        <v>0</v>
      </c>
      <c r="Z10" s="21">
        <f>countif('v1998'!E:E,A10)</f>
        <v>0</v>
      </c>
    </row>
    <row r="11">
      <c r="A11" s="17" t="s">
        <v>398</v>
      </c>
      <c r="B11" s="18" t="s">
        <v>93</v>
      </c>
      <c r="C11" s="21" t="str">
        <f t="shared" si="9"/>
        <v>Angstrom Star</v>
      </c>
      <c r="D11" s="21" t="str">
        <f t="shared" si="10"/>
        <v>Ångström étoile</v>
      </c>
      <c r="E11" s="17" t="s">
        <v>399</v>
      </c>
      <c r="F11" s="17" t="s">
        <v>400</v>
      </c>
      <c r="G11" s="18" t="s">
        <v>381</v>
      </c>
      <c r="H11" s="18" t="str">
        <f t="shared" si="3"/>
        <v>m</v>
      </c>
      <c r="I11" s="17">
        <f>if(H11="","", countif(Units!A:A,H11))</f>
        <v>1</v>
      </c>
      <c r="J11" s="18" t="s">
        <v>93</v>
      </c>
      <c r="K11" s="28">
        <f>countif(Quantities!A:A,J11)</f>
        <v>1</v>
      </c>
      <c r="L11" s="30" t="b">
        <f t="shared" si="4"/>
        <v>1</v>
      </c>
      <c r="M11" s="17" t="s">
        <v>93</v>
      </c>
      <c r="N11" s="34" t="str">
        <f t="shared" si="5"/>
        <v>qudt</v>
      </c>
      <c r="O11" s="18" t="b">
        <f t="shared" si="6"/>
        <v>1</v>
      </c>
      <c r="P11" s="39"/>
      <c r="Q11" s="39"/>
      <c r="R11" s="39" t="str">
        <f t="shared" si="7"/>
        <v/>
      </c>
      <c r="S11" s="43">
        <f t="shared" si="8"/>
        <v>7</v>
      </c>
      <c r="T11" s="21">
        <f>countif('v2022'!E:E,A11)</f>
        <v>1</v>
      </c>
      <c r="U11" s="21">
        <f>countif('v2018'!E:E,A11)</f>
        <v>1</v>
      </c>
      <c r="V11" s="21">
        <f>countif('v2014'!E:E,A11)</f>
        <v>1</v>
      </c>
      <c r="W11" s="21">
        <f>countif('v2010'!E:E,A11)</f>
        <v>1</v>
      </c>
      <c r="X11" s="21">
        <f>countif('v2006'!E:E,A11)</f>
        <v>1</v>
      </c>
      <c r="Y11" s="21">
        <f>countif('v2002'!E:E,A11)</f>
        <v>1</v>
      </c>
      <c r="Z11" s="21">
        <f>countif('v1998'!E:E,A11)</f>
        <v>1</v>
      </c>
    </row>
    <row r="12">
      <c r="A12" s="17" t="s">
        <v>249</v>
      </c>
      <c r="B12" s="18" t="s">
        <v>102</v>
      </c>
      <c r="C12" s="21" t="str">
        <f t="shared" si="9"/>
        <v>Atomic Mass Constant</v>
      </c>
      <c r="D12" s="21" t="str">
        <f t="shared" si="10"/>
        <v>Constante de masse atomique</v>
      </c>
      <c r="E12" s="17" t="s">
        <v>431</v>
      </c>
      <c r="F12" s="17" t="s">
        <v>435</v>
      </c>
      <c r="G12" s="18" t="s">
        <v>98</v>
      </c>
      <c r="H12" s="18" t="str">
        <f t="shared" si="3"/>
        <v>kg</v>
      </c>
      <c r="I12" s="17">
        <f>if(H12="","", countif(Units!A:A,H12))</f>
        <v>1</v>
      </c>
      <c r="J12" s="18" t="s">
        <v>102</v>
      </c>
      <c r="K12" s="28">
        <f>countif(Quantities!A:A,J12)</f>
        <v>1</v>
      </c>
      <c r="L12" s="30" t="b">
        <f t="shared" si="4"/>
        <v>1</v>
      </c>
      <c r="M12" s="17" t="s">
        <v>102</v>
      </c>
      <c r="N12" s="34" t="str">
        <f t="shared" si="5"/>
        <v>qudt</v>
      </c>
      <c r="O12" s="18" t="b">
        <f t="shared" si="6"/>
        <v>1</v>
      </c>
      <c r="P12" s="39"/>
      <c r="Q12" s="39"/>
      <c r="R12" s="39" t="str">
        <f t="shared" si="7"/>
        <v/>
      </c>
      <c r="S12" s="43">
        <f t="shared" si="8"/>
        <v>7</v>
      </c>
      <c r="T12" s="21">
        <f>countif('v2022'!E:E,A12)</f>
        <v>1</v>
      </c>
      <c r="U12" s="21">
        <f>countif('v2018'!E:E,A12)</f>
        <v>1</v>
      </c>
      <c r="V12" s="21">
        <f>countif('v2014'!E:E,A12)</f>
        <v>1</v>
      </c>
      <c r="W12" s="21">
        <f>countif('v2010'!E:E,A12)</f>
        <v>1</v>
      </c>
      <c r="X12" s="21">
        <f>countif('v2006'!E:E,A12)</f>
        <v>1</v>
      </c>
      <c r="Y12" s="21">
        <f>countif('v2002'!E:E,A12)</f>
        <v>1</v>
      </c>
      <c r="Z12" s="21">
        <f>countif('v1998'!E:E,A12)</f>
        <v>1</v>
      </c>
    </row>
    <row r="13">
      <c r="A13" s="17" t="s">
        <v>450</v>
      </c>
      <c r="B13" s="18" t="s">
        <v>451</v>
      </c>
      <c r="C13" s="17" t="s">
        <v>452</v>
      </c>
      <c r="D13" s="21" t="str">
        <f t="shared" si="10"/>
        <v>Énergie équivalente à la constante de masse atomique</v>
      </c>
      <c r="E13" s="17" t="s">
        <v>453</v>
      </c>
      <c r="F13" s="17" t="s">
        <v>454</v>
      </c>
      <c r="G13" s="18" t="s">
        <v>224</v>
      </c>
      <c r="H13" s="18" t="str">
        <f t="shared" si="3"/>
        <v>MeV</v>
      </c>
      <c r="I13" s="17">
        <f>if(H13="","", countif(Units!A:A,H13))</f>
        <v>1</v>
      </c>
      <c r="J13" s="17" t="s">
        <v>104</v>
      </c>
      <c r="K13" s="28">
        <f>countif(Quantities!A:A,J13)</f>
        <v>1</v>
      </c>
      <c r="L13" s="30" t="b">
        <f t="shared" si="4"/>
        <v>0</v>
      </c>
      <c r="M13" s="17" t="s">
        <v>451</v>
      </c>
      <c r="N13" s="34" t="str">
        <f t="shared" si="5"/>
        <v>qudt</v>
      </c>
      <c r="O13" s="18" t="b">
        <f t="shared" si="6"/>
        <v>1</v>
      </c>
      <c r="P13" s="39"/>
      <c r="Q13" s="39"/>
      <c r="R13" s="39" t="str">
        <f t="shared" si="7"/>
        <v/>
      </c>
      <c r="S13" s="43">
        <f t="shared" si="8"/>
        <v>7</v>
      </c>
      <c r="T13" s="21">
        <f>countif('v2022'!E:E,A13)</f>
        <v>1</v>
      </c>
      <c r="U13" s="21">
        <f>countif('v2018'!E:E,A13)</f>
        <v>1</v>
      </c>
      <c r="V13" s="21">
        <f>countif('v2014'!E:E,A13)</f>
        <v>1</v>
      </c>
      <c r="W13" s="21">
        <f>countif('v2010'!E:E,A13)</f>
        <v>1</v>
      </c>
      <c r="X13" s="21">
        <f>countif('v2006'!E:E,A13)</f>
        <v>1</v>
      </c>
      <c r="Y13" s="21">
        <f>countif('v2002'!E:E,A13)</f>
        <v>1</v>
      </c>
      <c r="Z13" s="21">
        <f>countif('v1998'!E:E,A13)</f>
        <v>1</v>
      </c>
    </row>
    <row r="14">
      <c r="A14" s="17" t="s">
        <v>473</v>
      </c>
      <c r="B14" s="18" t="s">
        <v>107</v>
      </c>
      <c r="C14" s="21" t="str">
        <f t="shared" ref="C14:C46" si="11">proper(E14)</f>
        <v>Atomic Mass Unit - Electronvolt Relationship</v>
      </c>
      <c r="D14" s="21" t="str">
        <f t="shared" si="10"/>
        <v>Relation entre l'unité de masse atomique et l'électronvolt</v>
      </c>
      <c r="E14" s="17" t="s">
        <v>476</v>
      </c>
      <c r="F14" s="17" t="s">
        <v>479</v>
      </c>
      <c r="G14" s="18" t="s">
        <v>181</v>
      </c>
      <c r="H14" s="18" t="str">
        <f t="shared" si="3"/>
        <v>eV</v>
      </c>
      <c r="I14" s="17">
        <f>if(H14="","", countif(Units!A:A,H14))</f>
        <v>1</v>
      </c>
      <c r="J14" s="18" t="s">
        <v>107</v>
      </c>
      <c r="K14" s="28">
        <f>countif(Quantities!A:A,J14)</f>
        <v>1</v>
      </c>
      <c r="L14" s="30" t="b">
        <f t="shared" si="4"/>
        <v>1</v>
      </c>
      <c r="M14" s="17" t="s">
        <v>107</v>
      </c>
      <c r="N14" s="34" t="str">
        <f t="shared" si="5"/>
        <v>qudt</v>
      </c>
      <c r="O14" s="18" t="b">
        <f t="shared" si="6"/>
        <v>1</v>
      </c>
      <c r="P14" s="39"/>
      <c r="Q14" s="39"/>
      <c r="R14" s="39" t="str">
        <f t="shared" si="7"/>
        <v/>
      </c>
      <c r="S14" s="43">
        <f t="shared" si="8"/>
        <v>7</v>
      </c>
      <c r="T14" s="21">
        <f>countif('v2022'!E:E,A14)</f>
        <v>1</v>
      </c>
      <c r="U14" s="21">
        <f>countif('v2018'!E:E,A14)</f>
        <v>1</v>
      </c>
      <c r="V14" s="21">
        <f>countif('v2014'!E:E,A14)</f>
        <v>1</v>
      </c>
      <c r="W14" s="21">
        <f>countif('v2010'!E:E,A14)</f>
        <v>1</v>
      </c>
      <c r="X14" s="21">
        <f>countif('v2006'!E:E,A14)</f>
        <v>1</v>
      </c>
      <c r="Y14" s="21">
        <f>countif('v2002'!E:E,A14)</f>
        <v>1</v>
      </c>
      <c r="Z14" s="21">
        <f>countif('v1998'!E:E,A14)</f>
        <v>1</v>
      </c>
    </row>
    <row r="15">
      <c r="A15" s="17" t="s">
        <v>499</v>
      </c>
      <c r="B15" s="18" t="s">
        <v>110</v>
      </c>
      <c r="C15" s="21" t="str">
        <f t="shared" si="11"/>
        <v>Atomic Mass Unit - Hartree Relationship</v>
      </c>
      <c r="D15" s="21" t="str">
        <f t="shared" si="10"/>
        <v>Relation entre l'unité de masse atomique et le hartree</v>
      </c>
      <c r="E15" s="17" t="s">
        <v>502</v>
      </c>
      <c r="F15" s="17" t="s">
        <v>503</v>
      </c>
      <c r="G15" s="18" t="s">
        <v>170</v>
      </c>
      <c r="H15" s="18" t="str">
        <f t="shared" si="3"/>
        <v>E_h</v>
      </c>
      <c r="I15" s="17">
        <f>if(H15="","", countif(Units!A:A,H15))</f>
        <v>1</v>
      </c>
      <c r="J15" s="18" t="s">
        <v>110</v>
      </c>
      <c r="K15" s="28">
        <f>countif(Quantities!A:A,J15)</f>
        <v>1</v>
      </c>
      <c r="L15" s="30" t="b">
        <f t="shared" si="4"/>
        <v>1</v>
      </c>
      <c r="M15" s="17" t="s">
        <v>110</v>
      </c>
      <c r="N15" s="34" t="str">
        <f t="shared" si="5"/>
        <v>qudt</v>
      </c>
      <c r="O15" s="18" t="b">
        <f t="shared" si="6"/>
        <v>1</v>
      </c>
      <c r="P15" s="39"/>
      <c r="Q15" s="39"/>
      <c r="R15" s="39" t="str">
        <f t="shared" si="7"/>
        <v/>
      </c>
      <c r="S15" s="43">
        <f t="shared" si="8"/>
        <v>7</v>
      </c>
      <c r="T15" s="21">
        <f>countif('v2022'!E:E,A15)</f>
        <v>1</v>
      </c>
      <c r="U15" s="21">
        <f>countif('v2018'!E:E,A15)</f>
        <v>1</v>
      </c>
      <c r="V15" s="21">
        <f>countif('v2014'!E:E,A15)</f>
        <v>1</v>
      </c>
      <c r="W15" s="21">
        <f>countif('v2010'!E:E,A15)</f>
        <v>1</v>
      </c>
      <c r="X15" s="21">
        <f>countif('v2006'!E:E,A15)</f>
        <v>1</v>
      </c>
      <c r="Y15" s="21">
        <f>countif('v2002'!E:E,A15)</f>
        <v>1</v>
      </c>
      <c r="Z15" s="21">
        <f>countif('v1998'!E:E,A15)</f>
        <v>1</v>
      </c>
    </row>
    <row r="16">
      <c r="A16" s="17" t="s">
        <v>524</v>
      </c>
      <c r="B16" s="18" t="s">
        <v>114</v>
      </c>
      <c r="C16" s="21" t="str">
        <f t="shared" si="11"/>
        <v>Atomic Mass Unit - Hertz Relationship</v>
      </c>
      <c r="D16" s="21" t="str">
        <f t="shared" si="10"/>
        <v>Relation entre l'unité de masse atomique et le hertz</v>
      </c>
      <c r="E16" s="17" t="s">
        <v>525</v>
      </c>
      <c r="F16" s="17" t="s">
        <v>527</v>
      </c>
      <c r="G16" s="18" t="s">
        <v>257</v>
      </c>
      <c r="H16" s="18" t="str">
        <f t="shared" si="3"/>
        <v>Hz</v>
      </c>
      <c r="I16" s="17">
        <f>if(H16="","", countif(Units!A:A,H16))</f>
        <v>1</v>
      </c>
      <c r="J16" s="18" t="s">
        <v>114</v>
      </c>
      <c r="K16" s="28">
        <f>countif(Quantities!A:A,J16)</f>
        <v>1</v>
      </c>
      <c r="L16" s="30" t="b">
        <f t="shared" si="4"/>
        <v>1</v>
      </c>
      <c r="M16" s="17" t="s">
        <v>114</v>
      </c>
      <c r="N16" s="34" t="str">
        <f t="shared" si="5"/>
        <v>qudt</v>
      </c>
      <c r="O16" s="18" t="b">
        <f t="shared" si="6"/>
        <v>1</v>
      </c>
      <c r="P16" s="39"/>
      <c r="Q16" s="39"/>
      <c r="R16" s="39" t="str">
        <f t="shared" si="7"/>
        <v/>
      </c>
      <c r="S16" s="43">
        <f t="shared" si="8"/>
        <v>7</v>
      </c>
      <c r="T16" s="21">
        <f>countif('v2022'!E:E,A16)</f>
        <v>1</v>
      </c>
      <c r="U16" s="21">
        <f>countif('v2018'!E:E,A16)</f>
        <v>1</v>
      </c>
      <c r="V16" s="21">
        <f>countif('v2014'!E:E,A16)</f>
        <v>1</v>
      </c>
      <c r="W16" s="21">
        <f>countif('v2010'!E:E,A16)</f>
        <v>1</v>
      </c>
      <c r="X16" s="21">
        <f>countif('v2006'!E:E,A16)</f>
        <v>1</v>
      </c>
      <c r="Y16" s="21">
        <f>countif('v2002'!E:E,A16)</f>
        <v>1</v>
      </c>
      <c r="Z16" s="21">
        <f>countif('v1998'!E:E,A16)</f>
        <v>1</v>
      </c>
    </row>
    <row r="17">
      <c r="A17" s="17" t="s">
        <v>557</v>
      </c>
      <c r="B17" s="18" t="s">
        <v>116</v>
      </c>
      <c r="C17" s="21" t="str">
        <f t="shared" si="11"/>
        <v>Atomic Mass Unit - Inverse Meter Relationship</v>
      </c>
      <c r="D17" s="21" t="str">
        <f t="shared" si="10"/>
        <v>Relation entre l'unité de masse atomique et l'inverse du mètre</v>
      </c>
      <c r="E17" s="17" t="s">
        <v>559</v>
      </c>
      <c r="F17" s="17" t="s">
        <v>560</v>
      </c>
      <c r="G17" s="18" t="s">
        <v>561</v>
      </c>
      <c r="H17" s="18" t="str">
        <f t="shared" si="3"/>
        <v>m-1</v>
      </c>
      <c r="I17" s="17">
        <f>if(H17="","", countif(Units!A:A,H17))</f>
        <v>1</v>
      </c>
      <c r="J17" s="18" t="s">
        <v>116</v>
      </c>
      <c r="K17" s="28">
        <f>countif(Quantities!A:A,J17)</f>
        <v>1</v>
      </c>
      <c r="L17" s="30" t="b">
        <f t="shared" si="4"/>
        <v>1</v>
      </c>
      <c r="M17" s="17" t="s">
        <v>116</v>
      </c>
      <c r="N17" s="34" t="str">
        <f t="shared" si="5"/>
        <v>qudt</v>
      </c>
      <c r="O17" s="18" t="b">
        <f t="shared" si="6"/>
        <v>1</v>
      </c>
      <c r="P17" s="39"/>
      <c r="Q17" s="39"/>
      <c r="R17" s="39" t="str">
        <f t="shared" si="7"/>
        <v/>
      </c>
      <c r="S17" s="43">
        <f t="shared" si="8"/>
        <v>7</v>
      </c>
      <c r="T17" s="21">
        <f>countif('v2022'!E:E,A17)</f>
        <v>1</v>
      </c>
      <c r="U17" s="21">
        <f>countif('v2018'!E:E,A17)</f>
        <v>1</v>
      </c>
      <c r="V17" s="21">
        <f>countif('v2014'!E:E,A17)</f>
        <v>1</v>
      </c>
      <c r="W17" s="21">
        <f>countif('v2010'!E:E,A17)</f>
        <v>1</v>
      </c>
      <c r="X17" s="21">
        <f>countif('v2006'!E:E,A17)</f>
        <v>1</v>
      </c>
      <c r="Y17" s="21">
        <f>countif('v2002'!E:E,A17)</f>
        <v>1</v>
      </c>
      <c r="Z17" s="21">
        <f>countif('v1998'!E:E,A17)</f>
        <v>1</v>
      </c>
    </row>
    <row r="18">
      <c r="A18" s="17" t="s">
        <v>582</v>
      </c>
      <c r="B18" s="18" t="s">
        <v>118</v>
      </c>
      <c r="C18" s="21" t="str">
        <f t="shared" si="11"/>
        <v>Atomic Mass Unit - Joule Relationship</v>
      </c>
      <c r="D18" s="21" t="str">
        <f t="shared" si="10"/>
        <v>Relation entre l'unité de masse atomique et le joule</v>
      </c>
      <c r="E18" s="17" t="s">
        <v>583</v>
      </c>
      <c r="F18" s="17" t="s">
        <v>584</v>
      </c>
      <c r="G18" s="18" t="s">
        <v>173</v>
      </c>
      <c r="H18" s="18" t="str">
        <f t="shared" si="3"/>
        <v>J</v>
      </c>
      <c r="I18" s="17">
        <f>if(H18="","", countif(Units!A:A,H18))</f>
        <v>1</v>
      </c>
      <c r="J18" s="18" t="s">
        <v>118</v>
      </c>
      <c r="K18" s="28">
        <f>countif(Quantities!A:A,J18)</f>
        <v>1</v>
      </c>
      <c r="L18" s="30" t="b">
        <f t="shared" si="4"/>
        <v>1</v>
      </c>
      <c r="M18" s="17" t="s">
        <v>118</v>
      </c>
      <c r="N18" s="34" t="str">
        <f t="shared" si="5"/>
        <v>qudt</v>
      </c>
      <c r="O18" s="18" t="b">
        <f t="shared" si="6"/>
        <v>1</v>
      </c>
      <c r="P18" s="39"/>
      <c r="Q18" s="39"/>
      <c r="R18" s="39" t="str">
        <f t="shared" si="7"/>
        <v/>
      </c>
      <c r="S18" s="43">
        <f t="shared" si="8"/>
        <v>7</v>
      </c>
      <c r="T18" s="21">
        <f>countif('v2022'!E:E,A18)</f>
        <v>1</v>
      </c>
      <c r="U18" s="21">
        <f>countif('v2018'!E:E,A18)</f>
        <v>1</v>
      </c>
      <c r="V18" s="21">
        <f>countif('v2014'!E:E,A18)</f>
        <v>1</v>
      </c>
      <c r="W18" s="21">
        <f>countif('v2010'!E:E,A18)</f>
        <v>1</v>
      </c>
      <c r="X18" s="21">
        <f>countif('v2006'!E:E,A18)</f>
        <v>1</v>
      </c>
      <c r="Y18" s="21">
        <f>countif('v2002'!E:E,A18)</f>
        <v>1</v>
      </c>
      <c r="Z18" s="21">
        <f>countif('v1998'!E:E,A18)</f>
        <v>1</v>
      </c>
    </row>
    <row r="19">
      <c r="A19" s="17" t="s">
        <v>617</v>
      </c>
      <c r="B19" s="18" t="s">
        <v>104</v>
      </c>
      <c r="C19" s="21" t="str">
        <f t="shared" si="11"/>
        <v>Atomic Mass Constant Energy Equivalent</v>
      </c>
      <c r="D19" s="21" t="str">
        <f t="shared" si="10"/>
        <v>Énergie équivalente à la constante de masse atomique</v>
      </c>
      <c r="E19" s="17" t="s">
        <v>619</v>
      </c>
      <c r="F19" s="17" t="s">
        <v>454</v>
      </c>
      <c r="G19" s="18" t="s">
        <v>173</v>
      </c>
      <c r="H19" s="18" t="str">
        <f t="shared" si="3"/>
        <v>J</v>
      </c>
      <c r="I19" s="17">
        <f>if(H19="","", countif(Units!A:A,H19))</f>
        <v>1</v>
      </c>
      <c r="J19" s="17" t="s">
        <v>104</v>
      </c>
      <c r="K19" s="28">
        <f>countif(Quantities!A:A,J19)</f>
        <v>1</v>
      </c>
      <c r="L19" s="30" t="b">
        <f t="shared" si="4"/>
        <v>1</v>
      </c>
      <c r="M19" s="17" t="s">
        <v>104</v>
      </c>
      <c r="N19" s="34" t="str">
        <f t="shared" si="5"/>
        <v>qudt</v>
      </c>
      <c r="O19" s="18" t="b">
        <f t="shared" si="6"/>
        <v>1</v>
      </c>
      <c r="P19" s="39"/>
      <c r="Q19" s="39"/>
      <c r="R19" s="39" t="str">
        <f t="shared" si="7"/>
        <v/>
      </c>
      <c r="S19" s="43">
        <f t="shared" si="8"/>
        <v>7</v>
      </c>
      <c r="T19" s="21">
        <f>countif('v2022'!E:E,A19)</f>
        <v>1</v>
      </c>
      <c r="U19" s="21">
        <f>countif('v2018'!E:E,A19)</f>
        <v>1</v>
      </c>
      <c r="V19" s="21">
        <f>countif('v2014'!E:E,A19)</f>
        <v>1</v>
      </c>
      <c r="W19" s="21">
        <f>countif('v2010'!E:E,A19)</f>
        <v>1</v>
      </c>
      <c r="X19" s="21">
        <f>countif('v2006'!E:E,A19)</f>
        <v>1</v>
      </c>
      <c r="Y19" s="21">
        <f>countif('v2002'!E:E,A19)</f>
        <v>1</v>
      </c>
      <c r="Z19" s="21">
        <f>countif('v1998'!E:E,A19)</f>
        <v>1</v>
      </c>
    </row>
    <row r="20">
      <c r="A20" s="17" t="s">
        <v>633</v>
      </c>
      <c r="B20" s="18" t="s">
        <v>122</v>
      </c>
      <c r="C20" s="21" t="str">
        <f t="shared" si="11"/>
        <v>Atomic Mass Unit - Kelvin Relationship</v>
      </c>
      <c r="D20" s="21" t="str">
        <f t="shared" si="10"/>
        <v>Relation entre l'unité de masse atomique et le kelvin</v>
      </c>
      <c r="E20" s="17" t="s">
        <v>634</v>
      </c>
      <c r="F20" s="17" t="s">
        <v>635</v>
      </c>
      <c r="G20" s="18" t="s">
        <v>345</v>
      </c>
      <c r="H20" s="18" t="str">
        <f t="shared" si="3"/>
        <v>K</v>
      </c>
      <c r="I20" s="17">
        <f>if(H20="","", countif(Units!A:A,H20))</f>
        <v>1</v>
      </c>
      <c r="J20" s="18" t="s">
        <v>122</v>
      </c>
      <c r="K20" s="28">
        <f>countif(Quantities!A:A,J20)</f>
        <v>1</v>
      </c>
      <c r="L20" s="30" t="b">
        <f t="shared" si="4"/>
        <v>1</v>
      </c>
      <c r="M20" s="17" t="s">
        <v>122</v>
      </c>
      <c r="N20" s="34" t="str">
        <f t="shared" si="5"/>
        <v>qudt</v>
      </c>
      <c r="O20" s="18" t="b">
        <f t="shared" si="6"/>
        <v>1</v>
      </c>
      <c r="P20" s="39"/>
      <c r="Q20" s="39"/>
      <c r="R20" s="39" t="str">
        <f t="shared" si="7"/>
        <v/>
      </c>
      <c r="S20" s="43">
        <f t="shared" si="8"/>
        <v>7</v>
      </c>
      <c r="T20" s="21">
        <f>countif('v2022'!E:E,A20)</f>
        <v>1</v>
      </c>
      <c r="U20" s="21">
        <f>countif('v2018'!E:E,A20)</f>
        <v>1</v>
      </c>
      <c r="V20" s="21">
        <f>countif('v2014'!E:E,A20)</f>
        <v>1</v>
      </c>
      <c r="W20" s="21">
        <f>countif('v2010'!E:E,A20)</f>
        <v>1</v>
      </c>
      <c r="X20" s="21">
        <f>countif('v2006'!E:E,A20)</f>
        <v>1</v>
      </c>
      <c r="Y20" s="21">
        <f>countif('v2002'!E:E,A20)</f>
        <v>1</v>
      </c>
      <c r="Z20" s="21">
        <f>countif('v1998'!E:E,A20)</f>
        <v>1</v>
      </c>
    </row>
    <row r="21">
      <c r="A21" s="17" t="s">
        <v>649</v>
      </c>
      <c r="B21" s="18" t="s">
        <v>124</v>
      </c>
      <c r="C21" s="21" t="str">
        <f t="shared" si="11"/>
        <v>Atomic Mass Unit - Kilogram Relationship</v>
      </c>
      <c r="D21" s="21" t="str">
        <f t="shared" si="10"/>
        <v>Relation entre l'unité de masse atomique et le kilogramme</v>
      </c>
      <c r="E21" s="17" t="s">
        <v>652</v>
      </c>
      <c r="F21" s="17" t="s">
        <v>653</v>
      </c>
      <c r="G21" s="18" t="s">
        <v>98</v>
      </c>
      <c r="H21" s="18" t="str">
        <f t="shared" si="3"/>
        <v>kg</v>
      </c>
      <c r="I21" s="17">
        <f>if(H21="","", countif(Units!A:A,H21))</f>
        <v>1</v>
      </c>
      <c r="J21" s="18" t="s">
        <v>124</v>
      </c>
      <c r="K21" s="28">
        <f>countif(Quantities!A:A,J21)</f>
        <v>1</v>
      </c>
      <c r="L21" s="30" t="b">
        <f t="shared" si="4"/>
        <v>1</v>
      </c>
      <c r="M21" s="17" t="s">
        <v>124</v>
      </c>
      <c r="N21" s="34" t="str">
        <f t="shared" si="5"/>
        <v>qudt</v>
      </c>
      <c r="O21" s="18" t="b">
        <f t="shared" si="6"/>
        <v>1</v>
      </c>
      <c r="P21" s="39"/>
      <c r="Q21" s="39"/>
      <c r="R21" s="39" t="str">
        <f t="shared" si="7"/>
        <v/>
      </c>
      <c r="S21" s="43">
        <f t="shared" si="8"/>
        <v>7</v>
      </c>
      <c r="T21" s="21">
        <f>countif('v2022'!E:E,A21)</f>
        <v>1</v>
      </c>
      <c r="U21" s="21">
        <f>countif('v2018'!E:E,A21)</f>
        <v>1</v>
      </c>
      <c r="V21" s="21">
        <f>countif('v2014'!E:E,A21)</f>
        <v>1</v>
      </c>
      <c r="W21" s="21">
        <f>countif('v2010'!E:E,A21)</f>
        <v>1</v>
      </c>
      <c r="X21" s="21">
        <f>countif('v2006'!E:E,A21)</f>
        <v>1</v>
      </c>
      <c r="Y21" s="21">
        <f>countif('v2002'!E:E,A21)</f>
        <v>1</v>
      </c>
      <c r="Z21" s="21">
        <f>countif('v1998'!E:E,A21)</f>
        <v>1</v>
      </c>
    </row>
    <row r="22">
      <c r="A22" s="17" t="s">
        <v>673</v>
      </c>
      <c r="B22" s="17" t="s">
        <v>129</v>
      </c>
      <c r="C22" s="21" t="str">
        <f t="shared" si="11"/>
        <v>Atomic Unit Of First Hyperpolarizability</v>
      </c>
      <c r="D22" s="21" t="str">
        <f t="shared" si="10"/>
        <v>Unité atomique de première hypolarisabilité</v>
      </c>
      <c r="E22" s="17" t="s">
        <v>674</v>
      </c>
      <c r="F22" s="17" t="s">
        <v>675</v>
      </c>
      <c r="G22" s="18" t="s">
        <v>676</v>
      </c>
      <c r="H22" s="18" t="str">
        <f t="shared" si="3"/>
        <v>C3_m3_J-2</v>
      </c>
      <c r="I22" s="17">
        <f>if(H22="","", countif(Units!A:A,H22))</f>
        <v>1</v>
      </c>
      <c r="J22" s="17" t="s">
        <v>129</v>
      </c>
      <c r="K22" s="28">
        <f>countif(Quantities!A:A,J22)</f>
        <v>1</v>
      </c>
      <c r="L22" s="30" t="b">
        <f t="shared" si="4"/>
        <v>1</v>
      </c>
      <c r="M22" s="17" t="s">
        <v>681</v>
      </c>
      <c r="N22" s="34" t="str">
        <f t="shared" si="5"/>
        <v>qudt</v>
      </c>
      <c r="O22" s="18" t="b">
        <f t="shared" si="6"/>
        <v>1</v>
      </c>
      <c r="P22" s="39"/>
      <c r="Q22" s="39"/>
      <c r="R22" s="39" t="str">
        <f t="shared" si="7"/>
        <v/>
      </c>
      <c r="S22" s="43">
        <f t="shared" si="8"/>
        <v>7</v>
      </c>
      <c r="T22" s="21">
        <f>countif('v2022'!E:E,A22)</f>
        <v>1</v>
      </c>
      <c r="U22" s="21">
        <f>countif('v2018'!E:E,A22)</f>
        <v>1</v>
      </c>
      <c r="V22" s="21">
        <f>countif('v2014'!E:E,A22)</f>
        <v>1</v>
      </c>
      <c r="W22" s="21">
        <f>countif('v2010'!E:E,A22)</f>
        <v>1</v>
      </c>
      <c r="X22" s="21">
        <f>countif('v2006'!E:E,A22)</f>
        <v>1</v>
      </c>
      <c r="Y22" s="21">
        <f>countif('v2002'!E:E,A22)</f>
        <v>1</v>
      </c>
      <c r="Z22" s="21">
        <f>countif('v1998'!E:E,A22)</f>
        <v>1</v>
      </c>
    </row>
    <row r="23">
      <c r="A23" s="17" t="s">
        <v>695</v>
      </c>
      <c r="B23" s="17" t="s">
        <v>132</v>
      </c>
      <c r="C23" s="21" t="str">
        <f t="shared" si="11"/>
        <v>Atomic Unit Of Second Hyperpolarizability</v>
      </c>
      <c r="D23" s="21" t="str">
        <f t="shared" si="10"/>
        <v>Unité atomique de seconde hypolarisabilité</v>
      </c>
      <c r="E23" s="17" t="s">
        <v>696</v>
      </c>
      <c r="F23" s="17" t="s">
        <v>697</v>
      </c>
      <c r="G23" s="18" t="s">
        <v>698</v>
      </c>
      <c r="H23" s="18" t="str">
        <f t="shared" si="3"/>
        <v>C4_m4_J-3</v>
      </c>
      <c r="I23" s="17">
        <f>if(H23="","", countif(Units!A:A,H23))</f>
        <v>1</v>
      </c>
      <c r="J23" s="17" t="s">
        <v>132</v>
      </c>
      <c r="K23" s="28">
        <f>countif(Quantities!A:A,J23)</f>
        <v>1</v>
      </c>
      <c r="L23" s="30" t="b">
        <f t="shared" si="4"/>
        <v>1</v>
      </c>
      <c r="M23" s="17" t="s">
        <v>701</v>
      </c>
      <c r="N23" s="34" t="str">
        <f t="shared" si="5"/>
        <v>qudt</v>
      </c>
      <c r="O23" s="18" t="b">
        <f t="shared" si="6"/>
        <v>1</v>
      </c>
      <c r="P23" s="39"/>
      <c r="Q23" s="39"/>
      <c r="R23" s="39" t="str">
        <f t="shared" si="7"/>
        <v/>
      </c>
      <c r="S23" s="43">
        <f t="shared" si="8"/>
        <v>7</v>
      </c>
      <c r="T23" s="21">
        <f>countif('v2022'!E:E,A23)</f>
        <v>1</v>
      </c>
      <c r="U23" s="21">
        <f>countif('v2018'!E:E,A23)</f>
        <v>1</v>
      </c>
      <c r="V23" s="21">
        <f>countif('v2014'!E:E,A23)</f>
        <v>1</v>
      </c>
      <c r="W23" s="21">
        <f>countif('v2010'!E:E,A23)</f>
        <v>1</v>
      </c>
      <c r="X23" s="21">
        <f>countif('v2006'!E:E,A23)</f>
        <v>1</v>
      </c>
      <c r="Y23" s="21">
        <f>countif('v2002'!E:E,A23)</f>
        <v>1</v>
      </c>
      <c r="Z23" s="21">
        <f>countif('v1998'!E:E,A23)</f>
        <v>1</v>
      </c>
    </row>
    <row r="24">
      <c r="A24" s="17" t="s">
        <v>711</v>
      </c>
      <c r="B24" s="18" t="s">
        <v>138</v>
      </c>
      <c r="C24" s="21" t="str">
        <f t="shared" si="11"/>
        <v>Atomic Unit Of Action</v>
      </c>
      <c r="D24" s="21" t="str">
        <f t="shared" si="10"/>
        <v>Unité atomique d'action</v>
      </c>
      <c r="E24" s="17" t="s">
        <v>712</v>
      </c>
      <c r="F24" s="17" t="s">
        <v>713</v>
      </c>
      <c r="G24" s="18" t="s">
        <v>714</v>
      </c>
      <c r="H24" s="18" t="str">
        <f t="shared" si="3"/>
        <v>J_s</v>
      </c>
      <c r="I24" s="17">
        <f>if(H24="","", countif(Units!A:A,H24))</f>
        <v>1</v>
      </c>
      <c r="J24" s="18" t="s">
        <v>138</v>
      </c>
      <c r="K24" s="28">
        <f>countif(Quantities!A:A,J24)</f>
        <v>1</v>
      </c>
      <c r="L24" s="30" t="b">
        <f t="shared" si="4"/>
        <v>1</v>
      </c>
      <c r="M24" s="17" t="s">
        <v>138</v>
      </c>
      <c r="N24" s="34" t="str">
        <f t="shared" si="5"/>
        <v>qudt</v>
      </c>
      <c r="O24" s="18" t="b">
        <f t="shared" si="6"/>
        <v>1</v>
      </c>
      <c r="P24" s="39"/>
      <c r="Q24" s="39"/>
      <c r="R24" s="39" t="str">
        <f t="shared" si="7"/>
        <v/>
      </c>
      <c r="S24" s="43">
        <f t="shared" si="8"/>
        <v>7</v>
      </c>
      <c r="T24" s="21">
        <f>countif('v2022'!E:E,A24)</f>
        <v>1</v>
      </c>
      <c r="U24" s="21">
        <f>countif('v2018'!E:E,A24)</f>
        <v>1</v>
      </c>
      <c r="V24" s="21">
        <f>countif('v2014'!E:E,A24)</f>
        <v>1</v>
      </c>
      <c r="W24" s="21">
        <f>countif('v2010'!E:E,A24)</f>
        <v>1</v>
      </c>
      <c r="X24" s="21">
        <f>countif('v2006'!E:E,A24)</f>
        <v>1</v>
      </c>
      <c r="Y24" s="21">
        <f>countif('v2002'!E:E,A24)</f>
        <v>1</v>
      </c>
      <c r="Z24" s="21">
        <f>countif('v1998'!E:E,A24)</f>
        <v>1</v>
      </c>
    </row>
    <row r="25">
      <c r="A25" s="17" t="s">
        <v>728</v>
      </c>
      <c r="B25" s="18" t="s">
        <v>143</v>
      </c>
      <c r="C25" s="21" t="str">
        <f t="shared" si="11"/>
        <v>Atomic Unit Of Charge</v>
      </c>
      <c r="D25" s="21" t="str">
        <f t="shared" si="10"/>
        <v>Unité atomique de charge</v>
      </c>
      <c r="E25" s="17" t="s">
        <v>729</v>
      </c>
      <c r="F25" s="17" t="s">
        <v>730</v>
      </c>
      <c r="G25" s="18" t="s">
        <v>81</v>
      </c>
      <c r="H25" s="18" t="str">
        <f t="shared" si="3"/>
        <v>C</v>
      </c>
      <c r="I25" s="17">
        <f>if(H25="","", countif(Units!A:A,H25))</f>
        <v>1</v>
      </c>
      <c r="J25" s="18" t="s">
        <v>143</v>
      </c>
      <c r="K25" s="28">
        <f>countif(Quantities!A:A,J25)</f>
        <v>1</v>
      </c>
      <c r="L25" s="30" t="b">
        <f t="shared" si="4"/>
        <v>1</v>
      </c>
      <c r="M25" s="17" t="s">
        <v>143</v>
      </c>
      <c r="N25" s="34" t="str">
        <f t="shared" si="5"/>
        <v>qudt</v>
      </c>
      <c r="O25" s="18" t="b">
        <f t="shared" si="6"/>
        <v>1</v>
      </c>
      <c r="P25" s="39" t="s">
        <v>733</v>
      </c>
      <c r="Q25" s="39"/>
      <c r="R25" s="39" t="str">
        <f t="shared" si="7"/>
        <v/>
      </c>
      <c r="S25" s="43">
        <f t="shared" si="8"/>
        <v>11</v>
      </c>
      <c r="T25" s="21">
        <f>countif('v2022'!E:E,A25)</f>
        <v>2</v>
      </c>
      <c r="U25" s="21">
        <f>countif('v2018'!E:E,A25)</f>
        <v>2</v>
      </c>
      <c r="V25" s="21">
        <f>countif('v2014'!E:E,A25)</f>
        <v>2</v>
      </c>
      <c r="W25" s="21">
        <f>countif('v2010'!E:E,A25)</f>
        <v>2</v>
      </c>
      <c r="X25" s="21">
        <f>countif('v2006'!E:E,A25)</f>
        <v>1</v>
      </c>
      <c r="Y25" s="21">
        <f>countif('v2002'!E:E,A25)</f>
        <v>1</v>
      </c>
      <c r="Z25" s="21">
        <f>countif('v1998'!E:E,A25)</f>
        <v>1</v>
      </c>
    </row>
    <row r="26">
      <c r="A26" s="17" t="s">
        <v>739</v>
      </c>
      <c r="B26" s="18" t="s">
        <v>146</v>
      </c>
      <c r="C26" s="21" t="str">
        <f t="shared" si="11"/>
        <v>Atomic Unit Of Charge Density</v>
      </c>
      <c r="D26" s="21" t="str">
        <f t="shared" si="10"/>
        <v>Unité atomique de densité de charge</v>
      </c>
      <c r="E26" s="17" t="s">
        <v>742</v>
      </c>
      <c r="F26" s="17" t="s">
        <v>743</v>
      </c>
      <c r="G26" s="18" t="s">
        <v>744</v>
      </c>
      <c r="H26" s="18" t="str">
        <f t="shared" si="3"/>
        <v>C_m-3</v>
      </c>
      <c r="I26" s="17">
        <f>if(H26="","", countif(Units!A:A,H26))</f>
        <v>1</v>
      </c>
      <c r="J26" s="18" t="s">
        <v>146</v>
      </c>
      <c r="K26" s="28">
        <f>countif(Quantities!A:A,J26)</f>
        <v>1</v>
      </c>
      <c r="L26" s="30" t="b">
        <f t="shared" si="4"/>
        <v>1</v>
      </c>
      <c r="M26" s="17" t="s">
        <v>146</v>
      </c>
      <c r="N26" s="34" t="str">
        <f t="shared" si="5"/>
        <v>qudt</v>
      </c>
      <c r="O26" s="18" t="b">
        <f t="shared" si="6"/>
        <v>1</v>
      </c>
      <c r="P26" s="39"/>
      <c r="Q26" s="39"/>
      <c r="R26" s="39" t="str">
        <f t="shared" si="7"/>
        <v/>
      </c>
      <c r="S26" s="43">
        <f t="shared" si="8"/>
        <v>7</v>
      </c>
      <c r="T26" s="21">
        <f>countif('v2022'!E:E,A26)</f>
        <v>1</v>
      </c>
      <c r="U26" s="21">
        <f>countif('v2018'!E:E,A26)</f>
        <v>1</v>
      </c>
      <c r="V26" s="21">
        <f>countif('v2014'!E:E,A26)</f>
        <v>1</v>
      </c>
      <c r="W26" s="21">
        <f>countif('v2010'!E:E,A26)</f>
        <v>1</v>
      </c>
      <c r="X26" s="21">
        <f>countif('v2006'!E:E,A26)</f>
        <v>1</v>
      </c>
      <c r="Y26" s="21">
        <f>countif('v2002'!E:E,A26)</f>
        <v>1</v>
      </c>
      <c r="Z26" s="21">
        <f>countif('v1998'!E:E,A26)</f>
        <v>1</v>
      </c>
    </row>
    <row r="27">
      <c r="A27" s="17" t="s">
        <v>755</v>
      </c>
      <c r="B27" s="18" t="s">
        <v>153</v>
      </c>
      <c r="C27" s="21" t="str">
        <f t="shared" si="11"/>
        <v>Atomic Unit Of Current</v>
      </c>
      <c r="D27" s="21" t="str">
        <f t="shared" si="10"/>
        <v>Unité atomique de courant</v>
      </c>
      <c r="E27" s="17" t="s">
        <v>756</v>
      </c>
      <c r="F27" s="17" t="s">
        <v>757</v>
      </c>
      <c r="G27" s="18" t="s">
        <v>55</v>
      </c>
      <c r="H27" s="18" t="str">
        <f t="shared" si="3"/>
        <v>A</v>
      </c>
      <c r="I27" s="17">
        <f>if(H27="","", countif(Units!A:A,H27))</f>
        <v>1</v>
      </c>
      <c r="J27" s="18" t="s">
        <v>153</v>
      </c>
      <c r="K27" s="28">
        <f>countif(Quantities!A:A,J27)</f>
        <v>1</v>
      </c>
      <c r="L27" s="30" t="b">
        <f t="shared" si="4"/>
        <v>1</v>
      </c>
      <c r="M27" s="17" t="s">
        <v>153</v>
      </c>
      <c r="N27" s="34" t="str">
        <f t="shared" si="5"/>
        <v>qudt</v>
      </c>
      <c r="O27" s="18" t="b">
        <f t="shared" si="6"/>
        <v>1</v>
      </c>
      <c r="P27" s="39"/>
      <c r="Q27" s="39"/>
      <c r="R27" s="39" t="str">
        <f t="shared" si="7"/>
        <v/>
      </c>
      <c r="S27" s="43">
        <f t="shared" si="8"/>
        <v>7</v>
      </c>
      <c r="T27" s="21">
        <f>countif('v2022'!E:E,A27)</f>
        <v>1</v>
      </c>
      <c r="U27" s="21">
        <f>countif('v2018'!E:E,A27)</f>
        <v>1</v>
      </c>
      <c r="V27" s="21">
        <f>countif('v2014'!E:E,A27)</f>
        <v>1</v>
      </c>
      <c r="W27" s="21">
        <f>countif('v2010'!E:E,A27)</f>
        <v>1</v>
      </c>
      <c r="X27" s="21">
        <f>countif('v2006'!E:E,A27)</f>
        <v>1</v>
      </c>
      <c r="Y27" s="21">
        <f>countif('v2002'!E:E,A27)</f>
        <v>1</v>
      </c>
      <c r="Z27" s="21">
        <f>countif('v1998'!E:E,A27)</f>
        <v>1</v>
      </c>
    </row>
    <row r="28">
      <c r="A28" s="17" t="s">
        <v>768</v>
      </c>
      <c r="B28" s="17" t="s">
        <v>159</v>
      </c>
      <c r="C28" s="21" t="str">
        <f t="shared" si="11"/>
        <v>Atomic Unit Of Electric Dipole Moment</v>
      </c>
      <c r="D28" s="21" t="str">
        <f t="shared" si="10"/>
        <v>Unité atomique de moment dipolaire électrique</v>
      </c>
      <c r="E28" s="17" t="s">
        <v>770</v>
      </c>
      <c r="F28" s="17" t="s">
        <v>771</v>
      </c>
      <c r="G28" s="18" t="s">
        <v>772</v>
      </c>
      <c r="H28" s="18" t="str">
        <f t="shared" si="3"/>
        <v>C_m</v>
      </c>
      <c r="I28" s="17">
        <f>if(H28="","", countif(Units!A:A,H28))</f>
        <v>1</v>
      </c>
      <c r="J28" s="17" t="s">
        <v>159</v>
      </c>
      <c r="K28" s="28">
        <f>countif(Quantities!A:A,J28)</f>
        <v>1</v>
      </c>
      <c r="L28" s="30" t="b">
        <f t="shared" si="4"/>
        <v>1</v>
      </c>
      <c r="M28" s="17" t="s">
        <v>159</v>
      </c>
      <c r="N28" s="34" t="str">
        <f t="shared" si="5"/>
        <v>qudt</v>
      </c>
      <c r="O28" s="18" t="b">
        <f t="shared" si="6"/>
        <v>1</v>
      </c>
      <c r="P28" s="39"/>
      <c r="Q28" s="39"/>
      <c r="R28" s="39" t="str">
        <f t="shared" si="7"/>
        <v/>
      </c>
      <c r="S28" s="43">
        <f t="shared" si="8"/>
        <v>7</v>
      </c>
      <c r="T28" s="21">
        <f>countif('v2022'!E:E,A28)</f>
        <v>1</v>
      </c>
      <c r="U28" s="21">
        <f>countif('v2018'!E:E,A28)</f>
        <v>1</v>
      </c>
      <c r="V28" s="21">
        <f>countif('v2014'!E:E,A28)</f>
        <v>1</v>
      </c>
      <c r="W28" s="21">
        <f>countif('v2010'!E:E,A28)</f>
        <v>1</v>
      </c>
      <c r="X28" s="21">
        <f>countif('v2006'!E:E,A28)</f>
        <v>1</v>
      </c>
      <c r="Y28" s="21">
        <f>countif('v2002'!E:E,A28)</f>
        <v>1</v>
      </c>
      <c r="Z28" s="21">
        <f>countif('v1998'!E:E,A28)</f>
        <v>1</v>
      </c>
    </row>
    <row r="29">
      <c r="A29" s="17" t="s">
        <v>785</v>
      </c>
      <c r="B29" s="18" t="s">
        <v>165</v>
      </c>
      <c r="C29" s="21" t="str">
        <f t="shared" si="11"/>
        <v>Atomic Unit Of Electric Field</v>
      </c>
      <c r="D29" s="21" t="str">
        <f t="shared" si="10"/>
        <v>Unité atomique de champ électrique</v>
      </c>
      <c r="E29" s="17" t="s">
        <v>787</v>
      </c>
      <c r="F29" s="17" t="s">
        <v>788</v>
      </c>
      <c r="G29" s="18" t="s">
        <v>789</v>
      </c>
      <c r="H29" s="18" t="str">
        <f t="shared" si="3"/>
        <v>V_m-1</v>
      </c>
      <c r="I29" s="17">
        <f>if(H29="","", countif(Units!A:A,H29))</f>
        <v>1</v>
      </c>
      <c r="J29" s="18" t="s">
        <v>165</v>
      </c>
      <c r="K29" s="28">
        <f>countif(Quantities!A:A,J29)</f>
        <v>1</v>
      </c>
      <c r="L29" s="30" t="b">
        <f t="shared" si="4"/>
        <v>1</v>
      </c>
      <c r="M29" s="17" t="s">
        <v>165</v>
      </c>
      <c r="N29" s="34" t="str">
        <f t="shared" si="5"/>
        <v>qudt</v>
      </c>
      <c r="O29" s="18" t="b">
        <f t="shared" si="6"/>
        <v>1</v>
      </c>
      <c r="P29" s="39"/>
      <c r="Q29" s="39"/>
      <c r="R29" s="39" t="str">
        <f t="shared" si="7"/>
        <v/>
      </c>
      <c r="S29" s="43">
        <f t="shared" si="8"/>
        <v>7</v>
      </c>
      <c r="T29" s="21">
        <f>countif('v2022'!E:E,A29)</f>
        <v>1</v>
      </c>
      <c r="U29" s="21">
        <f>countif('v2018'!E:E,A29)</f>
        <v>1</v>
      </c>
      <c r="V29" s="21">
        <f>countif('v2014'!E:E,A29)</f>
        <v>1</v>
      </c>
      <c r="W29" s="21">
        <f>countif('v2010'!E:E,A29)</f>
        <v>1</v>
      </c>
      <c r="X29" s="21">
        <f>countif('v2006'!E:E,A29)</f>
        <v>1</v>
      </c>
      <c r="Y29" s="21">
        <f>countif('v2002'!E:E,A29)</f>
        <v>1</v>
      </c>
      <c r="Z29" s="21">
        <f>countif('v1998'!E:E,A29)</f>
        <v>1</v>
      </c>
    </row>
    <row r="30">
      <c r="A30" s="17" t="s">
        <v>809</v>
      </c>
      <c r="B30" s="18" t="s">
        <v>192</v>
      </c>
      <c r="C30" s="21" t="str">
        <f t="shared" si="11"/>
        <v>Atomic Unit Of Electric Field Gradient</v>
      </c>
      <c r="D30" s="21" t="str">
        <f t="shared" si="10"/>
        <v>Unité atomique de gradient de champ électrique</v>
      </c>
      <c r="E30" s="17" t="s">
        <v>810</v>
      </c>
      <c r="F30" s="17" t="s">
        <v>811</v>
      </c>
      <c r="G30" s="18" t="s">
        <v>812</v>
      </c>
      <c r="H30" s="18" t="str">
        <f t="shared" si="3"/>
        <v>V_m-2</v>
      </c>
      <c r="I30" s="17">
        <f>if(H30="","", countif(Units!A:A,H30))</f>
        <v>1</v>
      </c>
      <c r="J30" s="18" t="s">
        <v>192</v>
      </c>
      <c r="K30" s="28">
        <f>countif(Quantities!A:A,J30)</f>
        <v>1</v>
      </c>
      <c r="L30" s="30" t="b">
        <f t="shared" si="4"/>
        <v>1</v>
      </c>
      <c r="M30" s="17" t="s">
        <v>192</v>
      </c>
      <c r="N30" s="34" t="str">
        <f t="shared" si="5"/>
        <v>qudt</v>
      </c>
      <c r="O30" s="18" t="b">
        <f t="shared" si="6"/>
        <v>1</v>
      </c>
      <c r="P30" s="39"/>
      <c r="Q30" s="39"/>
      <c r="R30" s="39" t="str">
        <f t="shared" si="7"/>
        <v/>
      </c>
      <c r="S30" s="43">
        <f t="shared" si="8"/>
        <v>7</v>
      </c>
      <c r="T30" s="21">
        <f>countif('v2022'!E:E,A30)</f>
        <v>1</v>
      </c>
      <c r="U30" s="21">
        <f>countif('v2018'!E:E,A30)</f>
        <v>1</v>
      </c>
      <c r="V30" s="21">
        <f>countif('v2014'!E:E,A30)</f>
        <v>1</v>
      </c>
      <c r="W30" s="21">
        <f>countif('v2010'!E:E,A30)</f>
        <v>1</v>
      </c>
      <c r="X30" s="21">
        <f>countif('v2006'!E:E,A30)</f>
        <v>1</v>
      </c>
      <c r="Y30" s="21">
        <f>countif('v2002'!E:E,A30)</f>
        <v>1</v>
      </c>
      <c r="Z30" s="21">
        <f>countif('v1998'!E:E,A30)</f>
        <v>1</v>
      </c>
    </row>
    <row r="31">
      <c r="A31" s="17" t="s">
        <v>832</v>
      </c>
      <c r="B31" s="17" t="s">
        <v>203</v>
      </c>
      <c r="C31" s="21" t="str">
        <f t="shared" si="11"/>
        <v>Atomic Unit Of Electric Polarizability</v>
      </c>
      <c r="D31" s="21" t="str">
        <f t="shared" si="10"/>
        <v>Unité atomique de polarisabilité</v>
      </c>
      <c r="E31" s="17" t="s">
        <v>833</v>
      </c>
      <c r="F31" s="17" t="s">
        <v>834</v>
      </c>
      <c r="G31" s="18" t="s">
        <v>835</v>
      </c>
      <c r="H31" s="18" t="str">
        <f t="shared" si="3"/>
        <v>C2_m2_J-1</v>
      </c>
      <c r="I31" s="17">
        <f>if(H31="","", countif(Units!A:A,H31))</f>
        <v>1</v>
      </c>
      <c r="J31" s="17" t="s">
        <v>203</v>
      </c>
      <c r="K31" s="28">
        <f>countif(Quantities!A:A,J31)</f>
        <v>1</v>
      </c>
      <c r="L31" s="30" t="b">
        <f t="shared" si="4"/>
        <v>1</v>
      </c>
      <c r="M31" s="17" t="s">
        <v>844</v>
      </c>
      <c r="N31" s="34" t="str">
        <f t="shared" si="5"/>
        <v>qudt</v>
      </c>
      <c r="O31" s="18" t="b">
        <f t="shared" si="6"/>
        <v>1</v>
      </c>
      <c r="P31" s="39"/>
      <c r="Q31" s="39"/>
      <c r="R31" s="39" t="str">
        <f t="shared" si="7"/>
        <v/>
      </c>
      <c r="S31" s="43">
        <f t="shared" si="8"/>
        <v>7</v>
      </c>
      <c r="T31" s="21">
        <f>countif('v2022'!E:E,A31)</f>
        <v>1</v>
      </c>
      <c r="U31" s="21">
        <f>countif('v2018'!E:E,A31)</f>
        <v>1</v>
      </c>
      <c r="V31" s="21">
        <f>countif('v2014'!E:E,A31)</f>
        <v>1</v>
      </c>
      <c r="W31" s="21">
        <f>countif('v2010'!E:E,A31)</f>
        <v>1</v>
      </c>
      <c r="X31" s="21">
        <f>countif('v2006'!E:E,A31)</f>
        <v>1</v>
      </c>
      <c r="Y31" s="21">
        <f>countif('v2002'!E:E,A31)</f>
        <v>1</v>
      </c>
      <c r="Z31" s="21">
        <f>countif('v1998'!E:E,A31)</f>
        <v>1</v>
      </c>
    </row>
    <row r="32">
      <c r="A32" s="17" t="s">
        <v>857</v>
      </c>
      <c r="B32" s="18" t="s">
        <v>208</v>
      </c>
      <c r="C32" s="21" t="str">
        <f t="shared" si="11"/>
        <v>Atomic Unit Of Electric Potential</v>
      </c>
      <c r="D32" s="21" t="str">
        <f t="shared" si="10"/>
        <v>Unité atomique de potentiel électrique</v>
      </c>
      <c r="E32" s="17" t="s">
        <v>858</v>
      </c>
      <c r="F32" s="17" t="s">
        <v>859</v>
      </c>
      <c r="G32" s="18" t="s">
        <v>546</v>
      </c>
      <c r="H32" s="18" t="str">
        <f t="shared" si="3"/>
        <v>V</v>
      </c>
      <c r="I32" s="17">
        <f>if(H32="","", countif(Units!A:A,H32))</f>
        <v>1</v>
      </c>
      <c r="J32" s="18" t="s">
        <v>208</v>
      </c>
      <c r="K32" s="28">
        <f>countif(Quantities!A:A,J32)</f>
        <v>1</v>
      </c>
      <c r="L32" s="30" t="b">
        <f t="shared" si="4"/>
        <v>1</v>
      </c>
      <c r="M32" s="17" t="s">
        <v>208</v>
      </c>
      <c r="N32" s="34" t="str">
        <f t="shared" si="5"/>
        <v>qudt</v>
      </c>
      <c r="O32" s="18" t="b">
        <f t="shared" si="6"/>
        <v>1</v>
      </c>
      <c r="P32" s="39"/>
      <c r="Q32" s="39"/>
      <c r="R32" s="39" t="str">
        <f t="shared" si="7"/>
        <v/>
      </c>
      <c r="S32" s="43">
        <f t="shared" si="8"/>
        <v>7</v>
      </c>
      <c r="T32" s="21">
        <f>countif('v2022'!E:E,A32)</f>
        <v>1</v>
      </c>
      <c r="U32" s="21">
        <f>countif('v2018'!E:E,A32)</f>
        <v>1</v>
      </c>
      <c r="V32" s="21">
        <f>countif('v2014'!E:E,A32)</f>
        <v>1</v>
      </c>
      <c r="W32" s="21">
        <f>countif('v2010'!E:E,A32)</f>
        <v>1</v>
      </c>
      <c r="X32" s="21">
        <f>countif('v2006'!E:E,A32)</f>
        <v>1</v>
      </c>
      <c r="Y32" s="21">
        <f>countif('v2002'!E:E,A32)</f>
        <v>1</v>
      </c>
      <c r="Z32" s="21">
        <f>countif('v1998'!E:E,A32)</f>
        <v>1</v>
      </c>
    </row>
    <row r="33">
      <c r="A33" s="17" t="s">
        <v>881</v>
      </c>
      <c r="B33" s="18" t="s">
        <v>217</v>
      </c>
      <c r="C33" s="21" t="str">
        <f t="shared" si="11"/>
        <v>Atomic Unit Of Electric Quadrupole Moment</v>
      </c>
      <c r="D33" s="21" t="str">
        <f t="shared" si="10"/>
        <v>Unité atomique de moment quadrupolaire électrique</v>
      </c>
      <c r="E33" s="17" t="s">
        <v>882</v>
      </c>
      <c r="F33" s="17" t="s">
        <v>883</v>
      </c>
      <c r="G33" s="18" t="s">
        <v>884</v>
      </c>
      <c r="H33" s="18" t="str">
        <f t="shared" si="3"/>
        <v>C_m2</v>
      </c>
      <c r="I33" s="17">
        <f>if(H33="","", countif(Units!A:A,H33))</f>
        <v>1</v>
      </c>
      <c r="J33" s="18" t="s">
        <v>217</v>
      </c>
      <c r="K33" s="28">
        <f>countif(Quantities!A:A,J33)</f>
        <v>1</v>
      </c>
      <c r="L33" s="30" t="b">
        <f t="shared" si="4"/>
        <v>1</v>
      </c>
      <c r="M33" s="17" t="s">
        <v>217</v>
      </c>
      <c r="N33" s="34" t="str">
        <f t="shared" si="5"/>
        <v>qudt</v>
      </c>
      <c r="O33" s="18" t="b">
        <f t="shared" si="6"/>
        <v>1</v>
      </c>
      <c r="P33" s="39"/>
      <c r="Q33" s="39"/>
      <c r="R33" s="39" t="str">
        <f t="shared" si="7"/>
        <v/>
      </c>
      <c r="S33" s="43">
        <f t="shared" si="8"/>
        <v>7</v>
      </c>
      <c r="T33" s="21">
        <f>countif('v2022'!E:E,A33)</f>
        <v>1</v>
      </c>
      <c r="U33" s="21">
        <f>countif('v2018'!E:E,A33)</f>
        <v>1</v>
      </c>
      <c r="V33" s="21">
        <f>countif('v2014'!E:E,A33)</f>
        <v>1</v>
      </c>
      <c r="W33" s="21">
        <f>countif('v2010'!E:E,A33)</f>
        <v>1</v>
      </c>
      <c r="X33" s="21">
        <f>countif('v2006'!E:E,A33)</f>
        <v>1</v>
      </c>
      <c r="Y33" s="21">
        <f>countif('v2002'!E:E,A33)</f>
        <v>1</v>
      </c>
      <c r="Z33" s="21">
        <f>countif('v1998'!E:E,A33)</f>
        <v>1</v>
      </c>
    </row>
    <row r="34">
      <c r="A34" s="17" t="s">
        <v>900</v>
      </c>
      <c r="B34" s="18" t="s">
        <v>226</v>
      </c>
      <c r="C34" s="21" t="str">
        <f t="shared" si="11"/>
        <v>Atomic Unit Of Energy</v>
      </c>
      <c r="D34" s="21" t="str">
        <f t="shared" si="10"/>
        <v>Unité atomique d'énergie</v>
      </c>
      <c r="E34" s="17" t="s">
        <v>901</v>
      </c>
      <c r="F34" s="17" t="s">
        <v>902</v>
      </c>
      <c r="G34" s="18" t="s">
        <v>173</v>
      </c>
      <c r="H34" s="18" t="str">
        <f t="shared" si="3"/>
        <v>J</v>
      </c>
      <c r="I34" s="17">
        <f>if(H34="","", countif(Units!A:A,H34))</f>
        <v>1</v>
      </c>
      <c r="J34" s="18" t="s">
        <v>226</v>
      </c>
      <c r="K34" s="28">
        <f>countif(Quantities!A:A,J34)</f>
        <v>1</v>
      </c>
      <c r="L34" s="30" t="b">
        <f t="shared" si="4"/>
        <v>1</v>
      </c>
      <c r="M34" s="17" t="s">
        <v>226</v>
      </c>
      <c r="N34" s="34" t="str">
        <f t="shared" si="5"/>
        <v>qudt</v>
      </c>
      <c r="O34" s="18" t="b">
        <f t="shared" si="6"/>
        <v>1</v>
      </c>
      <c r="P34" s="39"/>
      <c r="Q34" s="39"/>
      <c r="R34" s="39" t="str">
        <f t="shared" si="7"/>
        <v/>
      </c>
      <c r="S34" s="43">
        <f t="shared" si="8"/>
        <v>7</v>
      </c>
      <c r="T34" s="21">
        <f>countif('v2022'!E:E,A34)</f>
        <v>1</v>
      </c>
      <c r="U34" s="21">
        <f>countif('v2018'!E:E,A34)</f>
        <v>1</v>
      </c>
      <c r="V34" s="21">
        <f>countif('v2014'!E:E,A34)</f>
        <v>1</v>
      </c>
      <c r="W34" s="21">
        <f>countif('v2010'!E:E,A34)</f>
        <v>1</v>
      </c>
      <c r="X34" s="21">
        <f>countif('v2006'!E:E,A34)</f>
        <v>1</v>
      </c>
      <c r="Y34" s="21">
        <f>countif('v2002'!E:E,A34)</f>
        <v>1</v>
      </c>
      <c r="Z34" s="21">
        <f>countif('v1998'!E:E,A34)</f>
        <v>1</v>
      </c>
    </row>
    <row r="35">
      <c r="A35" s="17" t="s">
        <v>920</v>
      </c>
      <c r="B35" s="18" t="s">
        <v>230</v>
      </c>
      <c r="C35" s="21" t="str">
        <f t="shared" si="11"/>
        <v>Atomic Unit Of Force</v>
      </c>
      <c r="D35" s="21" t="str">
        <f t="shared" si="10"/>
        <v>Unité atomique de force</v>
      </c>
      <c r="E35" s="17" t="s">
        <v>921</v>
      </c>
      <c r="F35" s="17" t="s">
        <v>922</v>
      </c>
      <c r="G35" s="18" t="s">
        <v>486</v>
      </c>
      <c r="H35" s="18" t="str">
        <f t="shared" si="3"/>
        <v>N</v>
      </c>
      <c r="I35" s="17">
        <f>if(H35="","", countif(Units!A:A,H35))</f>
        <v>1</v>
      </c>
      <c r="J35" s="18" t="s">
        <v>230</v>
      </c>
      <c r="K35" s="28">
        <f>countif(Quantities!A:A,J35)</f>
        <v>1</v>
      </c>
      <c r="L35" s="30" t="b">
        <f t="shared" si="4"/>
        <v>1</v>
      </c>
      <c r="M35" s="17" t="s">
        <v>230</v>
      </c>
      <c r="N35" s="34" t="str">
        <f t="shared" si="5"/>
        <v>qudt</v>
      </c>
      <c r="O35" s="18" t="b">
        <f t="shared" si="6"/>
        <v>1</v>
      </c>
      <c r="P35" s="39"/>
      <c r="Q35" s="39"/>
      <c r="R35" s="39" t="str">
        <f t="shared" si="7"/>
        <v/>
      </c>
      <c r="S35" s="43">
        <f t="shared" si="8"/>
        <v>7</v>
      </c>
      <c r="T35" s="21">
        <f>countif('v2022'!E:E,A35)</f>
        <v>1</v>
      </c>
      <c r="U35" s="21">
        <f>countif('v2018'!E:E,A35)</f>
        <v>1</v>
      </c>
      <c r="V35" s="21">
        <f>countif('v2014'!E:E,A35)</f>
        <v>1</v>
      </c>
      <c r="W35" s="21">
        <f>countif('v2010'!E:E,A35)</f>
        <v>1</v>
      </c>
      <c r="X35" s="21">
        <f>countif('v2006'!E:E,A35)</f>
        <v>1</v>
      </c>
      <c r="Y35" s="21">
        <f>countif('v2002'!E:E,A35)</f>
        <v>1</v>
      </c>
      <c r="Z35" s="21">
        <f>countif('v1998'!E:E,A35)</f>
        <v>1</v>
      </c>
    </row>
    <row r="36">
      <c r="A36" s="17" t="s">
        <v>937</v>
      </c>
      <c r="B36" s="18" t="s">
        <v>232</v>
      </c>
      <c r="C36" s="21" t="str">
        <f t="shared" si="11"/>
        <v>Atomic Unit Of Length</v>
      </c>
      <c r="D36" s="21" t="str">
        <f t="shared" si="10"/>
        <v>Unité atomique de longueur</v>
      </c>
      <c r="E36" s="17" t="s">
        <v>940</v>
      </c>
      <c r="F36" s="17" t="s">
        <v>941</v>
      </c>
      <c r="G36" s="18" t="s">
        <v>381</v>
      </c>
      <c r="H36" s="18" t="str">
        <f t="shared" si="3"/>
        <v>m</v>
      </c>
      <c r="I36" s="17">
        <f>if(H36="","", countif(Units!A:A,H36))</f>
        <v>1</v>
      </c>
      <c r="J36" s="18" t="s">
        <v>232</v>
      </c>
      <c r="K36" s="28">
        <f>countif(Quantities!A:A,J36)</f>
        <v>1</v>
      </c>
      <c r="L36" s="30" t="b">
        <f t="shared" si="4"/>
        <v>1</v>
      </c>
      <c r="M36" s="17" t="s">
        <v>232</v>
      </c>
      <c r="N36" s="34" t="str">
        <f t="shared" si="5"/>
        <v>qudt</v>
      </c>
      <c r="O36" s="18" t="b">
        <f t="shared" si="6"/>
        <v>1</v>
      </c>
      <c r="P36" s="39"/>
      <c r="Q36" s="39"/>
      <c r="R36" s="39" t="str">
        <f t="shared" si="7"/>
        <v/>
      </c>
      <c r="S36" s="43">
        <f t="shared" si="8"/>
        <v>7</v>
      </c>
      <c r="T36" s="21">
        <f>countif('v2022'!E:E,A36)</f>
        <v>1</v>
      </c>
      <c r="U36" s="21">
        <f>countif('v2018'!E:E,A36)</f>
        <v>1</v>
      </c>
      <c r="V36" s="21">
        <f>countif('v2014'!E:E,A36)</f>
        <v>1</v>
      </c>
      <c r="W36" s="21">
        <f>countif('v2010'!E:E,A36)</f>
        <v>1</v>
      </c>
      <c r="X36" s="21">
        <f>countif('v2006'!E:E,A36)</f>
        <v>1</v>
      </c>
      <c r="Y36" s="21">
        <f>countif('v2002'!E:E,A36)</f>
        <v>1</v>
      </c>
      <c r="Z36" s="21">
        <f>countif('v1998'!E:E,A36)</f>
        <v>1</v>
      </c>
    </row>
    <row r="37">
      <c r="A37" s="17" t="s">
        <v>960</v>
      </c>
      <c r="B37" s="18" t="s">
        <v>236</v>
      </c>
      <c r="C37" s="21" t="str">
        <f t="shared" si="11"/>
        <v>Atomic Unit Of Magnetic Dipole Moment</v>
      </c>
      <c r="D37" s="21" t="str">
        <f t="shared" si="10"/>
        <v>Unité atomique de moment dipolaire magnétique</v>
      </c>
      <c r="E37" s="17" t="s">
        <v>962</v>
      </c>
      <c r="F37" s="17" t="s">
        <v>963</v>
      </c>
      <c r="G37" s="18" t="s">
        <v>964</v>
      </c>
      <c r="H37" s="18" t="str">
        <f t="shared" si="3"/>
        <v>J_T-1</v>
      </c>
      <c r="I37" s="17">
        <f>if(H37="","", countif(Units!A:A,H37))</f>
        <v>1</v>
      </c>
      <c r="J37" s="18" t="s">
        <v>236</v>
      </c>
      <c r="K37" s="28">
        <f>countif(Quantities!A:A,J37)</f>
        <v>1</v>
      </c>
      <c r="L37" s="30" t="b">
        <f t="shared" si="4"/>
        <v>1</v>
      </c>
      <c r="M37" s="17" t="s">
        <v>236</v>
      </c>
      <c r="N37" s="34" t="str">
        <f t="shared" si="5"/>
        <v>qudt</v>
      </c>
      <c r="O37" s="18" t="b">
        <f t="shared" si="6"/>
        <v>1</v>
      </c>
      <c r="P37" s="39"/>
      <c r="Q37" s="39"/>
      <c r="R37" s="39" t="str">
        <f t="shared" si="7"/>
        <v/>
      </c>
      <c r="S37" s="43">
        <f t="shared" si="8"/>
        <v>7</v>
      </c>
      <c r="T37" s="21">
        <f>countif('v2022'!E:E,A37)</f>
        <v>1</v>
      </c>
      <c r="U37" s="21">
        <f>countif('v2018'!E:E,A37)</f>
        <v>1</v>
      </c>
      <c r="V37" s="21">
        <f>countif('v2014'!E:E,A37)</f>
        <v>1</v>
      </c>
      <c r="W37" s="21">
        <f>countif('v2010'!E:E,A37)</f>
        <v>1</v>
      </c>
      <c r="X37" s="21">
        <f>countif('v2006'!E:E,A37)</f>
        <v>1</v>
      </c>
      <c r="Y37" s="21">
        <f>countif('v2002'!E:E,A37)</f>
        <v>1</v>
      </c>
      <c r="Z37" s="21">
        <f>countif('v1998'!E:E,A37)</f>
        <v>1</v>
      </c>
    </row>
    <row r="38">
      <c r="A38" s="17" t="s">
        <v>978</v>
      </c>
      <c r="B38" s="18" t="s">
        <v>239</v>
      </c>
      <c r="C38" s="21" t="str">
        <f t="shared" si="11"/>
        <v>Atomic Unit Of Mag. Flux Density</v>
      </c>
      <c r="D38" s="21" t="str">
        <f t="shared" si="10"/>
        <v>Unité atomique de densité de flux magnétique</v>
      </c>
      <c r="E38" s="17" t="s">
        <v>979</v>
      </c>
      <c r="F38" s="17" t="s">
        <v>980</v>
      </c>
      <c r="G38" s="18" t="s">
        <v>535</v>
      </c>
      <c r="H38" s="18" t="str">
        <f t="shared" si="3"/>
        <v>T</v>
      </c>
      <c r="I38" s="17">
        <f>if(H38="","", countif(Units!A:A,H38))</f>
        <v>1</v>
      </c>
      <c r="J38" s="18" t="s">
        <v>239</v>
      </c>
      <c r="K38" s="28">
        <f>countif(Quantities!A:A,J38)</f>
        <v>1</v>
      </c>
      <c r="L38" s="30" t="b">
        <f t="shared" si="4"/>
        <v>1</v>
      </c>
      <c r="M38" s="17" t="s">
        <v>239</v>
      </c>
      <c r="N38" s="34" t="str">
        <f t="shared" si="5"/>
        <v>qudt</v>
      </c>
      <c r="O38" s="18" t="b">
        <f t="shared" si="6"/>
        <v>1</v>
      </c>
      <c r="P38" s="39"/>
      <c r="Q38" s="39"/>
      <c r="R38" s="39" t="str">
        <f t="shared" si="7"/>
        <v/>
      </c>
      <c r="S38" s="43">
        <f t="shared" si="8"/>
        <v>7</v>
      </c>
      <c r="T38" s="21">
        <f>countif('v2022'!E:E,A38)</f>
        <v>1</v>
      </c>
      <c r="U38" s="21">
        <f>countif('v2018'!E:E,A38)</f>
        <v>1</v>
      </c>
      <c r="V38" s="21">
        <f>countif('v2014'!E:E,A38)</f>
        <v>1</v>
      </c>
      <c r="W38" s="21">
        <f>countif('v2010'!E:E,A38)</f>
        <v>1</v>
      </c>
      <c r="X38" s="21">
        <f>countif('v2006'!E:E,A38)</f>
        <v>1</v>
      </c>
      <c r="Y38" s="21">
        <f>countif('v2002'!E:E,A38)</f>
        <v>1</v>
      </c>
      <c r="Z38" s="21">
        <f>countif('v1998'!E:E,A38)</f>
        <v>1</v>
      </c>
    </row>
    <row r="39">
      <c r="A39" s="17" t="s">
        <v>994</v>
      </c>
      <c r="B39" s="18" t="s">
        <v>247</v>
      </c>
      <c r="C39" s="21" t="str">
        <f t="shared" si="11"/>
        <v>Atomic Unit Of Magnetizability</v>
      </c>
      <c r="D39" s="21" t="str">
        <f t="shared" si="10"/>
        <v>Unité atomique de magnétisabilité</v>
      </c>
      <c r="E39" s="17" t="s">
        <v>997</v>
      </c>
      <c r="F39" s="17" t="s">
        <v>998</v>
      </c>
      <c r="G39" s="18" t="s">
        <v>999</v>
      </c>
      <c r="H39" s="18" t="str">
        <f t="shared" si="3"/>
        <v>J_T-2</v>
      </c>
      <c r="I39" s="17">
        <f>if(H39="","", countif(Units!A:A,H39))</f>
        <v>1</v>
      </c>
      <c r="J39" s="18" t="s">
        <v>247</v>
      </c>
      <c r="K39" s="28">
        <f>countif(Quantities!A:A,J39)</f>
        <v>1</v>
      </c>
      <c r="L39" s="30" t="b">
        <f t="shared" si="4"/>
        <v>1</v>
      </c>
      <c r="M39" s="17" t="s">
        <v>247</v>
      </c>
      <c r="N39" s="34" t="str">
        <f t="shared" si="5"/>
        <v>qudt</v>
      </c>
      <c r="O39" s="18" t="b">
        <f t="shared" si="6"/>
        <v>1</v>
      </c>
      <c r="P39" s="39"/>
      <c r="Q39" s="39"/>
      <c r="R39" s="39" t="str">
        <f t="shared" si="7"/>
        <v/>
      </c>
      <c r="S39" s="43">
        <f t="shared" si="8"/>
        <v>7</v>
      </c>
      <c r="T39" s="21">
        <f>countif('v2022'!E:E,A39)</f>
        <v>1</v>
      </c>
      <c r="U39" s="21">
        <f>countif('v2018'!E:E,A39)</f>
        <v>1</v>
      </c>
      <c r="V39" s="21">
        <f>countif('v2014'!E:E,A39)</f>
        <v>1</v>
      </c>
      <c r="W39" s="21">
        <f>countif('v2010'!E:E,A39)</f>
        <v>1</v>
      </c>
      <c r="X39" s="21">
        <f>countif('v2006'!E:E,A39)</f>
        <v>1</v>
      </c>
      <c r="Y39" s="21">
        <f>countif('v2002'!E:E,A39)</f>
        <v>1</v>
      </c>
      <c r="Z39" s="21">
        <f>countif('v1998'!E:E,A39)</f>
        <v>1</v>
      </c>
    </row>
    <row r="40">
      <c r="A40" s="17" t="s">
        <v>1014</v>
      </c>
      <c r="B40" s="18" t="s">
        <v>255</v>
      </c>
      <c r="C40" s="21" t="str">
        <f t="shared" si="11"/>
        <v>Atomic Unit Of Mass</v>
      </c>
      <c r="D40" s="21" t="str">
        <f t="shared" si="10"/>
        <v>Unité atomique de masse</v>
      </c>
      <c r="E40" s="17" t="s">
        <v>1015</v>
      </c>
      <c r="F40" s="17" t="s">
        <v>1017</v>
      </c>
      <c r="G40" s="18" t="s">
        <v>98</v>
      </c>
      <c r="H40" s="18" t="str">
        <f t="shared" si="3"/>
        <v>kg</v>
      </c>
      <c r="I40" s="17">
        <f>if(H40="","", countif(Units!A:A,H40))</f>
        <v>1</v>
      </c>
      <c r="J40" s="18" t="s">
        <v>255</v>
      </c>
      <c r="K40" s="28">
        <f>countif(Quantities!A:A,J40)</f>
        <v>1</v>
      </c>
      <c r="L40" s="30" t="b">
        <f t="shared" si="4"/>
        <v>1</v>
      </c>
      <c r="M40" s="17" t="s">
        <v>255</v>
      </c>
      <c r="N40" s="34" t="str">
        <f t="shared" si="5"/>
        <v>qudt</v>
      </c>
      <c r="O40" s="18" t="b">
        <f t="shared" si="6"/>
        <v>1</v>
      </c>
      <c r="P40" s="39"/>
      <c r="Q40" s="39"/>
      <c r="R40" s="39" t="str">
        <f t="shared" si="7"/>
        <v/>
      </c>
      <c r="S40" s="43">
        <f t="shared" si="8"/>
        <v>7</v>
      </c>
      <c r="T40" s="21">
        <f>countif('v2022'!E:E,A40)</f>
        <v>1</v>
      </c>
      <c r="U40" s="21">
        <f>countif('v2018'!E:E,A40)</f>
        <v>1</v>
      </c>
      <c r="V40" s="21">
        <f>countif('v2014'!E:E,A40)</f>
        <v>1</v>
      </c>
      <c r="W40" s="21">
        <f>countif('v2010'!E:E,A40)</f>
        <v>1</v>
      </c>
      <c r="X40" s="21">
        <f>countif('v2006'!E:E,A40)</f>
        <v>1</v>
      </c>
      <c r="Y40" s="21">
        <f>countif('v2002'!E:E,A40)</f>
        <v>1</v>
      </c>
      <c r="Z40" s="21">
        <f>countif('v1998'!E:E,A40)</f>
        <v>1</v>
      </c>
    </row>
    <row r="41">
      <c r="A41" s="17" t="s">
        <v>1049</v>
      </c>
      <c r="B41" s="18" t="s">
        <v>259</v>
      </c>
      <c r="C41" s="21" t="str">
        <f t="shared" si="11"/>
        <v>Atomic Unit Of Momentum</v>
      </c>
      <c r="D41" s="21" t="str">
        <f t="shared" si="10"/>
        <v>Unité atomique d'impulsion</v>
      </c>
      <c r="E41" s="17" t="s">
        <v>1053</v>
      </c>
      <c r="F41" s="17" t="s">
        <v>1056</v>
      </c>
      <c r="G41" s="18" t="s">
        <v>1058</v>
      </c>
      <c r="H41" s="18" t="str">
        <f t="shared" si="3"/>
        <v>kg_m_s-1</v>
      </c>
      <c r="I41" s="17">
        <f>if(H41="","", countif(Units!A:A,H41))</f>
        <v>1</v>
      </c>
      <c r="J41" s="18" t="s">
        <v>259</v>
      </c>
      <c r="K41" s="28">
        <f>countif(Quantities!A:A,J41)</f>
        <v>1</v>
      </c>
      <c r="L41" s="30" t="b">
        <f t="shared" si="4"/>
        <v>1</v>
      </c>
      <c r="M41" s="17" t="s">
        <v>259</v>
      </c>
      <c r="N41" s="34" t="str">
        <f t="shared" si="5"/>
        <v>qudt</v>
      </c>
      <c r="O41" s="18" t="b">
        <f t="shared" si="6"/>
        <v>1</v>
      </c>
      <c r="P41" s="39"/>
      <c r="Q41" s="39"/>
      <c r="R41" s="39" t="str">
        <f t="shared" si="7"/>
        <v/>
      </c>
      <c r="S41" s="43">
        <f t="shared" si="8"/>
        <v>7</v>
      </c>
      <c r="T41" s="21">
        <f>countif('v2022'!E:E,A41)</f>
        <v>1</v>
      </c>
      <c r="U41" s="21">
        <f>countif('v2018'!E:E,A41)</f>
        <v>1</v>
      </c>
      <c r="V41" s="21">
        <f>countif('v2014'!E:E,A41)</f>
        <v>1</v>
      </c>
      <c r="W41" s="21">
        <f>countif('v2010'!E:E,A41)</f>
        <v>1</v>
      </c>
      <c r="X41" s="21">
        <f>countif('v2006'!E:E,A41)</f>
        <v>1</v>
      </c>
      <c r="Y41" s="21">
        <f>countif('v2002'!E:E,A41)</f>
        <v>1</v>
      </c>
      <c r="Z41" s="21">
        <f>countif('v1998'!E:E,A41)</f>
        <v>1</v>
      </c>
    </row>
    <row r="42">
      <c r="A42" s="17" t="s">
        <v>1072</v>
      </c>
      <c r="B42" s="18" t="s">
        <v>261</v>
      </c>
      <c r="C42" s="21" t="str">
        <f t="shared" si="11"/>
        <v>Atomic Unit Of Permittivity</v>
      </c>
      <c r="D42" s="21" t="str">
        <f t="shared" si="10"/>
        <v>Unité atomique de permittivité</v>
      </c>
      <c r="E42" s="17" t="s">
        <v>1076</v>
      </c>
      <c r="F42" s="17" t="s">
        <v>1077</v>
      </c>
      <c r="G42" s="18" t="s">
        <v>1078</v>
      </c>
      <c r="H42" s="18" t="str">
        <f t="shared" si="3"/>
        <v>F_m-1</v>
      </c>
      <c r="I42" s="17">
        <f>if(H42="","", countif(Units!A:A,H42))</f>
        <v>1</v>
      </c>
      <c r="J42" s="18" t="s">
        <v>261</v>
      </c>
      <c r="K42" s="28">
        <f>countif(Quantities!A:A,J42)</f>
        <v>1</v>
      </c>
      <c r="L42" s="30" t="b">
        <f t="shared" si="4"/>
        <v>1</v>
      </c>
      <c r="M42" s="17" t="s">
        <v>261</v>
      </c>
      <c r="N42" s="34" t="str">
        <f t="shared" si="5"/>
        <v>qudt</v>
      </c>
      <c r="O42" s="18" t="b">
        <f t="shared" si="6"/>
        <v>1</v>
      </c>
      <c r="P42" s="39"/>
      <c r="Q42" s="39"/>
      <c r="R42" s="39" t="str">
        <f t="shared" si="7"/>
        <v/>
      </c>
      <c r="S42" s="43">
        <f t="shared" si="8"/>
        <v>7</v>
      </c>
      <c r="T42" s="21">
        <f>countif('v2022'!E:E,A42)</f>
        <v>1</v>
      </c>
      <c r="U42" s="21">
        <f>countif('v2018'!E:E,A42)</f>
        <v>1</v>
      </c>
      <c r="V42" s="21">
        <f>countif('v2014'!E:E,A42)</f>
        <v>1</v>
      </c>
      <c r="W42" s="21">
        <f>countif('v2010'!E:E,A42)</f>
        <v>1</v>
      </c>
      <c r="X42" s="21">
        <f>countif('v2006'!E:E,A42)</f>
        <v>1</v>
      </c>
      <c r="Y42" s="21">
        <f>countif('v2002'!E:E,A42)</f>
        <v>1</v>
      </c>
      <c r="Z42" s="21">
        <f>countif('v1998'!E:E,A42)</f>
        <v>1</v>
      </c>
    </row>
    <row r="43">
      <c r="A43" s="17" t="s">
        <v>1087</v>
      </c>
      <c r="B43" s="18" t="s">
        <v>264</v>
      </c>
      <c r="C43" s="21" t="str">
        <f t="shared" si="11"/>
        <v>Atomic Unit Of Time</v>
      </c>
      <c r="D43" s="21" t="str">
        <f t="shared" si="10"/>
        <v>Unité atomique de temps</v>
      </c>
      <c r="E43" s="17" t="s">
        <v>1090</v>
      </c>
      <c r="F43" s="17" t="s">
        <v>1091</v>
      </c>
      <c r="G43" s="18" t="s">
        <v>520</v>
      </c>
      <c r="H43" s="18" t="str">
        <f t="shared" si="3"/>
        <v>s</v>
      </c>
      <c r="I43" s="17">
        <f>if(H43="","", countif(Units!A:A,H43))</f>
        <v>2</v>
      </c>
      <c r="J43" s="18" t="s">
        <v>264</v>
      </c>
      <c r="K43" s="28">
        <f>countif(Quantities!A:A,J43)</f>
        <v>1</v>
      </c>
      <c r="L43" s="30" t="b">
        <f t="shared" si="4"/>
        <v>1</v>
      </c>
      <c r="M43" s="17" t="s">
        <v>264</v>
      </c>
      <c r="N43" s="34" t="str">
        <f t="shared" si="5"/>
        <v>qudt</v>
      </c>
      <c r="O43" s="18" t="b">
        <f t="shared" si="6"/>
        <v>1</v>
      </c>
      <c r="P43" s="39"/>
      <c r="Q43" s="39"/>
      <c r="R43" s="39" t="str">
        <f t="shared" si="7"/>
        <v/>
      </c>
      <c r="S43" s="43">
        <f t="shared" si="8"/>
        <v>7</v>
      </c>
      <c r="T43" s="21">
        <f>countif('v2022'!E:E,A43)</f>
        <v>1</v>
      </c>
      <c r="U43" s="21">
        <f>countif('v2018'!E:E,A43)</f>
        <v>1</v>
      </c>
      <c r="V43" s="21">
        <f>countif('v2014'!E:E,A43)</f>
        <v>1</v>
      </c>
      <c r="W43" s="21">
        <f>countif('v2010'!E:E,A43)</f>
        <v>1</v>
      </c>
      <c r="X43" s="21">
        <f>countif('v2006'!E:E,A43)</f>
        <v>1</v>
      </c>
      <c r="Y43" s="21">
        <f>countif('v2002'!E:E,A43)</f>
        <v>1</v>
      </c>
      <c r="Z43" s="21">
        <f>countif('v1998'!E:E,A43)</f>
        <v>1</v>
      </c>
    </row>
    <row r="44">
      <c r="A44" s="17" t="s">
        <v>1102</v>
      </c>
      <c r="B44" s="18" t="s">
        <v>273</v>
      </c>
      <c r="C44" s="21" t="str">
        <f t="shared" si="11"/>
        <v>Atomic Unit Of Velocity</v>
      </c>
      <c r="D44" s="21" t="str">
        <f t="shared" si="10"/>
        <v>Unité atomique de vitesse</v>
      </c>
      <c r="E44" s="17" t="s">
        <v>1107</v>
      </c>
      <c r="F44" s="17" t="s">
        <v>1108</v>
      </c>
      <c r="G44" s="18" t="s">
        <v>1109</v>
      </c>
      <c r="H44" s="18" t="str">
        <f t="shared" si="3"/>
        <v>m_s-1</v>
      </c>
      <c r="I44" s="17">
        <f>if(H44="","", countif(Units!A:A,H44))</f>
        <v>1</v>
      </c>
      <c r="J44" s="18" t="s">
        <v>273</v>
      </c>
      <c r="K44" s="28">
        <f>countif(Quantities!A:A,J44)</f>
        <v>1</v>
      </c>
      <c r="L44" s="30" t="b">
        <f t="shared" si="4"/>
        <v>1</v>
      </c>
      <c r="M44" s="17" t="s">
        <v>273</v>
      </c>
      <c r="N44" s="34" t="str">
        <f t="shared" si="5"/>
        <v>qudt</v>
      </c>
      <c r="O44" s="18" t="b">
        <f t="shared" si="6"/>
        <v>1</v>
      </c>
      <c r="P44" s="39"/>
      <c r="Q44" s="39"/>
      <c r="R44" s="39" t="str">
        <f t="shared" si="7"/>
        <v/>
      </c>
      <c r="S44" s="43">
        <f t="shared" si="8"/>
        <v>7</v>
      </c>
      <c r="T44" s="21">
        <f>countif('v2022'!E:E,A44)</f>
        <v>1</v>
      </c>
      <c r="U44" s="21">
        <f>countif('v2018'!E:E,A44)</f>
        <v>1</v>
      </c>
      <c r="V44" s="21">
        <f>countif('v2014'!E:E,A44)</f>
        <v>1</v>
      </c>
      <c r="W44" s="21">
        <f>countif('v2010'!E:E,A44)</f>
        <v>1</v>
      </c>
      <c r="X44" s="21">
        <f>countif('v2006'!E:E,A44)</f>
        <v>1</v>
      </c>
      <c r="Y44" s="21">
        <f>countif('v2002'!E:E,A44)</f>
        <v>1</v>
      </c>
      <c r="Z44" s="21">
        <f>countif('v1998'!E:E,A44)</f>
        <v>1</v>
      </c>
    </row>
    <row r="45">
      <c r="A45" s="17" t="s">
        <v>1123</v>
      </c>
      <c r="B45" s="18" t="s">
        <v>280</v>
      </c>
      <c r="C45" s="21" t="str">
        <f t="shared" si="11"/>
        <v>Avogadro Constant</v>
      </c>
      <c r="D45" s="21" t="str">
        <f t="shared" si="10"/>
        <v>Constante d'Avogadro</v>
      </c>
      <c r="E45" s="17" t="s">
        <v>1125</v>
      </c>
      <c r="F45" s="17" t="s">
        <v>1126</v>
      </c>
      <c r="G45" s="18" t="s">
        <v>1127</v>
      </c>
      <c r="H45" s="18" t="str">
        <f t="shared" si="3"/>
        <v>mol-1</v>
      </c>
      <c r="I45" s="17">
        <f>if(H45="","", countif(Units!A:A,H45))</f>
        <v>1</v>
      </c>
      <c r="J45" s="18" t="s">
        <v>280</v>
      </c>
      <c r="K45" s="28">
        <f>countif(Quantities!A:A,J45)</f>
        <v>1</v>
      </c>
      <c r="L45" s="30" t="b">
        <f t="shared" si="4"/>
        <v>1</v>
      </c>
      <c r="M45" s="17" t="s">
        <v>280</v>
      </c>
      <c r="N45" s="34" t="str">
        <f t="shared" si="5"/>
        <v>qudt</v>
      </c>
      <c r="O45" s="18" t="b">
        <f t="shared" si="6"/>
        <v>1</v>
      </c>
      <c r="P45" s="39"/>
      <c r="Q45" s="39" t="s">
        <v>280</v>
      </c>
      <c r="R45" s="34" t="str">
        <f t="shared" si="7"/>
        <v>SI</v>
      </c>
      <c r="S45" s="43">
        <f t="shared" si="8"/>
        <v>7</v>
      </c>
      <c r="T45" s="21">
        <f>countif('v2022'!E:E,A45)</f>
        <v>1</v>
      </c>
      <c r="U45" s="21">
        <f>countif('v2018'!E:E,A45)</f>
        <v>1</v>
      </c>
      <c r="V45" s="21">
        <f>countif('v2014'!E:E,A45)</f>
        <v>1</v>
      </c>
      <c r="W45" s="21">
        <f>countif('v2010'!E:E,A45)</f>
        <v>1</v>
      </c>
      <c r="X45" s="21">
        <f>countif('v2006'!E:E,A45)</f>
        <v>1</v>
      </c>
      <c r="Y45" s="21">
        <f>countif('v2002'!E:E,A45)</f>
        <v>1</v>
      </c>
      <c r="Z45" s="21">
        <f>countif('v1998'!E:E,A45)</f>
        <v>1</v>
      </c>
    </row>
    <row r="46">
      <c r="A46" s="17" t="s">
        <v>1142</v>
      </c>
      <c r="B46" s="18" t="s">
        <v>287</v>
      </c>
      <c r="C46" s="21" t="str">
        <f t="shared" si="11"/>
        <v>Bohr Magneton</v>
      </c>
      <c r="D46" s="21" t="str">
        <f t="shared" si="10"/>
        <v>Magnéton de Bohr</v>
      </c>
      <c r="E46" s="17" t="s">
        <v>1146</v>
      </c>
      <c r="F46" s="17" t="s">
        <v>1147</v>
      </c>
      <c r="G46" s="18" t="s">
        <v>964</v>
      </c>
      <c r="H46" s="18" t="str">
        <f t="shared" si="3"/>
        <v>J_T-1</v>
      </c>
      <c r="I46" s="17">
        <f>if(H46="","", countif(Units!A:A,H46))</f>
        <v>1</v>
      </c>
      <c r="J46" s="18" t="s">
        <v>287</v>
      </c>
      <c r="K46" s="28">
        <f>countif(Quantities!A:A,J46)</f>
        <v>1</v>
      </c>
      <c r="L46" s="30" t="b">
        <f t="shared" si="4"/>
        <v>1</v>
      </c>
      <c r="M46" s="17" t="s">
        <v>287</v>
      </c>
      <c r="N46" s="34" t="str">
        <f t="shared" si="5"/>
        <v>qudt</v>
      </c>
      <c r="O46" s="18" t="b">
        <f t="shared" si="6"/>
        <v>1</v>
      </c>
      <c r="P46" s="39"/>
      <c r="Q46" s="39"/>
      <c r="R46" s="39" t="str">
        <f t="shared" si="7"/>
        <v/>
      </c>
      <c r="S46" s="43">
        <f t="shared" si="8"/>
        <v>7</v>
      </c>
      <c r="T46" s="21">
        <f>countif('v2022'!E:E,A46)</f>
        <v>1</v>
      </c>
      <c r="U46" s="21">
        <f>countif('v2018'!E:E,A46)</f>
        <v>1</v>
      </c>
      <c r="V46" s="21">
        <f>countif('v2014'!E:E,A46)</f>
        <v>1</v>
      </c>
      <c r="W46" s="21">
        <f>countif('v2010'!E:E,A46)</f>
        <v>1</v>
      </c>
      <c r="X46" s="21">
        <f>countif('v2006'!E:E,A46)</f>
        <v>1</v>
      </c>
      <c r="Y46" s="21">
        <f>countif('v2002'!E:E,A46)</f>
        <v>1</v>
      </c>
      <c r="Z46" s="21">
        <f>countif('v1998'!E:E,A46)</f>
        <v>1</v>
      </c>
    </row>
    <row r="47">
      <c r="A47" s="17" t="s">
        <v>1159</v>
      </c>
      <c r="B47" s="18" t="s">
        <v>1160</v>
      </c>
      <c r="C47" s="17" t="s">
        <v>1161</v>
      </c>
      <c r="D47" s="21" t="str">
        <f t="shared" si="10"/>
        <v>Magnéton de Bohr en eV/T</v>
      </c>
      <c r="E47" s="17" t="s">
        <v>1162</v>
      </c>
      <c r="F47" s="17" t="s">
        <v>1164</v>
      </c>
      <c r="G47" s="18" t="s">
        <v>1165</v>
      </c>
      <c r="H47" s="18" t="str">
        <f t="shared" si="3"/>
        <v>eV_T-1</v>
      </c>
      <c r="I47" s="17">
        <f>if(H47="","", countif(Units!A:A,H47))</f>
        <v>1</v>
      </c>
      <c r="J47" s="18" t="s">
        <v>287</v>
      </c>
      <c r="K47" s="28">
        <f>countif(Quantities!A:A,J47)</f>
        <v>1</v>
      </c>
      <c r="L47" s="30" t="b">
        <f t="shared" si="4"/>
        <v>0</v>
      </c>
      <c r="M47" s="17" t="s">
        <v>1160</v>
      </c>
      <c r="N47" s="34" t="str">
        <f t="shared" si="5"/>
        <v>qudt</v>
      </c>
      <c r="O47" s="18" t="b">
        <f t="shared" si="6"/>
        <v>1</v>
      </c>
      <c r="P47" s="39"/>
      <c r="Q47" s="39"/>
      <c r="R47" s="39" t="str">
        <f t="shared" si="7"/>
        <v/>
      </c>
      <c r="S47" s="43">
        <f t="shared" si="8"/>
        <v>7</v>
      </c>
      <c r="T47" s="21">
        <f>countif('v2022'!E:E,A47)</f>
        <v>1</v>
      </c>
      <c r="U47" s="21">
        <f>countif('v2018'!E:E,A47)</f>
        <v>1</v>
      </c>
      <c r="V47" s="21">
        <f>countif('v2014'!E:E,A47)</f>
        <v>1</v>
      </c>
      <c r="W47" s="21">
        <f>countif('v2010'!E:E,A47)</f>
        <v>1</v>
      </c>
      <c r="X47" s="21">
        <f>countif('v2006'!E:E,A47)</f>
        <v>1</v>
      </c>
      <c r="Y47" s="21">
        <f>countif('v2002'!E:E,A47)</f>
        <v>1</v>
      </c>
      <c r="Z47" s="21">
        <f>countif('v1998'!E:E,A47)</f>
        <v>1</v>
      </c>
    </row>
    <row r="48">
      <c r="A48" s="17" t="s">
        <v>1180</v>
      </c>
      <c r="B48" s="18" t="s">
        <v>1181</v>
      </c>
      <c r="C48" s="21" t="str">
        <f t="shared" ref="C48:C52" si="12">proper(E48)</f>
        <v>Bohr Magneton In Hz/T</v>
      </c>
      <c r="D48" s="21" t="str">
        <f t="shared" si="10"/>
        <v>Magnéton de Bohr en Hz/T</v>
      </c>
      <c r="E48" s="17" t="s">
        <v>1184</v>
      </c>
      <c r="F48" s="17" t="s">
        <v>1185</v>
      </c>
      <c r="G48" s="18" t="s">
        <v>1186</v>
      </c>
      <c r="H48" s="18" t="str">
        <f t="shared" si="3"/>
        <v>Hz_T-1</v>
      </c>
      <c r="I48" s="17">
        <f>if(H48="","", countif(Units!A:A,H48))</f>
        <v>1</v>
      </c>
      <c r="J48" s="18" t="s">
        <v>287</v>
      </c>
      <c r="K48" s="28">
        <f>countif(Quantities!A:A,J48)</f>
        <v>1</v>
      </c>
      <c r="L48" s="30" t="b">
        <f t="shared" si="4"/>
        <v>0</v>
      </c>
      <c r="M48" s="17" t="s">
        <v>1181</v>
      </c>
      <c r="N48" s="34" t="str">
        <f t="shared" si="5"/>
        <v>qudt</v>
      </c>
      <c r="O48" s="18" t="b">
        <f t="shared" si="6"/>
        <v>1</v>
      </c>
      <c r="P48" s="39"/>
      <c r="Q48" s="39"/>
      <c r="R48" s="39" t="str">
        <f t="shared" si="7"/>
        <v/>
      </c>
      <c r="S48" s="43">
        <f t="shared" si="8"/>
        <v>7</v>
      </c>
      <c r="T48" s="21">
        <f>countif('v2022'!E:E,A48)</f>
        <v>1</v>
      </c>
      <c r="U48" s="21">
        <f>countif('v2018'!E:E,A48)</f>
        <v>1</v>
      </c>
      <c r="V48" s="21">
        <f>countif('v2014'!E:E,A48)</f>
        <v>1</v>
      </c>
      <c r="W48" s="21">
        <f>countif('v2010'!E:E,A48)</f>
        <v>1</v>
      </c>
      <c r="X48" s="21">
        <f>countif('v2006'!E:E,A48)</f>
        <v>1</v>
      </c>
      <c r="Y48" s="21">
        <f>countif('v2002'!E:E,A48)</f>
        <v>1</v>
      </c>
      <c r="Z48" s="21">
        <f>countif('v1998'!E:E,A48)</f>
        <v>1</v>
      </c>
    </row>
    <row r="49">
      <c r="A49" s="17" t="s">
        <v>1199</v>
      </c>
      <c r="B49" s="18" t="s">
        <v>1201</v>
      </c>
      <c r="C49" s="21" t="str">
        <f t="shared" si="12"/>
        <v>Bohr Magneton In Inverse Meter Per Tesla</v>
      </c>
      <c r="D49" s="21" t="str">
        <f t="shared" si="10"/>
        <v>Magnéton de Bohr en mètre inverse par tesla</v>
      </c>
      <c r="E49" s="17" t="s">
        <v>1203</v>
      </c>
      <c r="F49" s="17" t="s">
        <v>1204</v>
      </c>
      <c r="G49" s="18" t="s">
        <v>1205</v>
      </c>
      <c r="H49" s="18" t="str">
        <f t="shared" si="3"/>
        <v>m-1_T-1</v>
      </c>
      <c r="I49" s="17">
        <f>if(H49="","", countif(Units!A:A,H49))</f>
        <v>1</v>
      </c>
      <c r="J49" s="18" t="s">
        <v>287</v>
      </c>
      <c r="K49" s="28">
        <f>countif(Quantities!A:A,J49)</f>
        <v>1</v>
      </c>
      <c r="L49" s="30" t="b">
        <f t="shared" si="4"/>
        <v>0</v>
      </c>
      <c r="M49" s="17" t="s">
        <v>1201</v>
      </c>
      <c r="N49" s="34" t="str">
        <f t="shared" si="5"/>
        <v>qudt</v>
      </c>
      <c r="O49" s="18" t="b">
        <f t="shared" si="6"/>
        <v>1</v>
      </c>
      <c r="P49" s="39"/>
      <c r="Q49" s="39"/>
      <c r="R49" s="39" t="str">
        <f t="shared" si="7"/>
        <v/>
      </c>
      <c r="S49" s="43">
        <f t="shared" si="8"/>
        <v>7</v>
      </c>
      <c r="T49" s="21">
        <f>countif('v2022'!E:E,A49)</f>
        <v>1</v>
      </c>
      <c r="U49" s="21">
        <f>countif('v2018'!E:E,A49)</f>
        <v>1</v>
      </c>
      <c r="V49" s="21">
        <f>countif('v2014'!E:E,A49)</f>
        <v>1</v>
      </c>
      <c r="W49" s="21">
        <f>countif('v2010'!E:E,A49)</f>
        <v>1</v>
      </c>
      <c r="X49" s="21">
        <f>countif('v2006'!E:E,A49)</f>
        <v>1</v>
      </c>
      <c r="Y49" s="21">
        <f>countif('v2002'!E:E,A49)</f>
        <v>1</v>
      </c>
      <c r="Z49" s="21">
        <f>countif('v1998'!E:E,A49)</f>
        <v>1</v>
      </c>
    </row>
    <row r="50">
      <c r="A50" s="17" t="s">
        <v>1221</v>
      </c>
      <c r="B50" s="18" t="s">
        <v>1223</v>
      </c>
      <c r="C50" s="21" t="str">
        <f t="shared" si="12"/>
        <v>Bohr Magneton In K/T</v>
      </c>
      <c r="D50" s="21" t="str">
        <f t="shared" si="10"/>
        <v>Magnéton de Bohr en K/T</v>
      </c>
      <c r="E50" s="17" t="s">
        <v>1224</v>
      </c>
      <c r="F50" s="17" t="s">
        <v>1225</v>
      </c>
      <c r="G50" s="18" t="s">
        <v>1226</v>
      </c>
      <c r="H50" s="18" t="str">
        <f t="shared" si="3"/>
        <v>K_T-1</v>
      </c>
      <c r="I50" s="17">
        <f>if(H50="","", countif(Units!A:A,H50))</f>
        <v>1</v>
      </c>
      <c r="J50" s="18" t="s">
        <v>287</v>
      </c>
      <c r="K50" s="28">
        <f>countif(Quantities!A:A,J50)</f>
        <v>1</v>
      </c>
      <c r="L50" s="30" t="b">
        <f t="shared" si="4"/>
        <v>0</v>
      </c>
      <c r="M50" s="17" t="s">
        <v>1223</v>
      </c>
      <c r="N50" s="34" t="str">
        <f t="shared" si="5"/>
        <v>qudt</v>
      </c>
      <c r="O50" s="18" t="b">
        <f t="shared" si="6"/>
        <v>1</v>
      </c>
      <c r="P50" s="39"/>
      <c r="Q50" s="39"/>
      <c r="R50" s="39" t="str">
        <f t="shared" si="7"/>
        <v/>
      </c>
      <c r="S50" s="43">
        <f t="shared" si="8"/>
        <v>7</v>
      </c>
      <c r="T50" s="21">
        <f>countif('v2022'!E:E,A50)</f>
        <v>1</v>
      </c>
      <c r="U50" s="21">
        <f>countif('v2018'!E:E,A50)</f>
        <v>1</v>
      </c>
      <c r="V50" s="21">
        <f>countif('v2014'!E:E,A50)</f>
        <v>1</v>
      </c>
      <c r="W50" s="21">
        <f>countif('v2010'!E:E,A50)</f>
        <v>1</v>
      </c>
      <c r="X50" s="21">
        <f>countif('v2006'!E:E,A50)</f>
        <v>1</v>
      </c>
      <c r="Y50" s="21">
        <f>countif('v2002'!E:E,A50)</f>
        <v>1</v>
      </c>
      <c r="Z50" s="21">
        <f>countif('v1998'!E:E,A50)</f>
        <v>1</v>
      </c>
    </row>
    <row r="51">
      <c r="A51" s="17" t="s">
        <v>1238</v>
      </c>
      <c r="B51" s="18" t="s">
        <v>290</v>
      </c>
      <c r="C51" s="21" t="str">
        <f t="shared" si="12"/>
        <v>Bohr Radius</v>
      </c>
      <c r="D51" s="21" t="str">
        <f t="shared" si="10"/>
        <v>Rayon de Bohr</v>
      </c>
      <c r="E51" s="17" t="s">
        <v>1240</v>
      </c>
      <c r="F51" s="17" t="s">
        <v>1241</v>
      </c>
      <c r="G51" s="18" t="s">
        <v>381</v>
      </c>
      <c r="H51" s="18" t="str">
        <f t="shared" si="3"/>
        <v>m</v>
      </c>
      <c r="I51" s="17">
        <f>if(H51="","", countif(Units!A:A,H51))</f>
        <v>1</v>
      </c>
      <c r="J51" s="18" t="s">
        <v>290</v>
      </c>
      <c r="K51" s="28">
        <f>countif(Quantities!A:A,J51)</f>
        <v>1</v>
      </c>
      <c r="L51" s="30" t="b">
        <f t="shared" si="4"/>
        <v>1</v>
      </c>
      <c r="M51" s="17" t="s">
        <v>290</v>
      </c>
      <c r="N51" s="34" t="str">
        <f t="shared" si="5"/>
        <v>qudt</v>
      </c>
      <c r="O51" s="18" t="b">
        <f t="shared" si="6"/>
        <v>1</v>
      </c>
      <c r="P51" s="39"/>
      <c r="Q51" s="39"/>
      <c r="R51" s="39" t="str">
        <f t="shared" si="7"/>
        <v/>
      </c>
      <c r="S51" s="43">
        <f t="shared" si="8"/>
        <v>7</v>
      </c>
      <c r="T51" s="21">
        <f>countif('v2022'!E:E,A51)</f>
        <v>1</v>
      </c>
      <c r="U51" s="21">
        <f>countif('v2018'!E:E,A51)</f>
        <v>1</v>
      </c>
      <c r="V51" s="21">
        <f>countif('v2014'!E:E,A51)</f>
        <v>1</v>
      </c>
      <c r="W51" s="21">
        <f>countif('v2010'!E:E,A51)</f>
        <v>1</v>
      </c>
      <c r="X51" s="21">
        <f>countif('v2006'!E:E,A51)</f>
        <v>1</v>
      </c>
      <c r="Y51" s="21">
        <f>countif('v2002'!E:E,A51)</f>
        <v>1</v>
      </c>
      <c r="Z51" s="21">
        <f>countif('v1998'!E:E,A51)</f>
        <v>1</v>
      </c>
    </row>
    <row r="52">
      <c r="A52" s="17" t="s">
        <v>1256</v>
      </c>
      <c r="B52" s="18" t="s">
        <v>292</v>
      </c>
      <c r="C52" s="21" t="str">
        <f t="shared" si="12"/>
        <v>Boltzmann Constant</v>
      </c>
      <c r="D52" s="21" t="str">
        <f t="shared" si="10"/>
        <v>Constante de Boltzmann</v>
      </c>
      <c r="E52" s="17" t="s">
        <v>1258</v>
      </c>
      <c r="F52" s="17" t="s">
        <v>1259</v>
      </c>
      <c r="G52" s="18" t="s">
        <v>1260</v>
      </c>
      <c r="H52" s="18" t="str">
        <f t="shared" si="3"/>
        <v>J_K-1</v>
      </c>
      <c r="I52" s="17">
        <f>if(H52="","", countif(Units!A:A,H52))</f>
        <v>1</v>
      </c>
      <c r="J52" s="18" t="s">
        <v>292</v>
      </c>
      <c r="K52" s="28">
        <f>countif(Quantities!A:A,J52)</f>
        <v>1</v>
      </c>
      <c r="L52" s="30" t="b">
        <f t="shared" si="4"/>
        <v>1</v>
      </c>
      <c r="M52" s="17" t="s">
        <v>292</v>
      </c>
      <c r="N52" s="34" t="str">
        <f t="shared" si="5"/>
        <v>qudt</v>
      </c>
      <c r="O52" s="18" t="b">
        <f t="shared" si="6"/>
        <v>1</v>
      </c>
      <c r="P52" s="39" t="s">
        <v>1266</v>
      </c>
      <c r="Q52" s="39" t="s">
        <v>292</v>
      </c>
      <c r="R52" s="34" t="str">
        <f t="shared" si="7"/>
        <v>SI</v>
      </c>
      <c r="S52" s="43">
        <f t="shared" si="8"/>
        <v>7</v>
      </c>
      <c r="T52" s="21">
        <f>countif('v2022'!E:E,A52)</f>
        <v>1</v>
      </c>
      <c r="U52" s="21">
        <f>countif('v2018'!E:E,A52)</f>
        <v>1</v>
      </c>
      <c r="V52" s="21">
        <f>countif('v2014'!E:E,A52)</f>
        <v>1</v>
      </c>
      <c r="W52" s="21">
        <f>countif('v2010'!E:E,A52)</f>
        <v>1</v>
      </c>
      <c r="X52" s="21">
        <f>countif('v2006'!E:E,A52)</f>
        <v>1</v>
      </c>
      <c r="Y52" s="21">
        <f>countif('v2002'!E:E,A52)</f>
        <v>1</v>
      </c>
      <c r="Z52" s="21">
        <f>countif('v1998'!E:E,A52)</f>
        <v>1</v>
      </c>
    </row>
    <row r="53">
      <c r="A53" s="17" t="s">
        <v>1276</v>
      </c>
      <c r="B53" s="18" t="s">
        <v>1277</v>
      </c>
      <c r="C53" s="17" t="s">
        <v>1278</v>
      </c>
      <c r="D53" s="21" t="str">
        <f t="shared" si="10"/>
        <v>Constante de Boltzmann en eV/K</v>
      </c>
      <c r="E53" s="17" t="s">
        <v>1279</v>
      </c>
      <c r="F53" s="17" t="s">
        <v>1281</v>
      </c>
      <c r="G53" s="18" t="s">
        <v>1283</v>
      </c>
      <c r="H53" s="18" t="str">
        <f t="shared" si="3"/>
        <v>eV_K-1</v>
      </c>
      <c r="I53" s="17">
        <f>if(H53="","", countif(Units!A:A,H53))</f>
        <v>1</v>
      </c>
      <c r="J53" s="18" t="s">
        <v>292</v>
      </c>
      <c r="K53" s="28">
        <f>countif(Quantities!A:A,J53)</f>
        <v>1</v>
      </c>
      <c r="L53" s="30" t="b">
        <f t="shared" si="4"/>
        <v>0</v>
      </c>
      <c r="M53" s="17" t="s">
        <v>1277</v>
      </c>
      <c r="N53" s="34" t="str">
        <f t="shared" si="5"/>
        <v>qudt</v>
      </c>
      <c r="O53" s="18" t="b">
        <f t="shared" si="6"/>
        <v>1</v>
      </c>
      <c r="P53" s="39"/>
      <c r="Q53" s="39"/>
      <c r="R53" s="39" t="str">
        <f t="shared" si="7"/>
        <v/>
      </c>
      <c r="S53" s="43">
        <f t="shared" si="8"/>
        <v>7</v>
      </c>
      <c r="T53" s="21">
        <f>countif('v2022'!E:E,A53)</f>
        <v>1</v>
      </c>
      <c r="U53" s="21">
        <f>countif('v2018'!E:E,A53)</f>
        <v>1</v>
      </c>
      <c r="V53" s="21">
        <f>countif('v2014'!E:E,A53)</f>
        <v>1</v>
      </c>
      <c r="W53" s="21">
        <f>countif('v2010'!E:E,A53)</f>
        <v>1</v>
      </c>
      <c r="X53" s="21">
        <f>countif('v2006'!E:E,A53)</f>
        <v>1</v>
      </c>
      <c r="Y53" s="21">
        <f>countif('v2002'!E:E,A53)</f>
        <v>1</v>
      </c>
      <c r="Z53" s="21">
        <f>countif('v1998'!E:E,A53)</f>
        <v>1</v>
      </c>
    </row>
    <row r="54">
      <c r="A54" s="17" t="s">
        <v>1297</v>
      </c>
      <c r="B54" s="18" t="s">
        <v>1298</v>
      </c>
      <c r="C54" s="21" t="str">
        <f t="shared" ref="C54:C77" si="13">proper(E54)</f>
        <v>Boltzmann Constant In Hz/K</v>
      </c>
      <c r="D54" s="21" t="str">
        <f t="shared" si="10"/>
        <v>Constante de Boltzmann en Hz/K</v>
      </c>
      <c r="E54" s="17" t="s">
        <v>1301</v>
      </c>
      <c r="F54" s="17" t="s">
        <v>1302</v>
      </c>
      <c r="G54" s="18" t="s">
        <v>1303</v>
      </c>
      <c r="H54" s="18" t="str">
        <f t="shared" si="3"/>
        <v>Hz_K-1</v>
      </c>
      <c r="I54" s="17">
        <f>if(H54="","", countif(Units!A:A,H54))</f>
        <v>1</v>
      </c>
      <c r="J54" s="18" t="s">
        <v>292</v>
      </c>
      <c r="K54" s="28">
        <f>countif(Quantities!A:A,J54)</f>
        <v>1</v>
      </c>
      <c r="L54" s="30" t="b">
        <f t="shared" si="4"/>
        <v>0</v>
      </c>
      <c r="M54" s="17" t="s">
        <v>1298</v>
      </c>
      <c r="N54" s="34" t="str">
        <f t="shared" si="5"/>
        <v>qudt</v>
      </c>
      <c r="O54" s="18" t="b">
        <f t="shared" si="6"/>
        <v>1</v>
      </c>
      <c r="P54" s="39"/>
      <c r="Q54" s="39"/>
      <c r="R54" s="39" t="str">
        <f t="shared" si="7"/>
        <v/>
      </c>
      <c r="S54" s="43">
        <f t="shared" si="8"/>
        <v>7</v>
      </c>
      <c r="T54" s="21">
        <f>countif('v2022'!E:E,A54)</f>
        <v>1</v>
      </c>
      <c r="U54" s="21">
        <f>countif('v2018'!E:E,A54)</f>
        <v>1</v>
      </c>
      <c r="V54" s="21">
        <f>countif('v2014'!E:E,A54)</f>
        <v>1</v>
      </c>
      <c r="W54" s="21">
        <f>countif('v2010'!E:E,A54)</f>
        <v>1</v>
      </c>
      <c r="X54" s="21">
        <f>countif('v2006'!E:E,A54)</f>
        <v>1</v>
      </c>
      <c r="Y54" s="21">
        <f>countif('v2002'!E:E,A54)</f>
        <v>1</v>
      </c>
      <c r="Z54" s="21">
        <f>countif('v1998'!E:E,A54)</f>
        <v>1</v>
      </c>
    </row>
    <row r="55">
      <c r="A55" s="17" t="s">
        <v>1317</v>
      </c>
      <c r="B55" s="18" t="s">
        <v>1318</v>
      </c>
      <c r="C55" s="21" t="str">
        <f t="shared" si="13"/>
        <v>Boltzmann Constant In Inverse Meter Per Kelvin</v>
      </c>
      <c r="D55" s="21" t="str">
        <f t="shared" si="10"/>
        <v>Constante de Boltzmann en mètre inverse par kelvin</v>
      </c>
      <c r="E55" s="17" t="s">
        <v>1319</v>
      </c>
      <c r="F55" s="17" t="s">
        <v>1320</v>
      </c>
      <c r="G55" s="18" t="s">
        <v>1321</v>
      </c>
      <c r="H55" s="18" t="str">
        <f t="shared" si="3"/>
        <v>m-1_K-1</v>
      </c>
      <c r="I55" s="17">
        <f>if(H55="","", countif(Units!A:A,H55))</f>
        <v>1</v>
      </c>
      <c r="J55" s="18" t="s">
        <v>292</v>
      </c>
      <c r="K55" s="28">
        <f>countif(Quantities!A:A,J55)</f>
        <v>1</v>
      </c>
      <c r="L55" s="30" t="b">
        <f t="shared" si="4"/>
        <v>0</v>
      </c>
      <c r="M55" s="17" t="s">
        <v>1318</v>
      </c>
      <c r="N55" s="34" t="str">
        <f t="shared" si="5"/>
        <v>qudt</v>
      </c>
      <c r="O55" s="18" t="b">
        <f t="shared" si="6"/>
        <v>1</v>
      </c>
      <c r="P55" s="39"/>
      <c r="Q55" s="39"/>
      <c r="R55" s="39" t="str">
        <f t="shared" si="7"/>
        <v/>
      </c>
      <c r="S55" s="43">
        <f t="shared" si="8"/>
        <v>7</v>
      </c>
      <c r="T55" s="21">
        <f>countif('v2022'!E:E,A55)</f>
        <v>1</v>
      </c>
      <c r="U55" s="21">
        <f>countif('v2018'!E:E,A55)</f>
        <v>1</v>
      </c>
      <c r="V55" s="21">
        <f>countif('v2014'!E:E,A55)</f>
        <v>1</v>
      </c>
      <c r="W55" s="21">
        <f>countif('v2010'!E:E,A55)</f>
        <v>1</v>
      </c>
      <c r="X55" s="21">
        <f>countif('v2006'!E:E,A55)</f>
        <v>1</v>
      </c>
      <c r="Y55" s="21">
        <f>countif('v2002'!E:E,A55)</f>
        <v>1</v>
      </c>
      <c r="Z55" s="21">
        <f>countif('v1998'!E:E,A55)</f>
        <v>1</v>
      </c>
    </row>
    <row r="56">
      <c r="A56" s="17" t="s">
        <v>1334</v>
      </c>
      <c r="B56" s="18" t="s">
        <v>296</v>
      </c>
      <c r="C56" s="21" t="str">
        <f t="shared" si="13"/>
        <v>Characteristic Impedance Of Vacuum</v>
      </c>
      <c r="D56" s="21" t="str">
        <f t="shared" si="10"/>
        <v>Impédance caractéristique du vide</v>
      </c>
      <c r="E56" s="17" t="s">
        <v>1335</v>
      </c>
      <c r="F56" s="17" t="s">
        <v>1336</v>
      </c>
      <c r="G56" s="18" t="s">
        <v>500</v>
      </c>
      <c r="H56" s="18" t="str">
        <f t="shared" si="3"/>
        <v>ohm</v>
      </c>
      <c r="I56" s="17">
        <f>if(H56="","", countif(Units!A:A,H56))</f>
        <v>1</v>
      </c>
      <c r="J56" s="18" t="s">
        <v>296</v>
      </c>
      <c r="K56" s="28">
        <f>countif(Quantities!A:A,J56)</f>
        <v>1</v>
      </c>
      <c r="L56" s="30" t="b">
        <f t="shared" si="4"/>
        <v>1</v>
      </c>
      <c r="M56" s="17" t="s">
        <v>296</v>
      </c>
      <c r="N56" s="34" t="str">
        <f t="shared" si="5"/>
        <v>qudt</v>
      </c>
      <c r="O56" s="18" t="b">
        <f t="shared" si="6"/>
        <v>1</v>
      </c>
      <c r="P56" s="39"/>
      <c r="Q56" s="39"/>
      <c r="R56" s="39" t="str">
        <f t="shared" si="7"/>
        <v/>
      </c>
      <c r="S56" s="43">
        <f t="shared" si="8"/>
        <v>7</v>
      </c>
      <c r="T56" s="21">
        <f>countif('v2022'!E:E,A56)</f>
        <v>1</v>
      </c>
      <c r="U56" s="21">
        <f>countif('v2018'!E:E,A56)</f>
        <v>1</v>
      </c>
      <c r="V56" s="21">
        <f>countif('v2014'!E:E,A56)</f>
        <v>1</v>
      </c>
      <c r="W56" s="21">
        <f>countif('v2010'!E:E,A56)</f>
        <v>1</v>
      </c>
      <c r="X56" s="21">
        <f>countif('v2006'!E:E,A56)</f>
        <v>1</v>
      </c>
      <c r="Y56" s="21">
        <f>countif('v2002'!E:E,A56)</f>
        <v>1</v>
      </c>
      <c r="Z56" s="21">
        <f>countif('v1998'!E:E,A56)</f>
        <v>1</v>
      </c>
    </row>
    <row r="57">
      <c r="A57" s="17" t="s">
        <v>1350</v>
      </c>
      <c r="B57" s="18" t="s">
        <v>303</v>
      </c>
      <c r="C57" s="21" t="str">
        <f t="shared" si="13"/>
        <v>Classical Electron Radius</v>
      </c>
      <c r="D57" s="21" t="str">
        <f t="shared" si="10"/>
        <v>Rayon classique de l'électron</v>
      </c>
      <c r="E57" s="17" t="s">
        <v>1351</v>
      </c>
      <c r="F57" s="17" t="s">
        <v>1352</v>
      </c>
      <c r="G57" s="18" t="s">
        <v>381</v>
      </c>
      <c r="H57" s="18" t="str">
        <f t="shared" si="3"/>
        <v>m</v>
      </c>
      <c r="I57" s="17">
        <f>if(H57="","", countif(Units!A:A,H57))</f>
        <v>1</v>
      </c>
      <c r="J57" s="18" t="s">
        <v>303</v>
      </c>
      <c r="K57" s="28">
        <f>countif(Quantities!A:A,J57)</f>
        <v>1</v>
      </c>
      <c r="L57" s="30" t="b">
        <f t="shared" si="4"/>
        <v>1</v>
      </c>
      <c r="M57" s="17" t="s">
        <v>303</v>
      </c>
      <c r="N57" s="34" t="str">
        <f t="shared" si="5"/>
        <v>qudt</v>
      </c>
      <c r="O57" s="18" t="b">
        <f t="shared" si="6"/>
        <v>1</v>
      </c>
      <c r="P57" s="39"/>
      <c r="Q57" s="39"/>
      <c r="R57" s="39" t="str">
        <f t="shared" si="7"/>
        <v/>
      </c>
      <c r="S57" s="43">
        <f t="shared" si="8"/>
        <v>7</v>
      </c>
      <c r="T57" s="21">
        <f>countif('v2022'!E:E,A57)</f>
        <v>1</v>
      </c>
      <c r="U57" s="21">
        <f>countif('v2018'!E:E,A57)</f>
        <v>1</v>
      </c>
      <c r="V57" s="21">
        <f>countif('v2014'!E:E,A57)</f>
        <v>1</v>
      </c>
      <c r="W57" s="21">
        <f>countif('v2010'!E:E,A57)</f>
        <v>1</v>
      </c>
      <c r="X57" s="21">
        <f>countif('v2006'!E:E,A57)</f>
        <v>1</v>
      </c>
      <c r="Y57" s="21">
        <f>countif('v2002'!E:E,A57)</f>
        <v>1</v>
      </c>
      <c r="Z57" s="21">
        <f>countif('v1998'!E:E,A57)</f>
        <v>1</v>
      </c>
    </row>
    <row r="58">
      <c r="A58" s="17" t="s">
        <v>1367</v>
      </c>
      <c r="B58" s="18" t="s">
        <v>319</v>
      </c>
      <c r="C58" s="21" t="str">
        <f t="shared" si="13"/>
        <v>Compton Wavelength</v>
      </c>
      <c r="D58" s="21" t="str">
        <f t="shared" si="10"/>
        <v>Longueur d'onde de Compton</v>
      </c>
      <c r="E58" s="17" t="s">
        <v>1371</v>
      </c>
      <c r="F58" s="17" t="s">
        <v>1372</v>
      </c>
      <c r="G58" s="18" t="s">
        <v>381</v>
      </c>
      <c r="H58" s="18" t="str">
        <f t="shared" si="3"/>
        <v>m</v>
      </c>
      <c r="I58" s="17">
        <f>if(H58="","", countif(Units!A:A,H58))</f>
        <v>1</v>
      </c>
      <c r="J58" s="18" t="s">
        <v>319</v>
      </c>
      <c r="K58" s="28">
        <f>countif(Quantities!A:A,J58)</f>
        <v>1</v>
      </c>
      <c r="L58" s="30" t="b">
        <f t="shared" si="4"/>
        <v>1</v>
      </c>
      <c r="M58" s="17" t="s">
        <v>319</v>
      </c>
      <c r="N58" s="34" t="str">
        <f t="shared" si="5"/>
        <v>qudt</v>
      </c>
      <c r="O58" s="18" t="b">
        <f t="shared" si="6"/>
        <v>1</v>
      </c>
      <c r="P58" s="39"/>
      <c r="Q58" s="39"/>
      <c r="R58" s="39" t="str">
        <f t="shared" si="7"/>
        <v/>
      </c>
      <c r="S58" s="43">
        <f t="shared" si="8"/>
        <v>7</v>
      </c>
      <c r="T58" s="21">
        <f>countif('v2022'!E:E,A58)</f>
        <v>1</v>
      </c>
      <c r="U58" s="21">
        <f>countif('v2018'!E:E,A58)</f>
        <v>1</v>
      </c>
      <c r="V58" s="21">
        <f>countif('v2014'!E:E,A58)</f>
        <v>1</v>
      </c>
      <c r="W58" s="21">
        <f>countif('v2010'!E:E,A58)</f>
        <v>1</v>
      </c>
      <c r="X58" s="21">
        <f>countif('v2006'!E:E,A58)</f>
        <v>1</v>
      </c>
      <c r="Y58" s="21">
        <f>countif('v2002'!E:E,A58)</f>
        <v>1</v>
      </c>
      <c r="Z58" s="21">
        <f>countif('v1998'!E:E,A58)</f>
        <v>1</v>
      </c>
    </row>
    <row r="59">
      <c r="A59" s="17" t="s">
        <v>1385</v>
      </c>
      <c r="B59" s="18" t="s">
        <v>322</v>
      </c>
      <c r="C59" s="21" t="str">
        <f t="shared" si="13"/>
        <v>Conductance Quantum</v>
      </c>
      <c r="D59" s="21" t="str">
        <f t="shared" si="10"/>
        <v>Quantum de conductance</v>
      </c>
      <c r="E59" s="17" t="s">
        <v>1388</v>
      </c>
      <c r="F59" s="17" t="s">
        <v>1389</v>
      </c>
      <c r="G59" s="18" t="s">
        <v>526</v>
      </c>
      <c r="H59" s="18" t="str">
        <f t="shared" si="3"/>
        <v>S</v>
      </c>
      <c r="I59" s="17">
        <f>if(H59="","", countif(Units!A:A,H59))</f>
        <v>2</v>
      </c>
      <c r="J59" s="18" t="s">
        <v>322</v>
      </c>
      <c r="K59" s="28">
        <f>countif(Quantities!A:A,J59)</f>
        <v>1</v>
      </c>
      <c r="L59" s="30" t="b">
        <f t="shared" si="4"/>
        <v>1</v>
      </c>
      <c r="M59" s="17" t="s">
        <v>322</v>
      </c>
      <c r="N59" s="34" t="str">
        <f t="shared" si="5"/>
        <v>qudt</v>
      </c>
      <c r="O59" s="18" t="b">
        <f t="shared" si="6"/>
        <v>1</v>
      </c>
      <c r="P59" s="39"/>
      <c r="Q59" s="39"/>
      <c r="R59" s="39" t="str">
        <f t="shared" si="7"/>
        <v/>
      </c>
      <c r="S59" s="43">
        <f t="shared" si="8"/>
        <v>7</v>
      </c>
      <c r="T59" s="21">
        <f>countif('v2022'!E:E,A59)</f>
        <v>1</v>
      </c>
      <c r="U59" s="21">
        <f>countif('v2018'!E:E,A59)</f>
        <v>1</v>
      </c>
      <c r="V59" s="21">
        <f>countif('v2014'!E:E,A59)</f>
        <v>1</v>
      </c>
      <c r="W59" s="21">
        <f>countif('v2010'!E:E,A59)</f>
        <v>1</v>
      </c>
      <c r="X59" s="21">
        <f>countif('v2006'!E:E,A59)</f>
        <v>1</v>
      </c>
      <c r="Y59" s="21">
        <f>countif('v2002'!E:E,A59)</f>
        <v>1</v>
      </c>
      <c r="Z59" s="21">
        <f>countif('v1998'!E:E,A59)</f>
        <v>1</v>
      </c>
    </row>
    <row r="60">
      <c r="A60" s="17" t="s">
        <v>1400</v>
      </c>
      <c r="B60" s="17" t="s">
        <v>332</v>
      </c>
      <c r="C60" s="21" t="str">
        <f t="shared" si="13"/>
        <v>Conventional Value Of Ampere-90</v>
      </c>
      <c r="D60" s="21" t="str">
        <f t="shared" si="10"/>
        <v>Valeur conventionnelle de l'ampère-90</v>
      </c>
      <c r="E60" s="17" t="s">
        <v>1401</v>
      </c>
      <c r="F60" s="17" t="s">
        <v>1402</v>
      </c>
      <c r="G60" s="18" t="s">
        <v>55</v>
      </c>
      <c r="H60" s="44" t="s">
        <v>64</v>
      </c>
      <c r="I60" s="17">
        <f>if(H60="","", countif(Units!A:A,H60))</f>
        <v>1</v>
      </c>
      <c r="J60" s="17" t="s">
        <v>332</v>
      </c>
      <c r="K60" s="28">
        <f>countif(Quantities!A:A,J60)</f>
        <v>1</v>
      </c>
      <c r="L60" s="30" t="b">
        <f t="shared" si="4"/>
        <v>1</v>
      </c>
      <c r="N60" s="39" t="str">
        <f t="shared" si="5"/>
        <v/>
      </c>
      <c r="O60" s="18" t="b">
        <f t="shared" si="6"/>
        <v>0</v>
      </c>
      <c r="P60" s="39"/>
      <c r="Q60" s="39"/>
      <c r="R60" s="39" t="str">
        <f t="shared" si="7"/>
        <v/>
      </c>
      <c r="S60" s="43">
        <f t="shared" si="8"/>
        <v>2</v>
      </c>
      <c r="T60" s="21">
        <f>countif('v2022'!E:E,A60)</f>
        <v>1</v>
      </c>
      <c r="U60" s="21">
        <f>countif('v2018'!E:E,A60)</f>
        <v>1</v>
      </c>
      <c r="V60" s="21">
        <f>countif('v2014'!E:E,A60)</f>
        <v>0</v>
      </c>
      <c r="W60" s="21">
        <f>countif('v2010'!E:E,A60)</f>
        <v>0</v>
      </c>
      <c r="X60" s="21">
        <f>countif('v2006'!E:E,A60)</f>
        <v>0</v>
      </c>
      <c r="Y60" s="21">
        <f>countif('v2002'!E:E,A60)</f>
        <v>0</v>
      </c>
      <c r="Z60" s="21">
        <f>countif('v1998'!E:E,A60)</f>
        <v>0</v>
      </c>
    </row>
    <row r="61">
      <c r="A61" s="17" t="s">
        <v>1403</v>
      </c>
      <c r="B61" s="17" t="s">
        <v>340</v>
      </c>
      <c r="C61" s="21" t="str">
        <f t="shared" si="13"/>
        <v>Conventional Value Of Coulomb-90</v>
      </c>
      <c r="D61" s="21" t="str">
        <f t="shared" si="10"/>
        <v>Valeur conventionnelle du coulomb-90</v>
      </c>
      <c r="E61" s="17" t="s">
        <v>1404</v>
      </c>
      <c r="F61" s="17" t="s">
        <v>1405</v>
      </c>
      <c r="G61" s="18" t="s">
        <v>81</v>
      </c>
      <c r="H61" s="44" t="s">
        <v>90</v>
      </c>
      <c r="I61" s="17">
        <f>if(H61="","", countif(Units!A:A,H61))</f>
        <v>1</v>
      </c>
      <c r="J61" s="17" t="s">
        <v>340</v>
      </c>
      <c r="K61" s="28">
        <f>countif(Quantities!A:A,J61)</f>
        <v>1</v>
      </c>
      <c r="L61" s="30" t="b">
        <f t="shared" si="4"/>
        <v>1</v>
      </c>
      <c r="N61" s="39" t="str">
        <f t="shared" si="5"/>
        <v/>
      </c>
      <c r="O61" s="18" t="b">
        <f t="shared" si="6"/>
        <v>0</v>
      </c>
      <c r="P61" s="39"/>
      <c r="Q61" s="39"/>
      <c r="R61" s="39" t="str">
        <f t="shared" si="7"/>
        <v/>
      </c>
      <c r="S61" s="43">
        <f t="shared" si="8"/>
        <v>2</v>
      </c>
      <c r="T61" s="21">
        <f>countif('v2022'!E:E,A61)</f>
        <v>1</v>
      </c>
      <c r="U61" s="21">
        <f>countif('v2018'!E:E,A61)</f>
        <v>1</v>
      </c>
      <c r="V61" s="21">
        <f>countif('v2014'!E:E,A61)</f>
        <v>0</v>
      </c>
      <c r="W61" s="21">
        <f>countif('v2010'!E:E,A61)</f>
        <v>0</v>
      </c>
      <c r="X61" s="21">
        <f>countif('v2006'!E:E,A61)</f>
        <v>0</v>
      </c>
      <c r="Y61" s="21">
        <f>countif('v2002'!E:E,A61)</f>
        <v>0</v>
      </c>
      <c r="Z61" s="21">
        <f>countif('v1998'!E:E,A61)</f>
        <v>0</v>
      </c>
    </row>
    <row r="62">
      <c r="A62" s="17" t="s">
        <v>1421</v>
      </c>
      <c r="B62" s="17" t="s">
        <v>347</v>
      </c>
      <c r="C62" s="21" t="str">
        <f t="shared" si="13"/>
        <v>Conventional Value Of Farad-90</v>
      </c>
      <c r="D62" s="21" t="str">
        <f t="shared" si="10"/>
        <v>Valeur conventionnelle du farad-90</v>
      </c>
      <c r="E62" s="17" t="s">
        <v>1422</v>
      </c>
      <c r="F62" s="17" t="s">
        <v>1423</v>
      </c>
      <c r="G62" s="18" t="s">
        <v>205</v>
      </c>
      <c r="H62" s="44" t="s">
        <v>210</v>
      </c>
      <c r="I62" s="17">
        <f>if(H62="","", countif(Units!A:A,H62))</f>
        <v>1</v>
      </c>
      <c r="J62" s="17" t="s">
        <v>347</v>
      </c>
      <c r="K62" s="28">
        <f>countif(Quantities!A:A,J62)</f>
        <v>1</v>
      </c>
      <c r="L62" s="30" t="b">
        <f t="shared" si="4"/>
        <v>1</v>
      </c>
      <c r="N62" s="39" t="str">
        <f t="shared" si="5"/>
        <v/>
      </c>
      <c r="O62" s="18" t="b">
        <f t="shared" si="6"/>
        <v>0</v>
      </c>
      <c r="P62" s="39"/>
      <c r="Q62" s="39"/>
      <c r="R62" s="39" t="str">
        <f t="shared" si="7"/>
        <v/>
      </c>
      <c r="S62" s="43">
        <f t="shared" si="8"/>
        <v>2</v>
      </c>
      <c r="T62" s="21">
        <f>countif('v2022'!E:E,A62)</f>
        <v>1</v>
      </c>
      <c r="U62" s="21">
        <f>countif('v2018'!E:E,A62)</f>
        <v>1</v>
      </c>
      <c r="V62" s="21">
        <f>countif('v2014'!E:E,A62)</f>
        <v>0</v>
      </c>
      <c r="W62" s="21">
        <f>countif('v2010'!E:E,A62)</f>
        <v>0</v>
      </c>
      <c r="X62" s="21">
        <f>countif('v2006'!E:E,A62)</f>
        <v>0</v>
      </c>
      <c r="Y62" s="21">
        <f>countif('v2002'!E:E,A62)</f>
        <v>0</v>
      </c>
      <c r="Z62" s="21">
        <f>countif('v1998'!E:E,A62)</f>
        <v>0</v>
      </c>
    </row>
    <row r="63">
      <c r="A63" s="17" t="s">
        <v>1430</v>
      </c>
      <c r="B63" s="17" t="s">
        <v>353</v>
      </c>
      <c r="C63" s="21" t="str">
        <f t="shared" si="13"/>
        <v>Conventional Value Of Henry-90</v>
      </c>
      <c r="D63" s="21" t="str">
        <f t="shared" si="10"/>
        <v>Valeur conventionnelle de l'henry-90</v>
      </c>
      <c r="E63" s="17" t="s">
        <v>1431</v>
      </c>
      <c r="F63" s="17" t="s">
        <v>1432</v>
      </c>
      <c r="G63" s="18" t="s">
        <v>248</v>
      </c>
      <c r="H63" s="44" t="s">
        <v>253</v>
      </c>
      <c r="I63" s="17">
        <f>if(H63="","", countif(Units!A:A,H63))</f>
        <v>1</v>
      </c>
      <c r="J63" s="17" t="s">
        <v>353</v>
      </c>
      <c r="K63" s="28">
        <f>countif(Quantities!A:A,J63)</f>
        <v>1</v>
      </c>
      <c r="L63" s="30" t="b">
        <f t="shared" si="4"/>
        <v>1</v>
      </c>
      <c r="N63" s="39" t="str">
        <f t="shared" si="5"/>
        <v/>
      </c>
      <c r="O63" s="18" t="b">
        <f t="shared" si="6"/>
        <v>0</v>
      </c>
      <c r="P63" s="39"/>
      <c r="Q63" s="39"/>
      <c r="R63" s="39" t="str">
        <f t="shared" si="7"/>
        <v/>
      </c>
      <c r="S63" s="43">
        <f t="shared" si="8"/>
        <v>2</v>
      </c>
      <c r="T63" s="21">
        <f>countif('v2022'!E:E,A63)</f>
        <v>1</v>
      </c>
      <c r="U63" s="21">
        <f>countif('v2018'!E:E,A63)</f>
        <v>1</v>
      </c>
      <c r="V63" s="21">
        <f>countif('v2014'!E:E,A63)</f>
        <v>0</v>
      </c>
      <c r="W63" s="21">
        <f>countif('v2010'!E:E,A63)</f>
        <v>0</v>
      </c>
      <c r="X63" s="21">
        <f>countif('v2006'!E:E,A63)</f>
        <v>0</v>
      </c>
      <c r="Y63" s="21">
        <f>countif('v2002'!E:E,A63)</f>
        <v>0</v>
      </c>
      <c r="Z63" s="21">
        <f>countif('v1998'!E:E,A63)</f>
        <v>0</v>
      </c>
    </row>
    <row r="64">
      <c r="A64" s="17" t="s">
        <v>1444</v>
      </c>
      <c r="B64" s="18" t="s">
        <v>356</v>
      </c>
      <c r="C64" s="21" t="str">
        <f t="shared" si="13"/>
        <v>Conventional Value Of Josephson Constant</v>
      </c>
      <c r="D64" s="21" t="str">
        <f t="shared" si="10"/>
        <v>Valeur conventionnelle de la constante de Josephson-90</v>
      </c>
      <c r="E64" s="17" t="s">
        <v>1445</v>
      </c>
      <c r="F64" s="17" t="s">
        <v>1446</v>
      </c>
      <c r="G64" s="18" t="s">
        <v>1447</v>
      </c>
      <c r="H64" s="44" t="s">
        <v>277</v>
      </c>
      <c r="I64" s="17">
        <f>if(H64="","", countif(Units!A:A,H64))</f>
        <v>1</v>
      </c>
      <c r="J64" s="18" t="s">
        <v>356</v>
      </c>
      <c r="K64" s="28">
        <f>countif(Quantities!A:A,J64)</f>
        <v>1</v>
      </c>
      <c r="L64" s="30" t="b">
        <f t="shared" si="4"/>
        <v>1</v>
      </c>
      <c r="M64" s="17" t="s">
        <v>356</v>
      </c>
      <c r="N64" s="34" t="str">
        <f t="shared" si="5"/>
        <v>qudt</v>
      </c>
      <c r="O64" s="18" t="b">
        <f t="shared" si="6"/>
        <v>1</v>
      </c>
      <c r="P64" s="39"/>
      <c r="Q64" s="39"/>
      <c r="R64" s="39" t="str">
        <f t="shared" si="7"/>
        <v/>
      </c>
      <c r="S64" s="43">
        <f t="shared" si="8"/>
        <v>7</v>
      </c>
      <c r="T64" s="21">
        <f>countif('v2022'!E:E,A64)</f>
        <v>1</v>
      </c>
      <c r="U64" s="21">
        <f>countif('v2018'!E:E,A64)</f>
        <v>1</v>
      </c>
      <c r="V64" s="21">
        <f>countif('v2014'!E:E,A64)</f>
        <v>1</v>
      </c>
      <c r="W64" s="21">
        <f>countif('v2010'!E:E,A64)</f>
        <v>1</v>
      </c>
      <c r="X64" s="21">
        <f>countif('v2006'!E:E,A64)</f>
        <v>1</v>
      </c>
      <c r="Y64" s="21">
        <f>countif('v2002'!E:E,A64)</f>
        <v>1</v>
      </c>
      <c r="Z64" s="21">
        <f>countif('v1998'!E:E,A64)</f>
        <v>1</v>
      </c>
    </row>
    <row r="65">
      <c r="A65" s="17" t="s">
        <v>1454</v>
      </c>
      <c r="B65" s="17" t="s">
        <v>363</v>
      </c>
      <c r="C65" s="21" t="str">
        <f t="shared" si="13"/>
        <v>Conventional Value Of Ohm-90</v>
      </c>
      <c r="D65" s="21" t="str">
        <f t="shared" si="10"/>
        <v>Valeur conventionnelle de l'ohm-90</v>
      </c>
      <c r="E65" s="17" t="s">
        <v>1455</v>
      </c>
      <c r="F65" s="17" t="s">
        <v>1456</v>
      </c>
      <c r="G65" s="18" t="s">
        <v>500</v>
      </c>
      <c r="H65" s="44" t="s">
        <v>508</v>
      </c>
      <c r="I65" s="17">
        <f>if(H65="","", countif(Units!A:A,H65))</f>
        <v>1</v>
      </c>
      <c r="J65" s="17" t="s">
        <v>363</v>
      </c>
      <c r="K65" s="28">
        <f>countif(Quantities!A:A,J65)</f>
        <v>1</v>
      </c>
      <c r="L65" s="30" t="b">
        <f t="shared" si="4"/>
        <v>1</v>
      </c>
      <c r="N65" s="39" t="str">
        <f t="shared" si="5"/>
        <v/>
      </c>
      <c r="O65" s="18" t="b">
        <f t="shared" si="6"/>
        <v>0</v>
      </c>
      <c r="P65" s="39"/>
      <c r="Q65" s="39"/>
      <c r="R65" s="39" t="str">
        <f t="shared" si="7"/>
        <v/>
      </c>
      <c r="S65" s="43">
        <f t="shared" si="8"/>
        <v>2</v>
      </c>
      <c r="T65" s="21">
        <f>countif('v2022'!E:E,A65)</f>
        <v>1</v>
      </c>
      <c r="U65" s="21">
        <f>countif('v2018'!E:E,A65)</f>
        <v>1</v>
      </c>
      <c r="V65" s="21">
        <f>countif('v2014'!E:E,A65)</f>
        <v>0</v>
      </c>
      <c r="W65" s="21">
        <f>countif('v2010'!E:E,A65)</f>
        <v>0</v>
      </c>
      <c r="X65" s="21">
        <f>countif('v2006'!E:E,A65)</f>
        <v>0</v>
      </c>
      <c r="Y65" s="21">
        <f>countif('v2002'!E:E,A65)</f>
        <v>0</v>
      </c>
      <c r="Z65" s="21">
        <f>countif('v1998'!E:E,A65)</f>
        <v>0</v>
      </c>
    </row>
    <row r="66">
      <c r="A66" s="17" t="s">
        <v>1469</v>
      </c>
      <c r="B66" s="17" t="s">
        <v>371</v>
      </c>
      <c r="C66" s="21" t="str">
        <f t="shared" si="13"/>
        <v>Conventional Value Of Volt-90</v>
      </c>
      <c r="D66" s="21" t="str">
        <f t="shared" si="10"/>
        <v>Valeur conventionnelle du volt-90</v>
      </c>
      <c r="E66" s="17" t="s">
        <v>1471</v>
      </c>
      <c r="F66" s="17" t="s">
        <v>1472</v>
      </c>
      <c r="G66" s="18" t="s">
        <v>546</v>
      </c>
      <c r="H66" s="44" t="s">
        <v>555</v>
      </c>
      <c r="I66" s="17">
        <f>if(H66="","", countif(Units!A:A,H66))</f>
        <v>1</v>
      </c>
      <c r="J66" s="17" t="s">
        <v>371</v>
      </c>
      <c r="K66" s="28">
        <f>countif(Quantities!A:A,J66)</f>
        <v>1</v>
      </c>
      <c r="L66" s="30" t="b">
        <f t="shared" si="4"/>
        <v>1</v>
      </c>
      <c r="N66" s="39" t="str">
        <f t="shared" si="5"/>
        <v/>
      </c>
      <c r="O66" s="18" t="b">
        <f t="shared" si="6"/>
        <v>0</v>
      </c>
      <c r="P66" s="39"/>
      <c r="Q66" s="39"/>
      <c r="R66" s="39" t="str">
        <f t="shared" si="7"/>
        <v/>
      </c>
      <c r="S66" s="43">
        <f t="shared" si="8"/>
        <v>2</v>
      </c>
      <c r="T66" s="21">
        <f>countif('v2022'!E:E,A66)</f>
        <v>1</v>
      </c>
      <c r="U66" s="21">
        <f>countif('v2018'!E:E,A66)</f>
        <v>1</v>
      </c>
      <c r="V66" s="21">
        <f>countif('v2014'!E:E,A66)</f>
        <v>0</v>
      </c>
      <c r="W66" s="21">
        <f>countif('v2010'!E:E,A66)</f>
        <v>0</v>
      </c>
      <c r="X66" s="21">
        <f>countif('v2006'!E:E,A66)</f>
        <v>0</v>
      </c>
      <c r="Y66" s="21">
        <f>countif('v2002'!E:E,A66)</f>
        <v>0</v>
      </c>
      <c r="Z66" s="21">
        <f>countif('v1998'!E:E,A66)</f>
        <v>0</v>
      </c>
    </row>
    <row r="67">
      <c r="A67" s="17" t="s">
        <v>1482</v>
      </c>
      <c r="B67" s="18" t="s">
        <v>379</v>
      </c>
      <c r="C67" s="21" t="str">
        <f t="shared" si="13"/>
        <v>Conventional Value Of Von Klitzing Constant</v>
      </c>
      <c r="D67" s="21" t="str">
        <f t="shared" si="10"/>
        <v>Valeur conventionnelle de la constante de Von Klitzing-90</v>
      </c>
      <c r="E67" s="17" t="s">
        <v>1483</v>
      </c>
      <c r="F67" s="17" t="s">
        <v>1484</v>
      </c>
      <c r="G67" s="18" t="s">
        <v>500</v>
      </c>
      <c r="H67" s="44" t="s">
        <v>508</v>
      </c>
      <c r="I67" s="17">
        <f>if(H67="","", countif(Units!A:A,H67))</f>
        <v>1</v>
      </c>
      <c r="J67" s="18" t="s">
        <v>379</v>
      </c>
      <c r="K67" s="28">
        <f>countif(Quantities!A:A,J67)</f>
        <v>1</v>
      </c>
      <c r="L67" s="30" t="b">
        <f t="shared" si="4"/>
        <v>1</v>
      </c>
      <c r="M67" s="17" t="s">
        <v>379</v>
      </c>
      <c r="N67" s="34" t="str">
        <f t="shared" si="5"/>
        <v>qudt</v>
      </c>
      <c r="O67" s="18" t="b">
        <f t="shared" si="6"/>
        <v>1</v>
      </c>
      <c r="P67" s="39"/>
      <c r="Q67" s="39"/>
      <c r="R67" s="39" t="str">
        <f t="shared" si="7"/>
        <v/>
      </c>
      <c r="S67" s="43">
        <f t="shared" si="8"/>
        <v>7</v>
      </c>
      <c r="T67" s="21">
        <f>countif('v2022'!E:E,A67)</f>
        <v>1</v>
      </c>
      <c r="U67" s="21">
        <f>countif('v2018'!E:E,A67)</f>
        <v>1</v>
      </c>
      <c r="V67" s="21">
        <f>countif('v2014'!E:E,A67)</f>
        <v>1</v>
      </c>
      <c r="W67" s="21">
        <f>countif('v2010'!E:E,A67)</f>
        <v>1</v>
      </c>
      <c r="X67" s="21">
        <f>countif('v2006'!E:E,A67)</f>
        <v>1</v>
      </c>
      <c r="Y67" s="21">
        <f>countif('v2002'!E:E,A67)</f>
        <v>1</v>
      </c>
      <c r="Z67" s="21">
        <f>countif('v1998'!E:E,A67)</f>
        <v>1</v>
      </c>
    </row>
    <row r="68">
      <c r="A68" s="17" t="s">
        <v>1491</v>
      </c>
      <c r="B68" s="17" t="s">
        <v>387</v>
      </c>
      <c r="C68" s="21" t="str">
        <f t="shared" si="13"/>
        <v>Conventional Value Of Watt-90</v>
      </c>
      <c r="D68" s="21" t="str">
        <f t="shared" si="10"/>
        <v>Valeur conventionnelle du watt-90</v>
      </c>
      <c r="E68" s="17" t="s">
        <v>1492</v>
      </c>
      <c r="F68" s="17" t="s">
        <v>1493</v>
      </c>
      <c r="G68" s="18" t="s">
        <v>577</v>
      </c>
      <c r="H68" s="44" t="s">
        <v>592</v>
      </c>
      <c r="I68" s="17">
        <f>if(H68="","", countif(Units!A:A,H68))</f>
        <v>1</v>
      </c>
      <c r="J68" s="17" t="s">
        <v>387</v>
      </c>
      <c r="K68" s="28">
        <f>countif(Quantities!A:A,J68)</f>
        <v>1</v>
      </c>
      <c r="L68" s="30" t="b">
        <f t="shared" si="4"/>
        <v>1</v>
      </c>
      <c r="N68" s="39" t="str">
        <f t="shared" si="5"/>
        <v/>
      </c>
      <c r="O68" s="18" t="b">
        <f t="shared" si="6"/>
        <v>0</v>
      </c>
      <c r="P68" s="39"/>
      <c r="Q68" s="39"/>
      <c r="R68" s="39" t="str">
        <f t="shared" si="7"/>
        <v/>
      </c>
      <c r="S68" s="43">
        <f t="shared" si="8"/>
        <v>2</v>
      </c>
      <c r="T68" s="21">
        <f>countif('v2022'!E:E,A68)</f>
        <v>1</v>
      </c>
      <c r="U68" s="21">
        <f>countif('v2018'!E:E,A68)</f>
        <v>1</v>
      </c>
      <c r="V68" s="21">
        <f>countif('v2014'!E:E,A68)</f>
        <v>0</v>
      </c>
      <c r="W68" s="21">
        <f>countif('v2010'!E:E,A68)</f>
        <v>0</v>
      </c>
      <c r="X68" s="21">
        <f>countif('v2006'!E:E,A68)</f>
        <v>0</v>
      </c>
      <c r="Y68" s="21">
        <f>countif('v2002'!E:E,A68)</f>
        <v>0</v>
      </c>
      <c r="Z68" s="21">
        <f>countif('v1998'!E:E,A68)</f>
        <v>0</v>
      </c>
    </row>
    <row r="69">
      <c r="A69" s="17" t="s">
        <v>1502</v>
      </c>
      <c r="B69" s="18" t="s">
        <v>404</v>
      </c>
      <c r="C69" s="21" t="str">
        <f t="shared" si="13"/>
        <v>Copper X Unit</v>
      </c>
      <c r="D69" s="21" t="str">
        <f t="shared" si="10"/>
        <v>Unité x du Cuivre</v>
      </c>
      <c r="E69" s="17" t="s">
        <v>1504</v>
      </c>
      <c r="F69" s="17" t="s">
        <v>1506</v>
      </c>
      <c r="G69" s="18" t="s">
        <v>381</v>
      </c>
      <c r="H69" s="18" t="str">
        <f t="shared" ref="H69:H124" si="14">if(ISBLANK(G69),"",SUBSTITUTE(SUBSTITUTE(G69,"^","")," ","_"))</f>
        <v>m</v>
      </c>
      <c r="I69" s="17">
        <f>if(H69="","", countif(Units!A:A,H69))</f>
        <v>1</v>
      </c>
      <c r="J69" s="18" t="s">
        <v>404</v>
      </c>
      <c r="K69" s="28">
        <f>countif(Quantities!A:A,J69)</f>
        <v>1</v>
      </c>
      <c r="L69" s="30" t="b">
        <f t="shared" si="4"/>
        <v>1</v>
      </c>
      <c r="M69" s="17" t="s">
        <v>404</v>
      </c>
      <c r="N69" s="34" t="str">
        <f t="shared" si="5"/>
        <v>qudt</v>
      </c>
      <c r="O69" s="18" t="b">
        <f t="shared" si="6"/>
        <v>1</v>
      </c>
      <c r="P69" s="39"/>
      <c r="Q69" s="39"/>
      <c r="R69" s="39" t="str">
        <f t="shared" si="7"/>
        <v/>
      </c>
      <c r="S69" s="43">
        <f t="shared" si="8"/>
        <v>7</v>
      </c>
      <c r="T69" s="21">
        <f>countif('v2022'!E:E,A69)</f>
        <v>1</v>
      </c>
      <c r="U69" s="21">
        <f>countif('v2018'!E:E,A69)</f>
        <v>1</v>
      </c>
      <c r="V69" s="21">
        <f>countif('v2014'!E:E,A69)</f>
        <v>1</v>
      </c>
      <c r="W69" s="21">
        <f>countif('v2010'!E:E,A69)</f>
        <v>1</v>
      </c>
      <c r="X69" s="21">
        <f>countif('v2006'!E:E,A69)</f>
        <v>1</v>
      </c>
      <c r="Y69" s="21">
        <f>countif('v2002'!E:E,A69)</f>
        <v>1</v>
      </c>
      <c r="Z69" s="21">
        <f>countif('v1998'!E:E,A69)</f>
        <v>1</v>
      </c>
    </row>
    <row r="70">
      <c r="A70" s="17" t="s">
        <v>1516</v>
      </c>
      <c r="B70" s="18" t="s">
        <v>414</v>
      </c>
      <c r="C70" s="21" t="str">
        <f t="shared" si="13"/>
        <v>Deuteron - Electron Magnetic Moment Ratio</v>
      </c>
      <c r="D70" s="21" t="str">
        <f t="shared" si="10"/>
        <v>Rapport du moment magnétique du deutéron à celui de l'électron</v>
      </c>
      <c r="E70" s="17" t="s">
        <v>1518</v>
      </c>
      <c r="F70" s="17" t="s">
        <v>1519</v>
      </c>
      <c r="H70" s="18" t="str">
        <f t="shared" si="14"/>
        <v/>
      </c>
      <c r="I70" s="17" t="str">
        <f>if(H70="","", countif(Units!A:A,H70))</f>
        <v/>
      </c>
      <c r="J70" s="18" t="s">
        <v>414</v>
      </c>
      <c r="K70" s="28">
        <f>countif(Quantities!A:A,J70)</f>
        <v>1</v>
      </c>
      <c r="L70" s="30" t="b">
        <f t="shared" si="4"/>
        <v>1</v>
      </c>
      <c r="M70" s="17" t="s">
        <v>414</v>
      </c>
      <c r="N70" s="34" t="str">
        <f t="shared" si="5"/>
        <v>qudt</v>
      </c>
      <c r="O70" s="18" t="b">
        <f t="shared" si="6"/>
        <v>1</v>
      </c>
      <c r="P70" s="39"/>
      <c r="Q70" s="39"/>
      <c r="R70" s="39" t="str">
        <f t="shared" si="7"/>
        <v/>
      </c>
      <c r="S70" s="43">
        <f t="shared" si="8"/>
        <v>7</v>
      </c>
      <c r="T70" s="21">
        <f>countif('v2022'!E:E,A70)</f>
        <v>1</v>
      </c>
      <c r="U70" s="21">
        <f>countif('v2018'!E:E,A70)</f>
        <v>1</v>
      </c>
      <c r="V70" s="21">
        <f>countif('v2014'!E:E,A70)</f>
        <v>1</v>
      </c>
      <c r="W70" s="21">
        <f>countif('v2010'!E:E,A70)</f>
        <v>1</v>
      </c>
      <c r="X70" s="21">
        <f>countif('v2006'!E:E,A70)</f>
        <v>1</v>
      </c>
      <c r="Y70" s="21">
        <f>countif('v2002'!E:E,A70)</f>
        <v>1</v>
      </c>
      <c r="Z70" s="21">
        <f>countif('v1998'!E:E,A70)</f>
        <v>1</v>
      </c>
    </row>
    <row r="71">
      <c r="A71" s="17" t="s">
        <v>1529</v>
      </c>
      <c r="B71" s="18" t="s">
        <v>420</v>
      </c>
      <c r="C71" s="21" t="str">
        <f t="shared" si="13"/>
        <v>Deuteron - Electron Mass Ratio</v>
      </c>
      <c r="D71" s="21" t="str">
        <f t="shared" si="10"/>
        <v>Rapport de la masse du deutéron à celle de l'électron</v>
      </c>
      <c r="E71" s="17" t="s">
        <v>1530</v>
      </c>
      <c r="F71" s="17" t="s">
        <v>1531</v>
      </c>
      <c r="H71" s="18" t="str">
        <f t="shared" si="14"/>
        <v/>
      </c>
      <c r="I71" s="17" t="str">
        <f>if(H71="","", countif(Units!A:A,H71))</f>
        <v/>
      </c>
      <c r="J71" s="18" t="s">
        <v>420</v>
      </c>
      <c r="K71" s="28">
        <f>countif(Quantities!A:A,J71)</f>
        <v>1</v>
      </c>
      <c r="L71" s="30" t="b">
        <f t="shared" si="4"/>
        <v>1</v>
      </c>
      <c r="M71" s="17" t="s">
        <v>420</v>
      </c>
      <c r="N71" s="34" t="str">
        <f t="shared" si="5"/>
        <v>qudt</v>
      </c>
      <c r="O71" s="18" t="b">
        <f t="shared" si="6"/>
        <v>1</v>
      </c>
      <c r="P71" s="39"/>
      <c r="Q71" s="39"/>
      <c r="R71" s="39" t="str">
        <f t="shared" si="7"/>
        <v/>
      </c>
      <c r="S71" s="43">
        <f t="shared" si="8"/>
        <v>7</v>
      </c>
      <c r="T71" s="21">
        <f>countif('v2022'!E:E,A71)</f>
        <v>1</v>
      </c>
      <c r="U71" s="21">
        <f>countif('v2018'!E:E,A71)</f>
        <v>1</v>
      </c>
      <c r="V71" s="21">
        <f>countif('v2014'!E:E,A71)</f>
        <v>1</v>
      </c>
      <c r="W71" s="21">
        <f>countif('v2010'!E:E,A71)</f>
        <v>1</v>
      </c>
      <c r="X71" s="21">
        <f>countif('v2006'!E:E,A71)</f>
        <v>1</v>
      </c>
      <c r="Y71" s="21">
        <f>countif('v2002'!E:E,A71)</f>
        <v>1</v>
      </c>
      <c r="Z71" s="21">
        <f>countif('v1998'!E:E,A71)</f>
        <v>1</v>
      </c>
    </row>
    <row r="72">
      <c r="A72" s="17" t="s">
        <v>1546</v>
      </c>
      <c r="B72" s="18" t="s">
        <v>428</v>
      </c>
      <c r="C72" s="21" t="str">
        <f t="shared" si="13"/>
        <v>Deuteron G Factor</v>
      </c>
      <c r="D72" s="21" t="str">
        <f t="shared" si="10"/>
        <v>Facteur de Landé du deutéron</v>
      </c>
      <c r="E72" s="17" t="s">
        <v>1551</v>
      </c>
      <c r="F72" s="17" t="s">
        <v>1552</v>
      </c>
      <c r="H72" s="18" t="str">
        <f t="shared" si="14"/>
        <v/>
      </c>
      <c r="I72" s="17" t="str">
        <f>if(H72="","", countif(Units!A:A,H72))</f>
        <v/>
      </c>
      <c r="J72" s="18" t="s">
        <v>428</v>
      </c>
      <c r="K72" s="28">
        <f>countif(Quantities!A:A,J72)</f>
        <v>1</v>
      </c>
      <c r="L72" s="30" t="b">
        <f t="shared" si="4"/>
        <v>1</v>
      </c>
      <c r="M72" s="17" t="s">
        <v>428</v>
      </c>
      <c r="N72" s="34" t="str">
        <f t="shared" si="5"/>
        <v>qudt</v>
      </c>
      <c r="O72" s="18" t="b">
        <f t="shared" si="6"/>
        <v>1</v>
      </c>
      <c r="P72" s="39"/>
      <c r="Q72" s="39"/>
      <c r="R72" s="39" t="str">
        <f t="shared" si="7"/>
        <v/>
      </c>
      <c r="S72" s="43">
        <f t="shared" si="8"/>
        <v>5</v>
      </c>
      <c r="T72" s="21">
        <f>countif('v2022'!E:E,A72)</f>
        <v>1</v>
      </c>
      <c r="U72" s="21">
        <f>countif('v2018'!E:E,A72)</f>
        <v>1</v>
      </c>
      <c r="V72" s="21">
        <f>countif('v2014'!E:E,A72)</f>
        <v>1</v>
      </c>
      <c r="W72" s="21">
        <f>countif('v2010'!E:E,A72)</f>
        <v>1</v>
      </c>
      <c r="X72" s="21">
        <f>countif('v2006'!E:E,A72)</f>
        <v>1</v>
      </c>
      <c r="Y72" s="21">
        <f>countif('v2002'!E:E,A72)</f>
        <v>0</v>
      </c>
      <c r="Z72" s="21">
        <f>countif('v1998'!E:E,A72)</f>
        <v>0</v>
      </c>
    </row>
    <row r="73">
      <c r="A73" s="17" t="s">
        <v>1571</v>
      </c>
      <c r="B73" s="18" t="s">
        <v>432</v>
      </c>
      <c r="C73" s="21" t="str">
        <f t="shared" si="13"/>
        <v>Deuteron Magnetic Moment</v>
      </c>
      <c r="D73" s="21" t="str">
        <f t="shared" si="10"/>
        <v>Moment magnétique du deutéron</v>
      </c>
      <c r="E73" s="17" t="s">
        <v>1572</v>
      </c>
      <c r="F73" s="17" t="s">
        <v>1573</v>
      </c>
      <c r="G73" s="18" t="s">
        <v>964</v>
      </c>
      <c r="H73" s="18" t="str">
        <f t="shared" si="14"/>
        <v>J_T-1</v>
      </c>
      <c r="I73" s="17">
        <f>if(H73="","", countif(Units!A:A,H73))</f>
        <v>1</v>
      </c>
      <c r="J73" s="18" t="s">
        <v>432</v>
      </c>
      <c r="K73" s="28">
        <f>countif(Quantities!A:A,J73)</f>
        <v>1</v>
      </c>
      <c r="L73" s="30" t="b">
        <f t="shared" si="4"/>
        <v>1</v>
      </c>
      <c r="M73" s="17" t="s">
        <v>432</v>
      </c>
      <c r="N73" s="34" t="str">
        <f t="shared" si="5"/>
        <v>qudt</v>
      </c>
      <c r="O73" s="18" t="b">
        <f t="shared" si="6"/>
        <v>1</v>
      </c>
      <c r="P73" s="39"/>
      <c r="Q73" s="39"/>
      <c r="R73" s="39" t="str">
        <f t="shared" si="7"/>
        <v/>
      </c>
      <c r="S73" s="43">
        <f t="shared" si="8"/>
        <v>7</v>
      </c>
      <c r="T73" s="21">
        <f>countif('v2022'!E:E,A73)</f>
        <v>1</v>
      </c>
      <c r="U73" s="21">
        <f>countif('v2018'!E:E,A73)</f>
        <v>1</v>
      </c>
      <c r="V73" s="21">
        <f>countif('v2014'!E:E,A73)</f>
        <v>1</v>
      </c>
      <c r="W73" s="21">
        <f>countif('v2010'!E:E,A73)</f>
        <v>1</v>
      </c>
      <c r="X73" s="21">
        <f>countif('v2006'!E:E,A73)</f>
        <v>1</v>
      </c>
      <c r="Y73" s="21">
        <f>countif('v2002'!E:E,A73)</f>
        <v>1</v>
      </c>
      <c r="Z73" s="21">
        <f>countif('v1998'!E:E,A73)</f>
        <v>1</v>
      </c>
    </row>
    <row r="74">
      <c r="A74" s="17" t="s">
        <v>1587</v>
      </c>
      <c r="B74" s="18" t="s">
        <v>441</v>
      </c>
      <c r="C74" s="21" t="str">
        <f t="shared" si="13"/>
        <v>Deuteron Magnetic Moment To Bohr Magneton Ratio</v>
      </c>
      <c r="D74" s="21" t="str">
        <f t="shared" si="10"/>
        <v>Rapport du moment magnétique du deutéron au magnéton de Bohr électronique</v>
      </c>
      <c r="E74" s="17" t="s">
        <v>1588</v>
      </c>
      <c r="F74" s="17" t="s">
        <v>1589</v>
      </c>
      <c r="H74" s="18" t="str">
        <f t="shared" si="14"/>
        <v/>
      </c>
      <c r="I74" s="17" t="str">
        <f>if(H74="","", countif(Units!A:A,H74))</f>
        <v/>
      </c>
      <c r="J74" s="18" t="s">
        <v>441</v>
      </c>
      <c r="K74" s="28">
        <f>countif(Quantities!A:A,J74)</f>
        <v>1</v>
      </c>
      <c r="L74" s="30" t="b">
        <f t="shared" si="4"/>
        <v>1</v>
      </c>
      <c r="M74" s="17" t="s">
        <v>441</v>
      </c>
      <c r="N74" s="34" t="str">
        <f t="shared" si="5"/>
        <v>qudt</v>
      </c>
      <c r="O74" s="18" t="b">
        <f t="shared" si="6"/>
        <v>1</v>
      </c>
      <c r="P74" s="39"/>
      <c r="Q74" s="39"/>
      <c r="R74" s="39" t="str">
        <f t="shared" si="7"/>
        <v/>
      </c>
      <c r="S74" s="43">
        <f t="shared" si="8"/>
        <v>7</v>
      </c>
      <c r="T74" s="21">
        <f>countif('v2022'!E:E,A74)</f>
        <v>1</v>
      </c>
      <c r="U74" s="21">
        <f>countif('v2018'!E:E,A74)</f>
        <v>1</v>
      </c>
      <c r="V74" s="21">
        <f>countif('v2014'!E:E,A74)</f>
        <v>1</v>
      </c>
      <c r="W74" s="21">
        <f>countif('v2010'!E:E,A74)</f>
        <v>1</v>
      </c>
      <c r="X74" s="21">
        <f>countif('v2006'!E:E,A74)</f>
        <v>1</v>
      </c>
      <c r="Y74" s="21">
        <f>countif('v2002'!E:E,A74)</f>
        <v>1</v>
      </c>
      <c r="Z74" s="21">
        <f>countif('v1998'!E:E,A74)</f>
        <v>1</v>
      </c>
    </row>
    <row r="75">
      <c r="A75" s="17" t="s">
        <v>1599</v>
      </c>
      <c r="B75" s="18" t="s">
        <v>444</v>
      </c>
      <c r="C75" s="21" t="str">
        <f t="shared" si="13"/>
        <v>Deuteron Magnetic Moment To Nuclear Magneton Ratio</v>
      </c>
      <c r="D75" s="21" t="str">
        <f t="shared" si="10"/>
        <v>Rapport du moment magnétique du deutéron au magnéton de Bohr nucléaire</v>
      </c>
      <c r="E75" s="17" t="s">
        <v>1600</v>
      </c>
      <c r="F75" s="17" t="s">
        <v>1601</v>
      </c>
      <c r="H75" s="18" t="str">
        <f t="shared" si="14"/>
        <v/>
      </c>
      <c r="I75" s="17" t="str">
        <f>if(H75="","", countif(Units!A:A,H75))</f>
        <v/>
      </c>
      <c r="J75" s="18" t="s">
        <v>444</v>
      </c>
      <c r="K75" s="28">
        <f>countif(Quantities!A:A,J75)</f>
        <v>1</v>
      </c>
      <c r="L75" s="30" t="b">
        <f t="shared" si="4"/>
        <v>1</v>
      </c>
      <c r="M75" s="17" t="s">
        <v>444</v>
      </c>
      <c r="N75" s="34" t="str">
        <f t="shared" si="5"/>
        <v>qudt</v>
      </c>
      <c r="O75" s="18" t="b">
        <f t="shared" si="6"/>
        <v>1</v>
      </c>
      <c r="P75" s="39"/>
      <c r="Q75" s="39"/>
      <c r="R75" s="39" t="str">
        <f t="shared" si="7"/>
        <v/>
      </c>
      <c r="S75" s="43">
        <f t="shared" si="8"/>
        <v>7</v>
      </c>
      <c r="T75" s="21">
        <f>countif('v2022'!E:E,A75)</f>
        <v>1</v>
      </c>
      <c r="U75" s="21">
        <f>countif('v2018'!E:E,A75)</f>
        <v>1</v>
      </c>
      <c r="V75" s="21">
        <f>countif('v2014'!E:E,A75)</f>
        <v>1</v>
      </c>
      <c r="W75" s="21">
        <f>countif('v2010'!E:E,A75)</f>
        <v>1</v>
      </c>
      <c r="X75" s="21">
        <f>countif('v2006'!E:E,A75)</f>
        <v>1</v>
      </c>
      <c r="Y75" s="21">
        <f>countif('v2002'!E:E,A75)</f>
        <v>1</v>
      </c>
      <c r="Z75" s="21">
        <f>countif('v1998'!E:E,A75)</f>
        <v>1</v>
      </c>
    </row>
    <row r="76">
      <c r="A76" s="17" t="s">
        <v>1606</v>
      </c>
      <c r="B76" s="18" t="s">
        <v>447</v>
      </c>
      <c r="C76" s="21" t="str">
        <f t="shared" si="13"/>
        <v>Deuteron Mass</v>
      </c>
      <c r="D76" s="21" t="str">
        <f t="shared" si="10"/>
        <v>Masse du deutéron</v>
      </c>
      <c r="E76" s="17" t="s">
        <v>1609</v>
      </c>
      <c r="F76" s="17" t="s">
        <v>1610</v>
      </c>
      <c r="G76" s="18" t="s">
        <v>98</v>
      </c>
      <c r="H76" s="18" t="str">
        <f t="shared" si="14"/>
        <v>kg</v>
      </c>
      <c r="I76" s="17">
        <f>if(H76="","", countif(Units!A:A,H76))</f>
        <v>1</v>
      </c>
      <c r="J76" s="18" t="s">
        <v>447</v>
      </c>
      <c r="K76" s="28">
        <f>countif(Quantities!A:A,J76)</f>
        <v>1</v>
      </c>
      <c r="L76" s="30" t="b">
        <f t="shared" si="4"/>
        <v>1</v>
      </c>
      <c r="M76" s="17" t="s">
        <v>447</v>
      </c>
      <c r="N76" s="34" t="str">
        <f t="shared" si="5"/>
        <v>qudt</v>
      </c>
      <c r="O76" s="18" t="b">
        <f t="shared" si="6"/>
        <v>1</v>
      </c>
      <c r="P76" s="39"/>
      <c r="Q76" s="39"/>
      <c r="R76" s="39" t="str">
        <f t="shared" si="7"/>
        <v/>
      </c>
      <c r="S76" s="43">
        <f t="shared" si="8"/>
        <v>7</v>
      </c>
      <c r="T76" s="21">
        <f>countif('v2022'!E:E,A76)</f>
        <v>1</v>
      </c>
      <c r="U76" s="21">
        <f>countif('v2018'!E:E,A76)</f>
        <v>1</v>
      </c>
      <c r="V76" s="21">
        <f>countif('v2014'!E:E,A76)</f>
        <v>1</v>
      </c>
      <c r="W76" s="21">
        <f>countif('v2010'!E:E,A76)</f>
        <v>1</v>
      </c>
      <c r="X76" s="21">
        <f>countif('v2006'!E:E,A76)</f>
        <v>1</v>
      </c>
      <c r="Y76" s="21">
        <f>countif('v2002'!E:E,A76)</f>
        <v>1</v>
      </c>
      <c r="Z76" s="21">
        <f>countif('v1998'!E:E,A76)</f>
        <v>1</v>
      </c>
    </row>
    <row r="77">
      <c r="A77" s="17" t="s">
        <v>1615</v>
      </c>
      <c r="B77" s="18" t="s">
        <v>456</v>
      </c>
      <c r="C77" s="21" t="str">
        <f t="shared" si="13"/>
        <v>Deuteron Mass Energy Equivalent</v>
      </c>
      <c r="D77" s="21" t="str">
        <f t="shared" si="10"/>
        <v>Énergie de masse du deutéron</v>
      </c>
      <c r="E77" s="17" t="s">
        <v>1617</v>
      </c>
      <c r="F77" s="17" t="s">
        <v>1618</v>
      </c>
      <c r="G77" s="18" t="s">
        <v>173</v>
      </c>
      <c r="H77" s="18" t="str">
        <f t="shared" si="14"/>
        <v>J</v>
      </c>
      <c r="I77" s="17">
        <f>if(H77="","", countif(Units!A:A,H77))</f>
        <v>1</v>
      </c>
      <c r="J77" s="17" t="s">
        <v>456</v>
      </c>
      <c r="K77" s="28">
        <f>countif(Quantities!A:A,J77)</f>
        <v>1</v>
      </c>
      <c r="L77" s="30" t="b">
        <f t="shared" si="4"/>
        <v>1</v>
      </c>
      <c r="M77" s="17" t="s">
        <v>456</v>
      </c>
      <c r="N77" s="34" t="str">
        <f t="shared" si="5"/>
        <v>qudt</v>
      </c>
      <c r="O77" s="18" t="b">
        <f t="shared" si="6"/>
        <v>1</v>
      </c>
      <c r="P77" s="39"/>
      <c r="Q77" s="39"/>
      <c r="R77" s="39" t="str">
        <f t="shared" si="7"/>
        <v/>
      </c>
      <c r="S77" s="43">
        <f t="shared" si="8"/>
        <v>7</v>
      </c>
      <c r="T77" s="21">
        <f>countif('v2022'!E:E,A77)</f>
        <v>1</v>
      </c>
      <c r="U77" s="21">
        <f>countif('v2018'!E:E,A77)</f>
        <v>1</v>
      </c>
      <c r="V77" s="21">
        <f>countif('v2014'!E:E,A77)</f>
        <v>1</v>
      </c>
      <c r="W77" s="21">
        <f>countif('v2010'!E:E,A77)</f>
        <v>1</v>
      </c>
      <c r="X77" s="21">
        <f>countif('v2006'!E:E,A77)</f>
        <v>1</v>
      </c>
      <c r="Y77" s="21">
        <f>countif('v2002'!E:E,A77)</f>
        <v>1</v>
      </c>
      <c r="Z77" s="21">
        <f>countif('v1998'!E:E,A77)</f>
        <v>1</v>
      </c>
    </row>
    <row r="78">
      <c r="A78" s="17" t="s">
        <v>1629</v>
      </c>
      <c r="B78" s="18" t="s">
        <v>1630</v>
      </c>
      <c r="C78" s="17" t="s">
        <v>1631</v>
      </c>
      <c r="D78" s="21" t="str">
        <f t="shared" si="10"/>
        <v>Énergie de masse du deutéron en MeV</v>
      </c>
      <c r="E78" s="17" t="s">
        <v>1632</v>
      </c>
      <c r="F78" s="17" t="s">
        <v>1634</v>
      </c>
      <c r="G78" s="18" t="s">
        <v>224</v>
      </c>
      <c r="H78" s="18" t="str">
        <f t="shared" si="14"/>
        <v>MeV</v>
      </c>
      <c r="I78" s="17">
        <f>if(H78="","", countif(Units!A:A,H78))</f>
        <v>1</v>
      </c>
      <c r="J78" s="18" t="s">
        <v>447</v>
      </c>
      <c r="K78" s="28">
        <f>countif(Quantities!A:A,J78)</f>
        <v>1</v>
      </c>
      <c r="L78" s="30" t="b">
        <f t="shared" si="4"/>
        <v>0</v>
      </c>
      <c r="M78" s="17" t="s">
        <v>1630</v>
      </c>
      <c r="N78" s="34" t="str">
        <f t="shared" si="5"/>
        <v>qudt</v>
      </c>
      <c r="O78" s="18" t="b">
        <f t="shared" si="6"/>
        <v>1</v>
      </c>
      <c r="P78" s="23"/>
      <c r="Q78" s="23"/>
      <c r="R78" s="39" t="str">
        <f t="shared" si="7"/>
        <v/>
      </c>
      <c r="S78" s="43">
        <f t="shared" si="8"/>
        <v>7</v>
      </c>
      <c r="T78" s="21">
        <f>countif('v2022'!E:E,A78)</f>
        <v>1</v>
      </c>
      <c r="U78" s="21">
        <f>countif('v2018'!E:E,A78)</f>
        <v>1</v>
      </c>
      <c r="V78" s="21">
        <f>countif('v2014'!E:E,A78)</f>
        <v>1</v>
      </c>
      <c r="W78" s="21">
        <f>countif('v2010'!E:E,A78)</f>
        <v>1</v>
      </c>
      <c r="X78" s="21">
        <f>countif('v2006'!E:E,A78)</f>
        <v>1</v>
      </c>
      <c r="Y78" s="21">
        <f>countif('v2002'!E:E,A78)</f>
        <v>1</v>
      </c>
      <c r="Z78" s="21">
        <f>countif('v1998'!E:E,A78)</f>
        <v>1</v>
      </c>
    </row>
    <row r="79">
      <c r="A79" s="17" t="s">
        <v>1639</v>
      </c>
      <c r="B79" s="18" t="s">
        <v>1640</v>
      </c>
      <c r="C79" s="21" t="str">
        <f t="shared" ref="C79:C98" si="15">proper(E79)</f>
        <v>Deuteron Mass In U</v>
      </c>
      <c r="D79" s="21" t="str">
        <f t="shared" si="10"/>
        <v>Masse du deutéron en u</v>
      </c>
      <c r="E79" s="17" t="s">
        <v>1643</v>
      </c>
      <c r="F79" s="17" t="s">
        <v>1644</v>
      </c>
      <c r="G79" s="18" t="s">
        <v>249</v>
      </c>
      <c r="H79" s="18" t="str">
        <f t="shared" si="14"/>
        <v>u</v>
      </c>
      <c r="I79" s="17">
        <f>if(H79="","", countif(Units!A:A,H79))</f>
        <v>1</v>
      </c>
      <c r="J79" s="18" t="s">
        <v>447</v>
      </c>
      <c r="K79" s="28">
        <f>countif(Quantities!A:A,J79)</f>
        <v>1</v>
      </c>
      <c r="L79" s="30" t="b">
        <f t="shared" si="4"/>
        <v>0</v>
      </c>
      <c r="M79" s="17" t="s">
        <v>1640</v>
      </c>
      <c r="N79" s="34" t="str">
        <f t="shared" si="5"/>
        <v>qudt</v>
      </c>
      <c r="O79" s="18" t="b">
        <f t="shared" si="6"/>
        <v>1</v>
      </c>
      <c r="P79" s="39"/>
      <c r="Q79" s="39"/>
      <c r="R79" s="39" t="str">
        <f t="shared" si="7"/>
        <v/>
      </c>
      <c r="S79" s="43">
        <f t="shared" si="8"/>
        <v>7</v>
      </c>
      <c r="T79" s="21">
        <f>countif('v2022'!E:E,A79)</f>
        <v>1</v>
      </c>
      <c r="U79" s="21">
        <f>countif('v2018'!E:E,A79)</f>
        <v>1</v>
      </c>
      <c r="V79" s="21">
        <f>countif('v2014'!E:E,A79)</f>
        <v>1</v>
      </c>
      <c r="W79" s="21">
        <f>countif('v2010'!E:E,A79)</f>
        <v>1</v>
      </c>
      <c r="X79" s="21">
        <f>countif('v2006'!E:E,A79)</f>
        <v>1</v>
      </c>
      <c r="Y79" s="21">
        <f>countif('v2002'!E:E,A79)</f>
        <v>1</v>
      </c>
      <c r="Z79" s="21">
        <f>countif('v1998'!E:E,A79)</f>
        <v>1</v>
      </c>
    </row>
    <row r="80">
      <c r="A80" s="17" t="s">
        <v>1650</v>
      </c>
      <c r="B80" s="18" t="s">
        <v>460</v>
      </c>
      <c r="C80" s="21" t="str">
        <f t="shared" si="15"/>
        <v>Deuteron Molar Mass</v>
      </c>
      <c r="D80" s="21" t="str">
        <f t="shared" si="10"/>
        <v>Masse molaire du deutéron</v>
      </c>
      <c r="E80" s="17" t="s">
        <v>1651</v>
      </c>
      <c r="F80" s="17" t="s">
        <v>1652</v>
      </c>
      <c r="G80" s="18" t="s">
        <v>286</v>
      </c>
      <c r="H80" s="18" t="str">
        <f t="shared" si="14"/>
        <v>kg_mol-1</v>
      </c>
      <c r="I80" s="17">
        <f>if(H80="","", countif(Units!A:A,H80))</f>
        <v>1</v>
      </c>
      <c r="J80" s="18" t="s">
        <v>460</v>
      </c>
      <c r="K80" s="28">
        <f>countif(Quantities!A:A,J80)</f>
        <v>1</v>
      </c>
      <c r="L80" s="30" t="b">
        <f t="shared" si="4"/>
        <v>1</v>
      </c>
      <c r="M80" s="17" t="s">
        <v>460</v>
      </c>
      <c r="N80" s="34" t="str">
        <f t="shared" si="5"/>
        <v>qudt</v>
      </c>
      <c r="O80" s="18" t="b">
        <f t="shared" si="6"/>
        <v>1</v>
      </c>
      <c r="P80" s="39"/>
      <c r="Q80" s="39"/>
      <c r="R80" s="39" t="str">
        <f t="shared" si="7"/>
        <v/>
      </c>
      <c r="S80" s="43">
        <f t="shared" si="8"/>
        <v>7</v>
      </c>
      <c r="T80" s="21">
        <f>countif('v2022'!E:E,A80)</f>
        <v>1</v>
      </c>
      <c r="U80" s="21">
        <f>countif('v2018'!E:E,A80)</f>
        <v>1</v>
      </c>
      <c r="V80" s="21">
        <f>countif('v2014'!E:E,A80)</f>
        <v>1</v>
      </c>
      <c r="W80" s="21">
        <f>countif('v2010'!E:E,A80)</f>
        <v>1</v>
      </c>
      <c r="X80" s="21">
        <f>countif('v2006'!E:E,A80)</f>
        <v>1</v>
      </c>
      <c r="Y80" s="21">
        <f>countif('v2002'!E:E,A80)</f>
        <v>1</v>
      </c>
      <c r="Z80" s="21">
        <f>countif('v1998'!E:E,A80)</f>
        <v>1</v>
      </c>
    </row>
    <row r="81">
      <c r="A81" s="17" t="s">
        <v>1658</v>
      </c>
      <c r="B81" s="18" t="s">
        <v>467</v>
      </c>
      <c r="C81" s="21" t="str">
        <f t="shared" si="15"/>
        <v>Deuteron - Neutron Magnetic Moment Ratio</v>
      </c>
      <c r="D81" s="21" t="str">
        <f t="shared" si="10"/>
        <v>Rapport du moment magnétique du deutéron à celui du neutron</v>
      </c>
      <c r="E81" s="17" t="s">
        <v>1659</v>
      </c>
      <c r="F81" s="17" t="s">
        <v>1660</v>
      </c>
      <c r="H81" s="18" t="str">
        <f t="shared" si="14"/>
        <v/>
      </c>
      <c r="I81" s="17" t="str">
        <f>if(H81="","", countif(Units!A:A,H81))</f>
        <v/>
      </c>
      <c r="J81" s="18" t="s">
        <v>467</v>
      </c>
      <c r="K81" s="28">
        <f>countif(Quantities!A:A,J81)</f>
        <v>1</v>
      </c>
      <c r="L81" s="30" t="b">
        <f t="shared" si="4"/>
        <v>1</v>
      </c>
      <c r="M81" s="17" t="s">
        <v>467</v>
      </c>
      <c r="N81" s="34" t="str">
        <f t="shared" si="5"/>
        <v>qudt</v>
      </c>
      <c r="O81" s="18" t="b">
        <f t="shared" si="6"/>
        <v>1</v>
      </c>
      <c r="P81" s="39"/>
      <c r="Q81" s="39"/>
      <c r="R81" s="39" t="str">
        <f t="shared" si="7"/>
        <v/>
      </c>
      <c r="S81" s="43">
        <f t="shared" si="8"/>
        <v>7</v>
      </c>
      <c r="T81" s="21">
        <f>countif('v2022'!E:E,A81)</f>
        <v>1</v>
      </c>
      <c r="U81" s="21">
        <f>countif('v2018'!E:E,A81)</f>
        <v>1</v>
      </c>
      <c r="V81" s="21">
        <f>countif('v2014'!E:E,A81)</f>
        <v>1</v>
      </c>
      <c r="W81" s="21">
        <f>countif('v2010'!E:E,A81)</f>
        <v>1</v>
      </c>
      <c r="X81" s="21">
        <f>countif('v2006'!E:E,A81)</f>
        <v>1</v>
      </c>
      <c r="Y81" s="21">
        <f>countif('v2002'!E:E,A81)</f>
        <v>1</v>
      </c>
      <c r="Z81" s="21">
        <f>countif('v1998'!E:E,A81)</f>
        <v>1</v>
      </c>
    </row>
    <row r="82">
      <c r="A82" s="17" t="s">
        <v>1664</v>
      </c>
      <c r="B82" s="18" t="s">
        <v>470</v>
      </c>
      <c r="C82" s="21" t="str">
        <f t="shared" si="15"/>
        <v>Deuteron - Proton Magnetic Moment Ratio</v>
      </c>
      <c r="D82" s="21" t="str">
        <f t="shared" si="10"/>
        <v>Rapport du moment magnétique du deutéron à celui du proton</v>
      </c>
      <c r="E82" s="17" t="s">
        <v>1665</v>
      </c>
      <c r="F82" s="17" t="s">
        <v>1666</v>
      </c>
      <c r="H82" s="18" t="str">
        <f t="shared" si="14"/>
        <v/>
      </c>
      <c r="I82" s="17" t="str">
        <f>if(H82="","", countif(Units!A:A,H82))</f>
        <v/>
      </c>
      <c r="J82" s="18" t="s">
        <v>470</v>
      </c>
      <c r="K82" s="28">
        <f>countif(Quantities!A:A,J82)</f>
        <v>1</v>
      </c>
      <c r="L82" s="30" t="b">
        <f t="shared" si="4"/>
        <v>1</v>
      </c>
      <c r="M82" s="17" t="s">
        <v>470</v>
      </c>
      <c r="N82" s="34" t="str">
        <f t="shared" si="5"/>
        <v>qudt</v>
      </c>
      <c r="O82" s="18" t="b">
        <f t="shared" si="6"/>
        <v>1</v>
      </c>
      <c r="P82" s="39"/>
      <c r="Q82" s="39"/>
      <c r="R82" s="39" t="str">
        <f t="shared" si="7"/>
        <v/>
      </c>
      <c r="S82" s="43">
        <f t="shared" si="8"/>
        <v>7</v>
      </c>
      <c r="T82" s="21">
        <f>countif('v2022'!E:E,A82)</f>
        <v>1</v>
      </c>
      <c r="U82" s="21">
        <f>countif('v2018'!E:E,A82)</f>
        <v>1</v>
      </c>
      <c r="V82" s="21">
        <f>countif('v2014'!E:E,A82)</f>
        <v>1</v>
      </c>
      <c r="W82" s="21">
        <f>countif('v2010'!E:E,A82)</f>
        <v>1</v>
      </c>
      <c r="X82" s="21">
        <f>countif('v2006'!E:E,A82)</f>
        <v>1</v>
      </c>
      <c r="Y82" s="21">
        <f>countif('v2002'!E:E,A82)</f>
        <v>1</v>
      </c>
      <c r="Z82" s="21">
        <f>countif('v1998'!E:E,A82)</f>
        <v>1</v>
      </c>
    </row>
    <row r="83">
      <c r="A83" s="17" t="s">
        <v>1669</v>
      </c>
      <c r="B83" s="18" t="s">
        <v>477</v>
      </c>
      <c r="C83" s="21" t="str">
        <f t="shared" si="15"/>
        <v>Deuteron - Proton Mass Ratio</v>
      </c>
      <c r="D83" s="21" t="str">
        <f t="shared" si="10"/>
        <v>Rapport de la masse du deutéron à celle du proton</v>
      </c>
      <c r="E83" s="17" t="s">
        <v>1670</v>
      </c>
      <c r="F83" s="17" t="s">
        <v>1671</v>
      </c>
      <c r="H83" s="18" t="str">
        <f t="shared" si="14"/>
        <v/>
      </c>
      <c r="I83" s="17" t="str">
        <f>if(H83="","", countif(Units!A:A,H83))</f>
        <v/>
      </c>
      <c r="J83" s="18" t="s">
        <v>477</v>
      </c>
      <c r="K83" s="28">
        <f>countif(Quantities!A:A,J83)</f>
        <v>1</v>
      </c>
      <c r="L83" s="30" t="b">
        <f t="shared" si="4"/>
        <v>1</v>
      </c>
      <c r="M83" s="17" t="s">
        <v>477</v>
      </c>
      <c r="N83" s="34" t="str">
        <f t="shared" si="5"/>
        <v>qudt</v>
      </c>
      <c r="O83" s="18" t="b">
        <f t="shared" si="6"/>
        <v>1</v>
      </c>
      <c r="P83" s="39"/>
      <c r="Q83" s="39"/>
      <c r="R83" s="39" t="str">
        <f t="shared" si="7"/>
        <v/>
      </c>
      <c r="S83" s="43">
        <f t="shared" si="8"/>
        <v>7</v>
      </c>
      <c r="T83" s="21">
        <f>countif('v2022'!E:E,A83)</f>
        <v>1</v>
      </c>
      <c r="U83" s="21">
        <f>countif('v2018'!E:E,A83)</f>
        <v>1</v>
      </c>
      <c r="V83" s="21">
        <f>countif('v2014'!E:E,A83)</f>
        <v>1</v>
      </c>
      <c r="W83" s="21">
        <f>countif('v2010'!E:E,A83)</f>
        <v>1</v>
      </c>
      <c r="X83" s="21">
        <f>countif('v2006'!E:E,A83)</f>
        <v>1</v>
      </c>
      <c r="Y83" s="21">
        <f>countif('v2002'!E:E,A83)</f>
        <v>1</v>
      </c>
      <c r="Z83" s="21">
        <f>countif('v1998'!E:E,A83)</f>
        <v>1</v>
      </c>
    </row>
    <row r="84">
      <c r="A84" s="17" t="s">
        <v>1676</v>
      </c>
      <c r="B84" s="18" t="s">
        <v>483</v>
      </c>
      <c r="C84" s="21" t="str">
        <f t="shared" si="15"/>
        <v>Deuteron Relative Atomic Mass</v>
      </c>
      <c r="D84" s="21" t="str">
        <f t="shared" si="10"/>
        <v>Masse atomique relative du deutéron</v>
      </c>
      <c r="E84" s="17" t="s">
        <v>1677</v>
      </c>
      <c r="F84" s="17" t="s">
        <v>1678</v>
      </c>
      <c r="H84" s="18" t="str">
        <f t="shared" si="14"/>
        <v/>
      </c>
      <c r="I84" s="17" t="str">
        <f>if(H84="","", countif(Units!A:A,H84))</f>
        <v/>
      </c>
      <c r="J84" s="18" t="s">
        <v>483</v>
      </c>
      <c r="K84" s="28">
        <f>countif(Quantities!A:A,J84)</f>
        <v>1</v>
      </c>
      <c r="L84" s="30" t="b">
        <f t="shared" si="4"/>
        <v>1</v>
      </c>
      <c r="N84" s="39" t="str">
        <f t="shared" si="5"/>
        <v/>
      </c>
      <c r="O84" s="18" t="b">
        <f t="shared" si="6"/>
        <v>0</v>
      </c>
      <c r="P84" s="23"/>
      <c r="Q84" s="23"/>
      <c r="R84" s="39" t="str">
        <f t="shared" si="7"/>
        <v/>
      </c>
      <c r="S84" s="43">
        <f t="shared" si="8"/>
        <v>2</v>
      </c>
      <c r="T84" s="21">
        <f>countif('v2022'!E:E,A84)</f>
        <v>1</v>
      </c>
      <c r="U84" s="21">
        <f>countif('v2018'!E:E,A84)</f>
        <v>1</v>
      </c>
      <c r="V84" s="21">
        <f>countif('v2014'!E:E,A84)</f>
        <v>0</v>
      </c>
      <c r="W84" s="21">
        <f>countif('v2010'!E:E,A84)</f>
        <v>0</v>
      </c>
      <c r="X84" s="21">
        <f>countif('v2006'!E:E,A84)</f>
        <v>0</v>
      </c>
      <c r="Y84" s="21">
        <f>countif('v2002'!E:E,A84)</f>
        <v>0</v>
      </c>
      <c r="Z84" s="21">
        <f>countif('v1998'!E:E,A84)</f>
        <v>0</v>
      </c>
    </row>
    <row r="85">
      <c r="A85" s="17" t="s">
        <v>1680</v>
      </c>
      <c r="B85" s="18" t="s">
        <v>488</v>
      </c>
      <c r="C85" s="21" t="str">
        <f t="shared" si="15"/>
        <v>Deuteron Rms Charge Radius</v>
      </c>
      <c r="D85" s="21" t="str">
        <f t="shared" si="10"/>
        <v>Rayon de charge effectif du deutéron</v>
      </c>
      <c r="E85" s="17" t="s">
        <v>1681</v>
      </c>
      <c r="F85" s="17" t="s">
        <v>1682</v>
      </c>
      <c r="G85" s="18" t="s">
        <v>381</v>
      </c>
      <c r="H85" s="18" t="str">
        <f t="shared" si="14"/>
        <v>m</v>
      </c>
      <c r="I85" s="17">
        <f>if(H85="","", countif(Units!A:A,H85))</f>
        <v>1</v>
      </c>
      <c r="J85" s="18" t="s">
        <v>488</v>
      </c>
      <c r="K85" s="28">
        <f>countif(Quantities!A:A,J85)</f>
        <v>1</v>
      </c>
      <c r="L85" s="30" t="b">
        <f t="shared" si="4"/>
        <v>1</v>
      </c>
      <c r="M85" s="17" t="s">
        <v>488</v>
      </c>
      <c r="N85" s="34" t="str">
        <f t="shared" si="5"/>
        <v>qudt</v>
      </c>
      <c r="O85" s="18" t="b">
        <f t="shared" si="6"/>
        <v>1</v>
      </c>
      <c r="P85" s="39"/>
      <c r="Q85" s="39"/>
      <c r="R85" s="39" t="str">
        <f t="shared" si="7"/>
        <v/>
      </c>
      <c r="S85" s="43">
        <f t="shared" si="8"/>
        <v>6</v>
      </c>
      <c r="T85" s="21">
        <f>countif('v2022'!E:E,A85)</f>
        <v>1</v>
      </c>
      <c r="U85" s="21">
        <f>countif('v2018'!E:E,A85)</f>
        <v>1</v>
      </c>
      <c r="V85" s="21">
        <f>countif('v2014'!E:E,A85)</f>
        <v>1</v>
      </c>
      <c r="W85" s="21">
        <f>countif('v2010'!E:E,A85)</f>
        <v>1</v>
      </c>
      <c r="X85" s="21">
        <f>countif('v2006'!E:E,A85)</f>
        <v>1</v>
      </c>
      <c r="Y85" s="21">
        <f>countif('v2002'!E:E,A85)</f>
        <v>1</v>
      </c>
      <c r="Z85" s="21">
        <f>countif('v1998'!E:E,A85)</f>
        <v>0</v>
      </c>
    </row>
    <row r="86">
      <c r="A86" s="17" t="s">
        <v>1686</v>
      </c>
      <c r="B86" s="18" t="s">
        <v>504</v>
      </c>
      <c r="C86" s="21" t="str">
        <f t="shared" si="15"/>
        <v>Electron Charge To Mass Quotient</v>
      </c>
      <c r="D86" s="21" t="str">
        <f t="shared" si="10"/>
        <v>Rapport de la charge à la masse de l'électron</v>
      </c>
      <c r="E86" s="17" t="s">
        <v>1687</v>
      </c>
      <c r="F86" s="17" t="s">
        <v>1688</v>
      </c>
      <c r="G86" s="18" t="s">
        <v>1689</v>
      </c>
      <c r="H86" s="18" t="str">
        <f t="shared" si="14"/>
        <v>C_kg-1</v>
      </c>
      <c r="I86" s="17">
        <f>if(H86="","", countif(Units!A:A,H86))</f>
        <v>1</v>
      </c>
      <c r="J86" s="18" t="s">
        <v>504</v>
      </c>
      <c r="K86" s="28">
        <f>countif(Quantities!A:A,J86)</f>
        <v>1</v>
      </c>
      <c r="L86" s="30" t="b">
        <f t="shared" si="4"/>
        <v>1</v>
      </c>
      <c r="M86" s="17" t="s">
        <v>504</v>
      </c>
      <c r="N86" s="34" t="str">
        <f t="shared" si="5"/>
        <v>qudt</v>
      </c>
      <c r="O86" s="18" t="b">
        <f t="shared" si="6"/>
        <v>1</v>
      </c>
      <c r="P86" s="39"/>
      <c r="Q86" s="39"/>
      <c r="R86" s="39" t="str">
        <f t="shared" si="7"/>
        <v/>
      </c>
      <c r="S86" s="43">
        <f t="shared" si="8"/>
        <v>7</v>
      </c>
      <c r="T86" s="21">
        <f>countif('v2022'!E:E,A86)</f>
        <v>1</v>
      </c>
      <c r="U86" s="21">
        <f>countif('v2018'!E:E,A86)</f>
        <v>1</v>
      </c>
      <c r="V86" s="21">
        <f>countif('v2014'!E:E,A86)</f>
        <v>1</v>
      </c>
      <c r="W86" s="21">
        <f>countif('v2010'!E:E,A86)</f>
        <v>1</v>
      </c>
      <c r="X86" s="21">
        <f>countif('v2006'!E:E,A86)</f>
        <v>1</v>
      </c>
      <c r="Y86" s="21">
        <f>countif('v2002'!E:E,A86)</f>
        <v>1</v>
      </c>
      <c r="Z86" s="21">
        <f>countif('v1998'!E:E,A86)</f>
        <v>1</v>
      </c>
    </row>
    <row r="87">
      <c r="A87" s="17" t="s">
        <v>1694</v>
      </c>
      <c r="B87" s="18" t="s">
        <v>510</v>
      </c>
      <c r="C87" s="21" t="str">
        <f t="shared" si="15"/>
        <v>Electron - Deuteron Magnetic Moment Ratio</v>
      </c>
      <c r="D87" s="21" t="str">
        <f t="shared" si="10"/>
        <v>Rapport du moment magnétique de l'électron à celui du proton</v>
      </c>
      <c r="E87" s="17" t="s">
        <v>1695</v>
      </c>
      <c r="F87" s="17" t="s">
        <v>1696</v>
      </c>
      <c r="H87" s="18" t="str">
        <f t="shared" si="14"/>
        <v/>
      </c>
      <c r="I87" s="17" t="str">
        <f>if(H87="","", countif(Units!A:A,H87))</f>
        <v/>
      </c>
      <c r="J87" s="18" t="s">
        <v>510</v>
      </c>
      <c r="K87" s="28">
        <f>countif(Quantities!A:A,J87)</f>
        <v>1</v>
      </c>
      <c r="L87" s="30" t="b">
        <f t="shared" si="4"/>
        <v>1</v>
      </c>
      <c r="M87" s="17" t="s">
        <v>510</v>
      </c>
      <c r="N87" s="34" t="str">
        <f t="shared" si="5"/>
        <v>qudt</v>
      </c>
      <c r="O87" s="18" t="b">
        <f t="shared" si="6"/>
        <v>1</v>
      </c>
      <c r="P87" s="39"/>
      <c r="Q87" s="39"/>
      <c r="R87" s="39" t="str">
        <f t="shared" si="7"/>
        <v/>
      </c>
      <c r="S87" s="43">
        <f t="shared" si="8"/>
        <v>7</v>
      </c>
      <c r="T87" s="21">
        <f>countif('v2022'!E:E,A87)</f>
        <v>1</v>
      </c>
      <c r="U87" s="21">
        <f>countif('v2018'!E:E,A87)</f>
        <v>1</v>
      </c>
      <c r="V87" s="21">
        <f>countif('v2014'!E:E,A87)</f>
        <v>1</v>
      </c>
      <c r="W87" s="21">
        <f>countif('v2010'!E:E,A87)</f>
        <v>1</v>
      </c>
      <c r="X87" s="21">
        <f>countif('v2006'!E:E,A87)</f>
        <v>1</v>
      </c>
      <c r="Y87" s="21">
        <f>countif('v2002'!E:E,A87)</f>
        <v>1</v>
      </c>
      <c r="Z87" s="21">
        <f>countif('v1998'!E:E,A87)</f>
        <v>1</v>
      </c>
    </row>
    <row r="88">
      <c r="A88" s="17" t="s">
        <v>1700</v>
      </c>
      <c r="B88" s="18" t="s">
        <v>514</v>
      </c>
      <c r="C88" s="21" t="str">
        <f t="shared" si="15"/>
        <v>Electron - Deuteron Mass Ratio</v>
      </c>
      <c r="D88" s="21" t="str">
        <f t="shared" si="10"/>
        <v>Rapport de la masse de l'électron à celle du deutéron</v>
      </c>
      <c r="E88" s="17" t="s">
        <v>1701</v>
      </c>
      <c r="F88" s="17" t="s">
        <v>1702</v>
      </c>
      <c r="H88" s="18" t="str">
        <f t="shared" si="14"/>
        <v/>
      </c>
      <c r="I88" s="17" t="str">
        <f>if(H88="","", countif(Units!A:A,H88))</f>
        <v/>
      </c>
      <c r="J88" s="18" t="s">
        <v>514</v>
      </c>
      <c r="K88" s="28">
        <f>countif(Quantities!A:A,J88)</f>
        <v>1</v>
      </c>
      <c r="L88" s="30" t="b">
        <f t="shared" si="4"/>
        <v>1</v>
      </c>
      <c r="M88" s="17" t="s">
        <v>514</v>
      </c>
      <c r="N88" s="34" t="str">
        <f t="shared" si="5"/>
        <v>qudt</v>
      </c>
      <c r="O88" s="18" t="b">
        <f t="shared" si="6"/>
        <v>1</v>
      </c>
      <c r="P88" s="39"/>
      <c r="Q88" s="39"/>
      <c r="R88" s="39" t="str">
        <f t="shared" si="7"/>
        <v/>
      </c>
      <c r="S88" s="43">
        <f t="shared" si="8"/>
        <v>7</v>
      </c>
      <c r="T88" s="21">
        <f>countif('v2022'!E:E,A88)</f>
        <v>1</v>
      </c>
      <c r="U88" s="21">
        <f>countif('v2018'!E:E,A88)</f>
        <v>1</v>
      </c>
      <c r="V88" s="21">
        <f>countif('v2014'!E:E,A88)</f>
        <v>1</v>
      </c>
      <c r="W88" s="21">
        <f>countif('v2010'!E:E,A88)</f>
        <v>1</v>
      </c>
      <c r="X88" s="21">
        <f>countif('v2006'!E:E,A88)</f>
        <v>1</v>
      </c>
      <c r="Y88" s="21">
        <f>countif('v2002'!E:E,A88)</f>
        <v>1</v>
      </c>
      <c r="Z88" s="21">
        <f>countif('v1998'!E:E,A88)</f>
        <v>1</v>
      </c>
    </row>
    <row r="89">
      <c r="A89" s="17" t="s">
        <v>1705</v>
      </c>
      <c r="B89" s="18" t="s">
        <v>516</v>
      </c>
      <c r="C89" s="21" t="str">
        <f t="shared" si="15"/>
        <v>Electron G Factor</v>
      </c>
      <c r="D89" s="21" t="str">
        <f t="shared" si="10"/>
        <v>Facteur de landé de l'électron</v>
      </c>
      <c r="E89" s="17" t="s">
        <v>1706</v>
      </c>
      <c r="F89" s="17" t="s">
        <v>1707</v>
      </c>
      <c r="H89" s="18" t="str">
        <f t="shared" si="14"/>
        <v/>
      </c>
      <c r="I89" s="17" t="str">
        <f>if(H89="","", countif(Units!A:A,H89))</f>
        <v/>
      </c>
      <c r="J89" s="18" t="s">
        <v>516</v>
      </c>
      <c r="K89" s="28">
        <f>countif(Quantities!A:A,J89)</f>
        <v>1</v>
      </c>
      <c r="L89" s="30" t="b">
        <f t="shared" si="4"/>
        <v>1</v>
      </c>
      <c r="M89" s="17" t="s">
        <v>516</v>
      </c>
      <c r="N89" s="34" t="str">
        <f t="shared" si="5"/>
        <v>qudt</v>
      </c>
      <c r="O89" s="18" t="b">
        <f t="shared" si="6"/>
        <v>1</v>
      </c>
      <c r="P89" s="39"/>
      <c r="Q89" s="39"/>
      <c r="R89" s="39" t="str">
        <f t="shared" si="7"/>
        <v/>
      </c>
      <c r="S89" s="43">
        <f t="shared" si="8"/>
        <v>7</v>
      </c>
      <c r="T89" s="21">
        <f>countif('v2022'!E:E,A89)</f>
        <v>1</v>
      </c>
      <c r="U89" s="21">
        <f>countif('v2018'!E:E,A89)</f>
        <v>1</v>
      </c>
      <c r="V89" s="21">
        <f>countif('v2014'!E:E,A89)</f>
        <v>1</v>
      </c>
      <c r="W89" s="21">
        <f>countif('v2010'!E:E,A89)</f>
        <v>1</v>
      </c>
      <c r="X89" s="21">
        <f>countif('v2006'!E:E,A89)</f>
        <v>1</v>
      </c>
      <c r="Y89" s="21">
        <f>countif('v2002'!E:E,A89)</f>
        <v>1</v>
      </c>
      <c r="Z89" s="21">
        <f>countif('v1998'!E:E,A89)</f>
        <v>1</v>
      </c>
    </row>
    <row r="90">
      <c r="A90" s="17" t="s">
        <v>1714</v>
      </c>
      <c r="B90" s="18" t="s">
        <v>522</v>
      </c>
      <c r="C90" s="21" t="str">
        <f t="shared" si="15"/>
        <v>Electron Gyromagnetic Ratio</v>
      </c>
      <c r="D90" s="21" t="str">
        <f t="shared" si="10"/>
        <v>Rapport gyromagnétique de l'électron</v>
      </c>
      <c r="E90" s="17" t="s">
        <v>1715</v>
      </c>
      <c r="F90" s="17" t="s">
        <v>1716</v>
      </c>
      <c r="G90" s="18" t="s">
        <v>1717</v>
      </c>
      <c r="H90" s="18" t="str">
        <f t="shared" si="14"/>
        <v>s-1_T-1</v>
      </c>
      <c r="I90" s="17">
        <f>if(H90="","", countif(Units!A:A,H90))</f>
        <v>1</v>
      </c>
      <c r="J90" s="18" t="s">
        <v>522</v>
      </c>
      <c r="K90" s="28">
        <f>countif(Quantities!A:A,J90)</f>
        <v>1</v>
      </c>
      <c r="L90" s="30" t="b">
        <f t="shared" si="4"/>
        <v>1</v>
      </c>
      <c r="M90" s="17" t="s">
        <v>522</v>
      </c>
      <c r="N90" s="34" t="str">
        <f t="shared" si="5"/>
        <v>qudt</v>
      </c>
      <c r="O90" s="18" t="b">
        <f t="shared" si="6"/>
        <v>1</v>
      </c>
      <c r="P90" s="39"/>
      <c r="Q90" s="39"/>
      <c r="R90" s="39" t="str">
        <f t="shared" si="7"/>
        <v/>
      </c>
      <c r="S90" s="43">
        <f t="shared" si="8"/>
        <v>7</v>
      </c>
      <c r="T90" s="21">
        <f>countif('v2022'!E:E,A90)</f>
        <v>1</v>
      </c>
      <c r="U90" s="21">
        <f>countif('v2018'!E:E,A90)</f>
        <v>1</v>
      </c>
      <c r="V90" s="21">
        <f>countif('v2014'!E:E,A90)</f>
        <v>1</v>
      </c>
      <c r="W90" s="21">
        <f>countif('v2010'!E:E,A90)</f>
        <v>1</v>
      </c>
      <c r="X90" s="21">
        <f>countif('v2006'!E:E,A90)</f>
        <v>1</v>
      </c>
      <c r="Y90" s="21">
        <f>countif('v2002'!E:E,A90)</f>
        <v>1</v>
      </c>
      <c r="Z90" s="21">
        <f>countif('v1998'!E:E,A90)</f>
        <v>1</v>
      </c>
    </row>
    <row r="91">
      <c r="A91" s="17" t="s">
        <v>1729</v>
      </c>
      <c r="B91" s="18" t="s">
        <v>1730</v>
      </c>
      <c r="C91" s="21" t="str">
        <f t="shared" si="15"/>
        <v>Electron Gyromagnetic Ratio Over 2 Pi</v>
      </c>
      <c r="D91" s="21" t="str">
        <f t="shared" si="10"/>
        <v>Rapport gyromagnétique réduit de l'électron</v>
      </c>
      <c r="E91" s="17" t="s">
        <v>1731</v>
      </c>
      <c r="F91" s="17" t="s">
        <v>1732</v>
      </c>
      <c r="G91" s="18" t="s">
        <v>1733</v>
      </c>
      <c r="H91" s="18" t="str">
        <f t="shared" si="14"/>
        <v>MHz_T-1</v>
      </c>
      <c r="I91" s="17">
        <f>if(H91="","", countif(Units!A:A,H91))</f>
        <v>1</v>
      </c>
      <c r="J91" s="17" t="s">
        <v>522</v>
      </c>
      <c r="K91" s="28">
        <f>countif(Quantities!A:A,J91)</f>
        <v>1</v>
      </c>
      <c r="L91" s="30" t="b">
        <f t="shared" si="4"/>
        <v>0</v>
      </c>
      <c r="M91" s="17" t="s">
        <v>1730</v>
      </c>
      <c r="N91" s="34" t="str">
        <f t="shared" si="5"/>
        <v>qudt</v>
      </c>
      <c r="O91" s="18" t="b">
        <f t="shared" si="6"/>
        <v>1</v>
      </c>
      <c r="P91" s="39"/>
      <c r="Q91" s="39"/>
      <c r="R91" s="39" t="str">
        <f t="shared" si="7"/>
        <v/>
      </c>
      <c r="S91" s="43">
        <f t="shared" si="8"/>
        <v>7</v>
      </c>
      <c r="T91" s="21">
        <f>countif('v2022'!E:E,A91)</f>
        <v>1</v>
      </c>
      <c r="U91" s="21">
        <f>countif('v2018'!E:E,A91)</f>
        <v>1</v>
      </c>
      <c r="V91" s="21">
        <f>countif('v2014'!E:E,A91)</f>
        <v>1</v>
      </c>
      <c r="W91" s="21">
        <f>countif('v2010'!E:E,A91)</f>
        <v>1</v>
      </c>
      <c r="X91" s="21">
        <f>countif('v2006'!E:E,A91)</f>
        <v>1</v>
      </c>
      <c r="Y91" s="21">
        <f>countif('v2002'!E:E,A91)</f>
        <v>1</v>
      </c>
      <c r="Z91" s="21">
        <f>countif('v1998'!E:E,A91)</f>
        <v>1</v>
      </c>
    </row>
    <row r="92">
      <c r="A92" s="17" t="s">
        <v>1752</v>
      </c>
      <c r="B92" s="17" t="s">
        <v>533</v>
      </c>
      <c r="C92" s="21" t="str">
        <f t="shared" si="15"/>
        <v>Electron - Helion Mass Ratio</v>
      </c>
      <c r="D92" s="21" t="str">
        <f t="shared" si="10"/>
        <v>Rapport de la masse de l'hélion à celle de l'électron</v>
      </c>
      <c r="E92" s="17" t="s">
        <v>1753</v>
      </c>
      <c r="F92" s="17" t="s">
        <v>1754</v>
      </c>
      <c r="H92" s="18" t="str">
        <f t="shared" si="14"/>
        <v/>
      </c>
      <c r="I92" s="17" t="str">
        <f>if(H92="","", countif(Units!A:A,H92))</f>
        <v/>
      </c>
      <c r="J92" s="17" t="s">
        <v>533</v>
      </c>
      <c r="K92" s="28">
        <f>countif(Quantities!A:A,J92)</f>
        <v>1</v>
      </c>
      <c r="L92" s="30" t="b">
        <f t="shared" si="4"/>
        <v>1</v>
      </c>
      <c r="N92" s="39" t="str">
        <f t="shared" si="5"/>
        <v/>
      </c>
      <c r="O92" s="18" t="b">
        <f t="shared" si="6"/>
        <v>0</v>
      </c>
      <c r="P92" s="23"/>
      <c r="Q92" s="23"/>
      <c r="R92" s="39" t="str">
        <f t="shared" si="7"/>
        <v/>
      </c>
      <c r="S92" s="43">
        <f t="shared" si="8"/>
        <v>4</v>
      </c>
      <c r="T92" s="21">
        <f>countif('v2022'!E:E,A92)</f>
        <v>1</v>
      </c>
      <c r="U92" s="21">
        <f>countif('v2018'!E:E,A92)</f>
        <v>1</v>
      </c>
      <c r="V92" s="21">
        <f>countif('v2014'!E:E,A92)</f>
        <v>1</v>
      </c>
      <c r="W92" s="21">
        <f>countif('v2010'!E:E,A92)</f>
        <v>1</v>
      </c>
      <c r="X92" s="21">
        <f>countif('v2006'!E:E,A92)</f>
        <v>0</v>
      </c>
      <c r="Y92" s="21">
        <f>countif('v2002'!E:E,A92)</f>
        <v>0</v>
      </c>
      <c r="Z92" s="21">
        <f>countif('v1998'!E:E,A92)</f>
        <v>0</v>
      </c>
    </row>
    <row r="93">
      <c r="A93" s="17" t="s">
        <v>1761</v>
      </c>
      <c r="B93" s="18" t="s">
        <v>539</v>
      </c>
      <c r="C93" s="21" t="str">
        <f t="shared" si="15"/>
        <v>Electron Magnetic Moment</v>
      </c>
      <c r="D93" s="21" t="str">
        <f t="shared" si="10"/>
        <v>Moment magnétique de l'électron</v>
      </c>
      <c r="E93" s="17" t="s">
        <v>1763</v>
      </c>
      <c r="F93" s="17" t="s">
        <v>1764</v>
      </c>
      <c r="G93" s="18" t="s">
        <v>964</v>
      </c>
      <c r="H93" s="18" t="str">
        <f t="shared" si="14"/>
        <v>J_T-1</v>
      </c>
      <c r="I93" s="17">
        <f>if(H93="","", countif(Units!A:A,H93))</f>
        <v>1</v>
      </c>
      <c r="J93" s="18" t="s">
        <v>539</v>
      </c>
      <c r="K93" s="28">
        <f>countif(Quantities!A:A,J93)</f>
        <v>1</v>
      </c>
      <c r="L93" s="30" t="b">
        <f t="shared" si="4"/>
        <v>1</v>
      </c>
      <c r="M93" s="17" t="s">
        <v>539</v>
      </c>
      <c r="N93" s="34" t="str">
        <f t="shared" si="5"/>
        <v>qudt</v>
      </c>
      <c r="O93" s="18" t="b">
        <f t="shared" si="6"/>
        <v>1</v>
      </c>
      <c r="P93" s="39"/>
      <c r="Q93" s="39"/>
      <c r="R93" s="39" t="str">
        <f t="shared" si="7"/>
        <v/>
      </c>
      <c r="S93" s="43">
        <f t="shared" si="8"/>
        <v>7</v>
      </c>
      <c r="T93" s="21">
        <f>countif('v2022'!E:E,A93)</f>
        <v>1</v>
      </c>
      <c r="U93" s="21">
        <f>countif('v2018'!E:E,A93)</f>
        <v>1</v>
      </c>
      <c r="V93" s="21">
        <f>countif('v2014'!E:E,A93)</f>
        <v>1</v>
      </c>
      <c r="W93" s="21">
        <f>countif('v2010'!E:E,A93)</f>
        <v>1</v>
      </c>
      <c r="X93" s="21">
        <f>countif('v2006'!E:E,A93)</f>
        <v>1</v>
      </c>
      <c r="Y93" s="21">
        <f>countif('v2002'!E:E,A93)</f>
        <v>1</v>
      </c>
      <c r="Z93" s="21">
        <f>countif('v1998'!E:E,A93)</f>
        <v>1</v>
      </c>
    </row>
    <row r="94">
      <c r="A94" s="17" t="s">
        <v>1772</v>
      </c>
      <c r="B94" s="18" t="s">
        <v>548</v>
      </c>
      <c r="C94" s="21" t="str">
        <f t="shared" si="15"/>
        <v>Electron Magnetic Moment Anomaly</v>
      </c>
      <c r="D94" s="21" t="str">
        <f t="shared" si="10"/>
        <v>Moment magnétique anomal de l'électron</v>
      </c>
      <c r="E94" s="17" t="s">
        <v>1773</v>
      </c>
      <c r="F94" s="17" t="s">
        <v>1774</v>
      </c>
      <c r="H94" s="18" t="str">
        <f t="shared" si="14"/>
        <v/>
      </c>
      <c r="I94" s="17" t="str">
        <f>if(H94="","", countif(Units!A:A,H94))</f>
        <v/>
      </c>
      <c r="J94" s="18" t="s">
        <v>548</v>
      </c>
      <c r="K94" s="28">
        <f>countif(Quantities!A:A,J94)</f>
        <v>1</v>
      </c>
      <c r="L94" s="30" t="b">
        <f t="shared" si="4"/>
        <v>1</v>
      </c>
      <c r="M94" s="17" t="s">
        <v>548</v>
      </c>
      <c r="N94" s="34" t="str">
        <f t="shared" si="5"/>
        <v>qudt</v>
      </c>
      <c r="O94" s="18" t="b">
        <f t="shared" si="6"/>
        <v>1</v>
      </c>
      <c r="P94" s="39"/>
      <c r="Q94" s="39"/>
      <c r="R94" s="39" t="str">
        <f t="shared" si="7"/>
        <v/>
      </c>
      <c r="S94" s="43">
        <f t="shared" si="8"/>
        <v>11</v>
      </c>
      <c r="T94" s="21">
        <f>countif('v2022'!E:E,A94)</f>
        <v>2</v>
      </c>
      <c r="U94" s="21">
        <f>countif('v2018'!E:E,A94)</f>
        <v>2</v>
      </c>
      <c r="V94" s="21">
        <f>countif('v2014'!E:E,A94)</f>
        <v>2</v>
      </c>
      <c r="W94" s="21">
        <f>countif('v2010'!E:E,A94)</f>
        <v>2</v>
      </c>
      <c r="X94" s="21">
        <f>countif('v2006'!E:E,A94)</f>
        <v>1</v>
      </c>
      <c r="Y94" s="21">
        <f>countif('v2002'!E:E,A94)</f>
        <v>1</v>
      </c>
      <c r="Z94" s="21">
        <f>countif('v1998'!E:E,A94)</f>
        <v>1</v>
      </c>
    </row>
    <row r="95">
      <c r="A95" s="17" t="s">
        <v>1788</v>
      </c>
      <c r="B95" s="18" t="s">
        <v>552</v>
      </c>
      <c r="C95" s="21" t="str">
        <f t="shared" si="15"/>
        <v>Electron Magnetic Moment To Bohr Magneton Ratio</v>
      </c>
      <c r="D95" s="21" t="str">
        <f t="shared" si="10"/>
        <v>Rapport du moment magnétique de l'électron au magnéton de Bohr électronique</v>
      </c>
      <c r="E95" s="17" t="s">
        <v>1789</v>
      </c>
      <c r="F95" s="17" t="s">
        <v>1790</v>
      </c>
      <c r="H95" s="18" t="str">
        <f t="shared" si="14"/>
        <v/>
      </c>
      <c r="I95" s="17" t="str">
        <f>if(H95="","", countif(Units!A:A,H95))</f>
        <v/>
      </c>
      <c r="J95" s="18" t="s">
        <v>552</v>
      </c>
      <c r="K95" s="28">
        <f>countif(Quantities!A:A,J95)</f>
        <v>1</v>
      </c>
      <c r="L95" s="30" t="b">
        <f t="shared" si="4"/>
        <v>1</v>
      </c>
      <c r="M95" s="17" t="s">
        <v>552</v>
      </c>
      <c r="N95" s="34" t="str">
        <f t="shared" si="5"/>
        <v>qudt</v>
      </c>
      <c r="O95" s="18" t="b">
        <f t="shared" si="6"/>
        <v>1</v>
      </c>
      <c r="P95" s="39"/>
      <c r="Q95" s="39"/>
      <c r="R95" s="39" t="str">
        <f t="shared" si="7"/>
        <v/>
      </c>
      <c r="S95" s="43">
        <f t="shared" si="8"/>
        <v>7</v>
      </c>
      <c r="T95" s="21">
        <f>countif('v2022'!E:E,A95)</f>
        <v>1</v>
      </c>
      <c r="U95" s="21">
        <f>countif('v2018'!E:E,A95)</f>
        <v>1</v>
      </c>
      <c r="V95" s="21">
        <f>countif('v2014'!E:E,A95)</f>
        <v>1</v>
      </c>
      <c r="W95" s="21">
        <f>countif('v2010'!E:E,A95)</f>
        <v>1</v>
      </c>
      <c r="X95" s="21">
        <f>countif('v2006'!E:E,A95)</f>
        <v>1</v>
      </c>
      <c r="Y95" s="21">
        <f>countif('v2002'!E:E,A95)</f>
        <v>1</v>
      </c>
      <c r="Z95" s="21">
        <f>countif('v1998'!E:E,A95)</f>
        <v>1</v>
      </c>
    </row>
    <row r="96">
      <c r="A96" s="17" t="s">
        <v>1799</v>
      </c>
      <c r="B96" s="18" t="s">
        <v>564</v>
      </c>
      <c r="C96" s="21" t="str">
        <f t="shared" si="15"/>
        <v>Electron Magnetic Moment To Nuclear Magneton Ratio</v>
      </c>
      <c r="D96" s="21" t="str">
        <f t="shared" si="10"/>
        <v>Rapport du moment magnétique de l'électron au magnéton de Bohr nucléaire</v>
      </c>
      <c r="E96" s="17" t="s">
        <v>1800</v>
      </c>
      <c r="F96" s="17" t="s">
        <v>1801</v>
      </c>
      <c r="H96" s="18" t="str">
        <f t="shared" si="14"/>
        <v/>
      </c>
      <c r="I96" s="17" t="str">
        <f>if(H96="","", countif(Units!A:A,H96))</f>
        <v/>
      </c>
      <c r="J96" s="18" t="s">
        <v>564</v>
      </c>
      <c r="K96" s="28">
        <f>countif(Quantities!A:A,J96)</f>
        <v>1</v>
      </c>
      <c r="L96" s="30" t="b">
        <f t="shared" si="4"/>
        <v>1</v>
      </c>
      <c r="M96" s="17" t="s">
        <v>564</v>
      </c>
      <c r="N96" s="34" t="str">
        <f t="shared" si="5"/>
        <v>qudt</v>
      </c>
      <c r="O96" s="18" t="b">
        <f t="shared" si="6"/>
        <v>1</v>
      </c>
      <c r="P96" s="39"/>
      <c r="Q96" s="39"/>
      <c r="R96" s="39" t="str">
        <f t="shared" si="7"/>
        <v/>
      </c>
      <c r="S96" s="43">
        <f t="shared" si="8"/>
        <v>7</v>
      </c>
      <c r="T96" s="21">
        <f>countif('v2022'!E:E,A96)</f>
        <v>1</v>
      </c>
      <c r="U96" s="21">
        <f>countif('v2018'!E:E,A96)</f>
        <v>1</v>
      </c>
      <c r="V96" s="21">
        <f>countif('v2014'!E:E,A96)</f>
        <v>1</v>
      </c>
      <c r="W96" s="21">
        <f>countif('v2010'!E:E,A96)</f>
        <v>1</v>
      </c>
      <c r="X96" s="21">
        <f>countif('v2006'!E:E,A96)</f>
        <v>1</v>
      </c>
      <c r="Y96" s="21">
        <f>countif('v2002'!E:E,A96)</f>
        <v>1</v>
      </c>
      <c r="Z96" s="21">
        <f>countif('v1998'!E:E,A96)</f>
        <v>1</v>
      </c>
    </row>
    <row r="97">
      <c r="A97" s="17" t="s">
        <v>1814</v>
      </c>
      <c r="B97" s="18" t="s">
        <v>569</v>
      </c>
      <c r="C97" s="21" t="str">
        <f t="shared" si="15"/>
        <v>Electron Mass</v>
      </c>
      <c r="D97" s="21" t="str">
        <f t="shared" si="10"/>
        <v>Masse de l'électron</v>
      </c>
      <c r="E97" s="17" t="s">
        <v>1818</v>
      </c>
      <c r="F97" s="17" t="s">
        <v>1819</v>
      </c>
      <c r="G97" s="18" t="s">
        <v>98</v>
      </c>
      <c r="H97" s="18" t="str">
        <f t="shared" si="14"/>
        <v>kg</v>
      </c>
      <c r="I97" s="17">
        <f>if(H97="","", countif(Units!A:A,H97))</f>
        <v>1</v>
      </c>
      <c r="J97" s="18" t="s">
        <v>569</v>
      </c>
      <c r="K97" s="28">
        <f>countif(Quantities!A:A,J97)</f>
        <v>1</v>
      </c>
      <c r="L97" s="30" t="b">
        <f t="shared" si="4"/>
        <v>1</v>
      </c>
      <c r="M97" s="17" t="s">
        <v>569</v>
      </c>
      <c r="N97" s="34" t="str">
        <f t="shared" si="5"/>
        <v>qudt</v>
      </c>
      <c r="O97" s="18" t="b">
        <f t="shared" si="6"/>
        <v>1</v>
      </c>
      <c r="P97" s="39" t="s">
        <v>1823</v>
      </c>
      <c r="Q97" s="39"/>
      <c r="R97" s="39" t="str">
        <f t="shared" si="7"/>
        <v/>
      </c>
      <c r="S97" s="43">
        <f t="shared" si="8"/>
        <v>7</v>
      </c>
      <c r="T97" s="21">
        <f>countif('v2022'!E:E,A97)</f>
        <v>1</v>
      </c>
      <c r="U97" s="21">
        <f>countif('v2018'!E:E,A97)</f>
        <v>1</v>
      </c>
      <c r="V97" s="21">
        <f>countif('v2014'!E:E,A97)</f>
        <v>1</v>
      </c>
      <c r="W97" s="21">
        <f>countif('v2010'!E:E,A97)</f>
        <v>1</v>
      </c>
      <c r="X97" s="21">
        <f>countif('v2006'!E:E,A97)</f>
        <v>1</v>
      </c>
      <c r="Y97" s="21">
        <f>countif('v2002'!E:E,A97)</f>
        <v>1</v>
      </c>
      <c r="Z97" s="21">
        <f>countif('v1998'!E:E,A97)</f>
        <v>1</v>
      </c>
    </row>
    <row r="98">
      <c r="A98" s="17" t="s">
        <v>1830</v>
      </c>
      <c r="B98" s="18" t="s">
        <v>573</v>
      </c>
      <c r="C98" s="21" t="str">
        <f t="shared" si="15"/>
        <v>Electron Mass Energy Equivalent</v>
      </c>
      <c r="D98" s="21" t="str">
        <f t="shared" si="10"/>
        <v>Énergie de masse de l'électron</v>
      </c>
      <c r="E98" s="17" t="s">
        <v>1831</v>
      </c>
      <c r="F98" s="17" t="s">
        <v>1832</v>
      </c>
      <c r="G98" s="18" t="s">
        <v>173</v>
      </c>
      <c r="H98" s="18" t="str">
        <f t="shared" si="14"/>
        <v>J</v>
      </c>
      <c r="I98" s="17">
        <f>if(H98="","", countif(Units!A:A,H98))</f>
        <v>1</v>
      </c>
      <c r="J98" s="17" t="s">
        <v>573</v>
      </c>
      <c r="K98" s="28">
        <f>countif(Quantities!A:A,J98)</f>
        <v>1</v>
      </c>
      <c r="L98" s="30" t="b">
        <f t="shared" si="4"/>
        <v>1</v>
      </c>
      <c r="M98" s="17" t="s">
        <v>573</v>
      </c>
      <c r="N98" s="34" t="str">
        <f t="shared" si="5"/>
        <v>qudt</v>
      </c>
      <c r="O98" s="18" t="b">
        <f t="shared" si="6"/>
        <v>1</v>
      </c>
      <c r="P98" s="39"/>
      <c r="Q98" s="39"/>
      <c r="R98" s="39" t="str">
        <f t="shared" si="7"/>
        <v/>
      </c>
      <c r="S98" s="43">
        <f t="shared" si="8"/>
        <v>7</v>
      </c>
      <c r="T98" s="21">
        <f>countif('v2022'!E:E,A98)</f>
        <v>1</v>
      </c>
      <c r="U98" s="21">
        <f>countif('v2018'!E:E,A98)</f>
        <v>1</v>
      </c>
      <c r="V98" s="21">
        <f>countif('v2014'!E:E,A98)</f>
        <v>1</v>
      </c>
      <c r="W98" s="21">
        <f>countif('v2010'!E:E,A98)</f>
        <v>1</v>
      </c>
      <c r="X98" s="21">
        <f>countif('v2006'!E:E,A98)</f>
        <v>1</v>
      </c>
      <c r="Y98" s="21">
        <f>countif('v2002'!E:E,A98)</f>
        <v>1</v>
      </c>
      <c r="Z98" s="21">
        <f>countif('v1998'!E:E,A98)</f>
        <v>1</v>
      </c>
    </row>
    <row r="99">
      <c r="A99" s="17" t="s">
        <v>1842</v>
      </c>
      <c r="B99" s="18" t="s">
        <v>1843</v>
      </c>
      <c r="C99" s="17" t="s">
        <v>1844</v>
      </c>
      <c r="D99" s="21" t="str">
        <f t="shared" si="10"/>
        <v>Énergie de masse de l'électron en MeV</v>
      </c>
      <c r="E99" s="17" t="s">
        <v>1845</v>
      </c>
      <c r="F99" s="17" t="s">
        <v>1846</v>
      </c>
      <c r="G99" s="18" t="s">
        <v>224</v>
      </c>
      <c r="H99" s="18" t="str">
        <f t="shared" si="14"/>
        <v>MeV</v>
      </c>
      <c r="I99" s="17">
        <f>if(H99="","", countif(Units!A:A,H99))</f>
        <v>1</v>
      </c>
      <c r="J99" s="18" t="s">
        <v>569</v>
      </c>
      <c r="K99" s="28">
        <f>countif(Quantities!A:A,J99)</f>
        <v>1</v>
      </c>
      <c r="L99" s="30" t="b">
        <f t="shared" si="4"/>
        <v>0</v>
      </c>
      <c r="M99" s="17" t="s">
        <v>1843</v>
      </c>
      <c r="N99" s="34" t="str">
        <f t="shared" si="5"/>
        <v>qudt</v>
      </c>
      <c r="O99" s="18" t="b">
        <f t="shared" si="6"/>
        <v>1</v>
      </c>
      <c r="P99" s="39"/>
      <c r="Q99" s="39"/>
      <c r="R99" s="39" t="str">
        <f t="shared" si="7"/>
        <v/>
      </c>
      <c r="S99" s="43">
        <f t="shared" si="8"/>
        <v>7</v>
      </c>
      <c r="T99" s="21">
        <f>countif('v2022'!E:E,A99)</f>
        <v>1</v>
      </c>
      <c r="U99" s="21">
        <f>countif('v2018'!E:E,A99)</f>
        <v>1</v>
      </c>
      <c r="V99" s="21">
        <f>countif('v2014'!E:E,A99)</f>
        <v>1</v>
      </c>
      <c r="W99" s="21">
        <f>countif('v2010'!E:E,A99)</f>
        <v>1</v>
      </c>
      <c r="X99" s="21">
        <f>countif('v2006'!E:E,A99)</f>
        <v>1</v>
      </c>
      <c r="Y99" s="21">
        <f>countif('v2002'!E:E,A99)</f>
        <v>1</v>
      </c>
      <c r="Z99" s="21">
        <f>countif('v1998'!E:E,A99)</f>
        <v>1</v>
      </c>
    </row>
    <row r="100">
      <c r="A100" s="17" t="s">
        <v>1856</v>
      </c>
      <c r="B100" s="18" t="s">
        <v>1857</v>
      </c>
      <c r="C100" s="21" t="str">
        <f t="shared" ref="C100:C132" si="16">proper(E100)</f>
        <v>Electron Mass In U</v>
      </c>
      <c r="D100" s="21" t="str">
        <f t="shared" si="10"/>
        <v>Masse de l'électron en u</v>
      </c>
      <c r="E100" s="17" t="s">
        <v>1853</v>
      </c>
      <c r="F100" s="17" t="s">
        <v>1859</v>
      </c>
      <c r="G100" s="18" t="s">
        <v>249</v>
      </c>
      <c r="H100" s="18" t="str">
        <f t="shared" si="14"/>
        <v>u</v>
      </c>
      <c r="I100" s="17">
        <f>if(H100="","", countif(Units!A:A,H100))</f>
        <v>1</v>
      </c>
      <c r="J100" s="18" t="s">
        <v>569</v>
      </c>
      <c r="K100" s="28">
        <f>countif(Quantities!A:A,J100)</f>
        <v>1</v>
      </c>
      <c r="L100" s="30" t="b">
        <f t="shared" si="4"/>
        <v>0</v>
      </c>
      <c r="M100" s="17" t="s">
        <v>1857</v>
      </c>
      <c r="N100" s="34" t="str">
        <f t="shared" si="5"/>
        <v>qudt</v>
      </c>
      <c r="O100" s="18" t="b">
        <f t="shared" si="6"/>
        <v>1</v>
      </c>
      <c r="P100" s="39"/>
      <c r="Q100" s="39"/>
      <c r="R100" s="39" t="str">
        <f t="shared" si="7"/>
        <v/>
      </c>
      <c r="S100" s="43">
        <f t="shared" si="8"/>
        <v>7</v>
      </c>
      <c r="T100" s="21">
        <f>countif('v2022'!E:E,A100)</f>
        <v>1</v>
      </c>
      <c r="U100" s="21">
        <f>countif('v2018'!E:E,A100)</f>
        <v>1</v>
      </c>
      <c r="V100" s="21">
        <f>countif('v2014'!E:E,A100)</f>
        <v>1</v>
      </c>
      <c r="W100" s="21">
        <f>countif('v2010'!E:E,A100)</f>
        <v>1</v>
      </c>
      <c r="X100" s="21">
        <f>countif('v2006'!E:E,A100)</f>
        <v>1</v>
      </c>
      <c r="Y100" s="21">
        <f>countif('v2002'!E:E,A100)</f>
        <v>1</v>
      </c>
      <c r="Z100" s="21">
        <f>countif('v1998'!E:E,A100)</f>
        <v>1</v>
      </c>
    </row>
    <row r="101">
      <c r="A101" s="17" t="s">
        <v>1875</v>
      </c>
      <c r="B101" s="18" t="s">
        <v>578</v>
      </c>
      <c r="C101" s="21" t="str">
        <f t="shared" si="16"/>
        <v>Electron Molar Mass</v>
      </c>
      <c r="D101" s="21" t="str">
        <f t="shared" si="10"/>
        <v>Masse molaire de l'électron</v>
      </c>
      <c r="E101" s="17" t="s">
        <v>1860</v>
      </c>
      <c r="F101" s="17" t="s">
        <v>1877</v>
      </c>
      <c r="G101" s="18" t="s">
        <v>286</v>
      </c>
      <c r="H101" s="18" t="str">
        <f t="shared" si="14"/>
        <v>kg_mol-1</v>
      </c>
      <c r="I101" s="17">
        <f>if(H101="","", countif(Units!A:A,H101))</f>
        <v>1</v>
      </c>
      <c r="J101" s="18" t="s">
        <v>578</v>
      </c>
      <c r="K101" s="28">
        <f>countif(Quantities!A:A,J101)</f>
        <v>1</v>
      </c>
      <c r="L101" s="30" t="b">
        <f t="shared" si="4"/>
        <v>1</v>
      </c>
      <c r="M101" s="17" t="s">
        <v>578</v>
      </c>
      <c r="N101" s="34" t="str">
        <f t="shared" si="5"/>
        <v>qudt</v>
      </c>
      <c r="O101" s="18" t="b">
        <f t="shared" si="6"/>
        <v>1</v>
      </c>
      <c r="P101" s="39"/>
      <c r="Q101" s="39"/>
      <c r="R101" s="39" t="str">
        <f t="shared" si="7"/>
        <v/>
      </c>
      <c r="S101" s="43">
        <f t="shared" si="8"/>
        <v>7</v>
      </c>
      <c r="T101" s="21">
        <f>countif('v2022'!E:E,A101)</f>
        <v>1</v>
      </c>
      <c r="U101" s="21">
        <f>countif('v2018'!E:E,A101)</f>
        <v>1</v>
      </c>
      <c r="V101" s="21">
        <f>countif('v2014'!E:E,A101)</f>
        <v>1</v>
      </c>
      <c r="W101" s="21">
        <f>countif('v2010'!E:E,A101)</f>
        <v>1</v>
      </c>
      <c r="X101" s="21">
        <f>countif('v2006'!E:E,A101)</f>
        <v>1</v>
      </c>
      <c r="Y101" s="21">
        <f>countif('v2002'!E:E,A101)</f>
        <v>1</v>
      </c>
      <c r="Z101" s="21">
        <f>countif('v1998'!E:E,A101)</f>
        <v>1</v>
      </c>
    </row>
    <row r="102">
      <c r="A102" s="17" t="s">
        <v>1889</v>
      </c>
      <c r="B102" s="18" t="s">
        <v>585</v>
      </c>
      <c r="C102" s="21" t="str">
        <f t="shared" si="16"/>
        <v>Electron - Muon Magnetic Moment Ratio</v>
      </c>
      <c r="D102" s="21" t="str">
        <f t="shared" si="10"/>
        <v>Rapport du moment magnétique de l'électron à celui du muon</v>
      </c>
      <c r="E102" s="17" t="s">
        <v>1890</v>
      </c>
      <c r="F102" s="17" t="s">
        <v>1891</v>
      </c>
      <c r="H102" s="18" t="str">
        <f t="shared" si="14"/>
        <v/>
      </c>
      <c r="I102" s="17" t="str">
        <f>if(H102="","", countif(Units!A:A,H102))</f>
        <v/>
      </c>
      <c r="J102" s="18" t="s">
        <v>585</v>
      </c>
      <c r="K102" s="28">
        <f>countif(Quantities!A:A,J102)</f>
        <v>1</v>
      </c>
      <c r="L102" s="30" t="b">
        <f t="shared" si="4"/>
        <v>1</v>
      </c>
      <c r="M102" s="17" t="s">
        <v>585</v>
      </c>
      <c r="N102" s="34" t="str">
        <f t="shared" si="5"/>
        <v>qudt</v>
      </c>
      <c r="O102" s="18" t="b">
        <f t="shared" si="6"/>
        <v>1</v>
      </c>
      <c r="P102" s="39"/>
      <c r="Q102" s="39"/>
      <c r="R102" s="39" t="str">
        <f t="shared" si="7"/>
        <v/>
      </c>
      <c r="S102" s="43">
        <f t="shared" si="8"/>
        <v>7</v>
      </c>
      <c r="T102" s="21">
        <f>countif('v2022'!E:E,A102)</f>
        <v>1</v>
      </c>
      <c r="U102" s="21">
        <f>countif('v2018'!E:E,A102)</f>
        <v>1</v>
      </c>
      <c r="V102" s="21">
        <f>countif('v2014'!E:E,A102)</f>
        <v>1</v>
      </c>
      <c r="W102" s="21">
        <f>countif('v2010'!E:E,A102)</f>
        <v>1</v>
      </c>
      <c r="X102" s="21">
        <f>countif('v2006'!E:E,A102)</f>
        <v>1</v>
      </c>
      <c r="Y102" s="21">
        <f>countif('v2002'!E:E,A102)</f>
        <v>1</v>
      </c>
      <c r="Z102" s="21">
        <f>countif('v1998'!E:E,A102)</f>
        <v>1</v>
      </c>
    </row>
    <row r="103">
      <c r="A103" s="17" t="s">
        <v>1908</v>
      </c>
      <c r="B103" s="18" t="s">
        <v>593</v>
      </c>
      <c r="C103" s="21" t="str">
        <f t="shared" si="16"/>
        <v>Electron - Muon Mass Ratio</v>
      </c>
      <c r="D103" s="21" t="str">
        <f t="shared" si="10"/>
        <v>Rapport de la masse de l'électron à celle du muon</v>
      </c>
      <c r="E103" s="17" t="s">
        <v>1913</v>
      </c>
      <c r="F103" s="17" t="s">
        <v>1914</v>
      </c>
      <c r="H103" s="18" t="str">
        <f t="shared" si="14"/>
        <v/>
      </c>
      <c r="I103" s="17" t="str">
        <f>if(H103="","", countif(Units!A:A,H103))</f>
        <v/>
      </c>
      <c r="J103" s="18" t="s">
        <v>593</v>
      </c>
      <c r="K103" s="28">
        <f>countif(Quantities!A:A,J103)</f>
        <v>1</v>
      </c>
      <c r="L103" s="30" t="b">
        <f t="shared" si="4"/>
        <v>1</v>
      </c>
      <c r="M103" s="17" t="s">
        <v>593</v>
      </c>
      <c r="N103" s="34" t="str">
        <f t="shared" si="5"/>
        <v>qudt</v>
      </c>
      <c r="O103" s="18" t="b">
        <f t="shared" si="6"/>
        <v>1</v>
      </c>
      <c r="P103" s="39"/>
      <c r="Q103" s="39"/>
      <c r="R103" s="39" t="str">
        <f t="shared" si="7"/>
        <v/>
      </c>
      <c r="S103" s="43">
        <f t="shared" si="8"/>
        <v>7</v>
      </c>
      <c r="T103" s="21">
        <f>countif('v2022'!E:E,A103)</f>
        <v>1</v>
      </c>
      <c r="U103" s="21">
        <f>countif('v2018'!E:E,A103)</f>
        <v>1</v>
      </c>
      <c r="V103" s="21">
        <f>countif('v2014'!E:E,A103)</f>
        <v>1</v>
      </c>
      <c r="W103" s="21">
        <f>countif('v2010'!E:E,A103)</f>
        <v>1</v>
      </c>
      <c r="X103" s="21">
        <f>countif('v2006'!E:E,A103)</f>
        <v>1</v>
      </c>
      <c r="Y103" s="21">
        <f>countif('v2002'!E:E,A103)</f>
        <v>1</v>
      </c>
      <c r="Z103" s="21">
        <f>countif('v1998'!E:E,A103)</f>
        <v>1</v>
      </c>
    </row>
    <row r="104">
      <c r="A104" s="17" t="s">
        <v>1926</v>
      </c>
      <c r="B104" s="18" t="s">
        <v>599</v>
      </c>
      <c r="C104" s="21" t="str">
        <f t="shared" si="16"/>
        <v>Electron - Neutron Magnetic Moment Ratio</v>
      </c>
      <c r="D104" s="21" t="str">
        <f t="shared" si="10"/>
        <v>Rapport du moment magnétique de l'électron à celui du neutron</v>
      </c>
      <c r="E104" s="17" t="s">
        <v>1927</v>
      </c>
      <c r="F104" s="17" t="s">
        <v>1928</v>
      </c>
      <c r="H104" s="18" t="str">
        <f t="shared" si="14"/>
        <v/>
      </c>
      <c r="I104" s="17" t="str">
        <f>if(H104="","", countif(Units!A:A,H104))</f>
        <v/>
      </c>
      <c r="J104" s="18" t="s">
        <v>599</v>
      </c>
      <c r="K104" s="28">
        <f>countif(Quantities!A:A,J104)</f>
        <v>1</v>
      </c>
      <c r="L104" s="30" t="b">
        <f t="shared" si="4"/>
        <v>1</v>
      </c>
      <c r="M104" s="17" t="s">
        <v>599</v>
      </c>
      <c r="N104" s="34" t="str">
        <f t="shared" si="5"/>
        <v>qudt</v>
      </c>
      <c r="O104" s="18" t="b">
        <f t="shared" si="6"/>
        <v>1</v>
      </c>
      <c r="P104" s="39"/>
      <c r="Q104" s="39"/>
      <c r="R104" s="39" t="str">
        <f t="shared" si="7"/>
        <v/>
      </c>
      <c r="S104" s="43">
        <f t="shared" si="8"/>
        <v>7</v>
      </c>
      <c r="T104" s="21">
        <f>countif('v2022'!E:E,A104)</f>
        <v>1</v>
      </c>
      <c r="U104" s="21">
        <f>countif('v2018'!E:E,A104)</f>
        <v>1</v>
      </c>
      <c r="V104" s="21">
        <f>countif('v2014'!E:E,A104)</f>
        <v>1</v>
      </c>
      <c r="W104" s="21">
        <f>countif('v2010'!E:E,A104)</f>
        <v>1</v>
      </c>
      <c r="X104" s="21">
        <f>countif('v2006'!E:E,A104)</f>
        <v>1</v>
      </c>
      <c r="Y104" s="21">
        <f>countif('v2002'!E:E,A104)</f>
        <v>1</v>
      </c>
      <c r="Z104" s="21">
        <f>countif('v1998'!E:E,A104)</f>
        <v>1</v>
      </c>
    </row>
    <row r="105">
      <c r="A105" s="17" t="s">
        <v>1939</v>
      </c>
      <c r="B105" s="18" t="s">
        <v>604</v>
      </c>
      <c r="C105" s="21" t="str">
        <f t="shared" si="16"/>
        <v>Electron - Neutron Mass Ratio</v>
      </c>
      <c r="D105" s="21" t="str">
        <f t="shared" si="10"/>
        <v>Rapport de la masse de l'électron à celle du neutron</v>
      </c>
      <c r="E105" s="17" t="s">
        <v>1942</v>
      </c>
      <c r="F105" s="17" t="s">
        <v>1943</v>
      </c>
      <c r="H105" s="18" t="str">
        <f t="shared" si="14"/>
        <v/>
      </c>
      <c r="I105" s="17" t="str">
        <f>if(H105="","", countif(Units!A:A,H105))</f>
        <v/>
      </c>
      <c r="J105" s="18" t="s">
        <v>604</v>
      </c>
      <c r="K105" s="28">
        <f>countif(Quantities!A:A,J105)</f>
        <v>1</v>
      </c>
      <c r="L105" s="30" t="b">
        <f t="shared" si="4"/>
        <v>1</v>
      </c>
      <c r="M105" s="17" t="s">
        <v>604</v>
      </c>
      <c r="N105" s="34" t="str">
        <f t="shared" si="5"/>
        <v>qudt</v>
      </c>
      <c r="O105" s="18" t="b">
        <f t="shared" si="6"/>
        <v>1</v>
      </c>
      <c r="P105" s="39"/>
      <c r="Q105" s="39"/>
      <c r="R105" s="39" t="str">
        <f t="shared" si="7"/>
        <v/>
      </c>
      <c r="S105" s="43">
        <f t="shared" si="8"/>
        <v>7</v>
      </c>
      <c r="T105" s="21">
        <f>countif('v2022'!E:E,A105)</f>
        <v>1</v>
      </c>
      <c r="U105" s="21">
        <f>countif('v2018'!E:E,A105)</f>
        <v>1</v>
      </c>
      <c r="V105" s="21">
        <f>countif('v2014'!E:E,A105)</f>
        <v>1</v>
      </c>
      <c r="W105" s="21">
        <f>countif('v2010'!E:E,A105)</f>
        <v>1</v>
      </c>
      <c r="X105" s="21">
        <f>countif('v2006'!E:E,A105)</f>
        <v>1</v>
      </c>
      <c r="Y105" s="21">
        <f>countif('v2002'!E:E,A105)</f>
        <v>1</v>
      </c>
      <c r="Z105" s="21">
        <f>countif('v1998'!E:E,A105)</f>
        <v>1</v>
      </c>
    </row>
    <row r="106">
      <c r="A106" s="17" t="s">
        <v>1953</v>
      </c>
      <c r="B106" s="18" t="s">
        <v>611</v>
      </c>
      <c r="C106" s="21" t="str">
        <f t="shared" si="16"/>
        <v>Electron - Proton Magnetic Moment Ratio</v>
      </c>
      <c r="D106" s="21" t="str">
        <f t="shared" si="10"/>
        <v>Rapport du moment magnétique de l'électron à celui du protron</v>
      </c>
      <c r="E106" s="17" t="s">
        <v>1954</v>
      </c>
      <c r="F106" s="17" t="s">
        <v>1955</v>
      </c>
      <c r="H106" s="18" t="str">
        <f t="shared" si="14"/>
        <v/>
      </c>
      <c r="I106" s="17" t="str">
        <f>if(H106="","", countif(Units!A:A,H106))</f>
        <v/>
      </c>
      <c r="J106" s="18" t="s">
        <v>611</v>
      </c>
      <c r="K106" s="28">
        <f>countif(Quantities!A:A,J106)</f>
        <v>1</v>
      </c>
      <c r="L106" s="30" t="b">
        <f t="shared" si="4"/>
        <v>1</v>
      </c>
      <c r="M106" s="17" t="s">
        <v>611</v>
      </c>
      <c r="N106" s="34" t="str">
        <f t="shared" si="5"/>
        <v>qudt</v>
      </c>
      <c r="O106" s="18" t="b">
        <f t="shared" si="6"/>
        <v>1</v>
      </c>
      <c r="P106" s="39"/>
      <c r="Q106" s="39"/>
      <c r="R106" s="39" t="str">
        <f t="shared" si="7"/>
        <v/>
      </c>
      <c r="S106" s="43">
        <f t="shared" si="8"/>
        <v>7</v>
      </c>
      <c r="T106" s="21">
        <f>countif('v2022'!E:E,A106)</f>
        <v>1</v>
      </c>
      <c r="U106" s="21">
        <f>countif('v2018'!E:E,A106)</f>
        <v>1</v>
      </c>
      <c r="V106" s="21">
        <f>countif('v2014'!E:E,A106)</f>
        <v>1</v>
      </c>
      <c r="W106" s="21">
        <f>countif('v2010'!E:E,A106)</f>
        <v>1</v>
      </c>
      <c r="X106" s="21">
        <f>countif('v2006'!E:E,A106)</f>
        <v>1</v>
      </c>
      <c r="Y106" s="21">
        <f>countif('v2002'!E:E,A106)</f>
        <v>1</v>
      </c>
      <c r="Z106" s="21">
        <f>countif('v1998'!E:E,A106)</f>
        <v>1</v>
      </c>
    </row>
    <row r="107">
      <c r="A107" s="17" t="s">
        <v>1971</v>
      </c>
      <c r="B107" s="18" t="s">
        <v>620</v>
      </c>
      <c r="C107" s="21" t="str">
        <f t="shared" si="16"/>
        <v>Electron - Proton Mass Ratio</v>
      </c>
      <c r="D107" s="21" t="str">
        <f t="shared" si="10"/>
        <v>Rapport de la masse de l'électron à celle du protron</v>
      </c>
      <c r="E107" s="17" t="s">
        <v>1977</v>
      </c>
      <c r="F107" s="17" t="s">
        <v>1978</v>
      </c>
      <c r="H107" s="18" t="str">
        <f t="shared" si="14"/>
        <v/>
      </c>
      <c r="I107" s="17" t="str">
        <f>if(H107="","", countif(Units!A:A,H107))</f>
        <v/>
      </c>
      <c r="J107" s="18" t="s">
        <v>620</v>
      </c>
      <c r="K107" s="28">
        <f>countif(Quantities!A:A,J107)</f>
        <v>1</v>
      </c>
      <c r="L107" s="30" t="b">
        <f t="shared" si="4"/>
        <v>1</v>
      </c>
      <c r="M107" s="17" t="s">
        <v>620</v>
      </c>
      <c r="N107" s="34" t="str">
        <f t="shared" si="5"/>
        <v>qudt</v>
      </c>
      <c r="O107" s="18" t="b">
        <f t="shared" si="6"/>
        <v>1</v>
      </c>
      <c r="P107" s="39"/>
      <c r="Q107" s="39"/>
      <c r="R107" s="39" t="str">
        <f t="shared" si="7"/>
        <v/>
      </c>
      <c r="S107" s="43">
        <f t="shared" si="8"/>
        <v>7</v>
      </c>
      <c r="T107" s="21">
        <f>countif('v2022'!E:E,A107)</f>
        <v>1</v>
      </c>
      <c r="U107" s="21">
        <f>countif('v2018'!E:E,A107)</f>
        <v>1</v>
      </c>
      <c r="V107" s="21">
        <f>countif('v2014'!E:E,A107)</f>
        <v>1</v>
      </c>
      <c r="W107" s="21">
        <f>countif('v2010'!E:E,A107)</f>
        <v>1</v>
      </c>
      <c r="X107" s="21">
        <f>countif('v2006'!E:E,A107)</f>
        <v>1</v>
      </c>
      <c r="Y107" s="21">
        <f>countif('v2002'!E:E,A107)</f>
        <v>1</v>
      </c>
      <c r="Z107" s="21">
        <f>countif('v1998'!E:E,A107)</f>
        <v>1</v>
      </c>
    </row>
    <row r="108">
      <c r="A108" s="17" t="s">
        <v>1991</v>
      </c>
      <c r="B108" s="18" t="s">
        <v>625</v>
      </c>
      <c r="C108" s="21" t="str">
        <f t="shared" si="16"/>
        <v>Electron Relative Atomic Mass</v>
      </c>
      <c r="D108" s="21" t="str">
        <f t="shared" si="10"/>
        <v>Masse atomique relative de l'électron</v>
      </c>
      <c r="E108" s="17" t="s">
        <v>1893</v>
      </c>
      <c r="F108" s="17" t="s">
        <v>1992</v>
      </c>
      <c r="H108" s="18" t="str">
        <f t="shared" si="14"/>
        <v/>
      </c>
      <c r="I108" s="17" t="str">
        <f>if(H108="","", countif(Units!A:A,H108))</f>
        <v/>
      </c>
      <c r="J108" s="18" t="s">
        <v>625</v>
      </c>
      <c r="K108" s="28">
        <f>countif(Quantities!A:A,J108)</f>
        <v>1</v>
      </c>
      <c r="L108" s="30" t="b">
        <f t="shared" si="4"/>
        <v>1</v>
      </c>
      <c r="N108" s="39" t="str">
        <f t="shared" si="5"/>
        <v/>
      </c>
      <c r="O108" s="18" t="b">
        <f t="shared" si="6"/>
        <v>0</v>
      </c>
      <c r="P108" s="23"/>
      <c r="Q108" s="23"/>
      <c r="R108" s="39" t="str">
        <f t="shared" si="7"/>
        <v/>
      </c>
      <c r="S108" s="43">
        <f t="shared" si="8"/>
        <v>2</v>
      </c>
      <c r="T108" s="21">
        <f>countif('v2022'!E:E,A108)</f>
        <v>1</v>
      </c>
      <c r="U108" s="21">
        <f>countif('v2018'!E:E,A108)</f>
        <v>1</v>
      </c>
      <c r="V108" s="21">
        <f>countif('v2014'!E:E,A108)</f>
        <v>0</v>
      </c>
      <c r="W108" s="21">
        <f>countif('v2010'!E:E,A108)</f>
        <v>0</v>
      </c>
      <c r="X108" s="21">
        <f>countif('v2006'!E:E,A108)</f>
        <v>0</v>
      </c>
      <c r="Y108" s="21">
        <f>countif('v2002'!E:E,A108)</f>
        <v>0</v>
      </c>
      <c r="Z108" s="21">
        <f>countif('v1998'!E:E,A108)</f>
        <v>0</v>
      </c>
    </row>
    <row r="109">
      <c r="A109" s="17" t="s">
        <v>1995</v>
      </c>
      <c r="B109" s="18" t="s">
        <v>628</v>
      </c>
      <c r="C109" s="21" t="str">
        <f t="shared" si="16"/>
        <v>Electron-Tau Mass Ratio</v>
      </c>
      <c r="D109" s="21" t="str">
        <f t="shared" si="10"/>
        <v>Rapport de la masse de l'électron à celle du tau</v>
      </c>
      <c r="E109" s="17" t="s">
        <v>1896</v>
      </c>
      <c r="F109" s="17" t="s">
        <v>1996</v>
      </c>
      <c r="H109" s="18" t="str">
        <f t="shared" si="14"/>
        <v/>
      </c>
      <c r="I109" s="17" t="str">
        <f>if(H109="","", countif(Units!A:A,H109))</f>
        <v/>
      </c>
      <c r="J109" s="18" t="s">
        <v>628</v>
      </c>
      <c r="K109" s="28">
        <f>countif(Quantities!A:A,J109)</f>
        <v>1</v>
      </c>
      <c r="L109" s="30" t="b">
        <f t="shared" si="4"/>
        <v>1</v>
      </c>
      <c r="M109" s="17" t="s">
        <v>628</v>
      </c>
      <c r="N109" s="34" t="str">
        <f t="shared" si="5"/>
        <v>qudt</v>
      </c>
      <c r="O109" s="18" t="b">
        <f t="shared" si="6"/>
        <v>1</v>
      </c>
      <c r="P109" s="39"/>
      <c r="Q109" s="39"/>
      <c r="R109" s="39" t="str">
        <f t="shared" si="7"/>
        <v/>
      </c>
      <c r="S109" s="43">
        <f t="shared" si="8"/>
        <v>7</v>
      </c>
      <c r="T109" s="21">
        <f>countif('v2022'!E:E,A109)</f>
        <v>1</v>
      </c>
      <c r="U109" s="21">
        <f>countif('v2018'!E:E,A109)</f>
        <v>1</v>
      </c>
      <c r="V109" s="21">
        <f>countif('v2014'!E:E,A109)</f>
        <v>1</v>
      </c>
      <c r="W109" s="21">
        <f>countif('v2010'!E:E,A109)</f>
        <v>1</v>
      </c>
      <c r="X109" s="21">
        <f>countif('v2006'!E:E,A109)</f>
        <v>1</v>
      </c>
      <c r="Y109" s="21">
        <f>countif('v2002'!E:E,A109)</f>
        <v>1</v>
      </c>
      <c r="Z109" s="21">
        <f>countif('v1998'!E:E,A109)</f>
        <v>1</v>
      </c>
    </row>
    <row r="110">
      <c r="A110" s="17" t="s">
        <v>2006</v>
      </c>
      <c r="B110" s="18" t="s">
        <v>630</v>
      </c>
      <c r="C110" s="21" t="str">
        <f t="shared" si="16"/>
        <v>Electron To Alpha Particle Mass Ratio</v>
      </c>
      <c r="D110" s="21" t="str">
        <f t="shared" si="10"/>
        <v>Rapport de la masse de l'électron à celle de la particule alpha</v>
      </c>
      <c r="E110" s="17" t="s">
        <v>1900</v>
      </c>
      <c r="F110" s="17" t="s">
        <v>2008</v>
      </c>
      <c r="H110" s="18" t="str">
        <f t="shared" si="14"/>
        <v/>
      </c>
      <c r="I110" s="17" t="str">
        <f>if(H110="","", countif(Units!A:A,H110))</f>
        <v/>
      </c>
      <c r="J110" s="18" t="s">
        <v>630</v>
      </c>
      <c r="K110" s="28">
        <f>countif(Quantities!A:A,J110)</f>
        <v>1</v>
      </c>
      <c r="L110" s="30" t="b">
        <f t="shared" si="4"/>
        <v>1</v>
      </c>
      <c r="M110" s="17" t="s">
        <v>630</v>
      </c>
      <c r="N110" s="34" t="str">
        <f t="shared" si="5"/>
        <v>qudt</v>
      </c>
      <c r="O110" s="18" t="b">
        <f t="shared" si="6"/>
        <v>1</v>
      </c>
      <c r="P110" s="39"/>
      <c r="Q110" s="39"/>
      <c r="R110" s="39" t="str">
        <f t="shared" si="7"/>
        <v/>
      </c>
      <c r="S110" s="43">
        <f t="shared" si="8"/>
        <v>7</v>
      </c>
      <c r="T110" s="21">
        <f>countif('v2022'!E:E,A110)</f>
        <v>1</v>
      </c>
      <c r="U110" s="21">
        <f>countif('v2018'!E:E,A110)</f>
        <v>1</v>
      </c>
      <c r="V110" s="21">
        <f>countif('v2014'!E:E,A110)</f>
        <v>1</v>
      </c>
      <c r="W110" s="21">
        <f>countif('v2010'!E:E,A110)</f>
        <v>1</v>
      </c>
      <c r="X110" s="21">
        <f>countif('v2006'!E:E,A110)</f>
        <v>1</v>
      </c>
      <c r="Y110" s="21">
        <f>countif('v2002'!E:E,A110)</f>
        <v>1</v>
      </c>
      <c r="Z110" s="21">
        <f>countif('v1998'!E:E,A110)</f>
        <v>1</v>
      </c>
    </row>
    <row r="111">
      <c r="A111" s="17" t="s">
        <v>2021</v>
      </c>
      <c r="B111" s="18" t="s">
        <v>636</v>
      </c>
      <c r="C111" s="21" t="str">
        <f t="shared" si="16"/>
        <v>Electron To Shielded Helion Magnetic Moment Ratio</v>
      </c>
      <c r="D111" s="21" t="str">
        <f t="shared" si="10"/>
        <v>Rapport du moment magnétique de l'électron à celui de l'hélion écranté</v>
      </c>
      <c r="E111" s="17" t="s">
        <v>2022</v>
      </c>
      <c r="F111" s="17" t="s">
        <v>2023</v>
      </c>
      <c r="H111" s="18" t="str">
        <f t="shared" si="14"/>
        <v/>
      </c>
      <c r="I111" s="17" t="str">
        <f>if(H111="","", countif(Units!A:A,H111))</f>
        <v/>
      </c>
      <c r="J111" s="18" t="s">
        <v>636</v>
      </c>
      <c r="K111" s="28">
        <f>countif(Quantities!A:A,J111)</f>
        <v>1</v>
      </c>
      <c r="L111" s="30" t="b">
        <f t="shared" si="4"/>
        <v>1</v>
      </c>
      <c r="M111" s="17" t="s">
        <v>636</v>
      </c>
      <c r="N111" s="34" t="str">
        <f t="shared" si="5"/>
        <v>qudt</v>
      </c>
      <c r="O111" s="18" t="b">
        <f t="shared" si="6"/>
        <v>1</v>
      </c>
      <c r="P111" s="39"/>
      <c r="Q111" s="39"/>
      <c r="R111" s="39" t="str">
        <f t="shared" si="7"/>
        <v/>
      </c>
      <c r="S111" s="43">
        <f t="shared" si="8"/>
        <v>7</v>
      </c>
      <c r="T111" s="21">
        <f>countif('v2022'!E:E,A111)</f>
        <v>1</v>
      </c>
      <c r="U111" s="21">
        <f>countif('v2018'!E:E,A111)</f>
        <v>1</v>
      </c>
      <c r="V111" s="21">
        <f>countif('v2014'!E:E,A111)</f>
        <v>1</v>
      </c>
      <c r="W111" s="21">
        <f>countif('v2010'!E:E,A111)</f>
        <v>1</v>
      </c>
      <c r="X111" s="21">
        <f>countif('v2006'!E:E,A111)</f>
        <v>1</v>
      </c>
      <c r="Y111" s="21">
        <f>countif('v2002'!E:E,A111)</f>
        <v>1</v>
      </c>
      <c r="Z111" s="21">
        <f>countif('v1998'!E:E,A111)</f>
        <v>1</v>
      </c>
    </row>
    <row r="112">
      <c r="A112" s="17" t="s">
        <v>2030</v>
      </c>
      <c r="B112" s="18" t="s">
        <v>639</v>
      </c>
      <c r="C112" s="21" t="str">
        <f t="shared" si="16"/>
        <v>Electron To Shielded Proton Magnetic Moment Ratio</v>
      </c>
      <c r="D112" s="21" t="str">
        <f t="shared" si="10"/>
        <v>Rapport du moment magnétique de l'électron à celui du proton écranté</v>
      </c>
      <c r="E112" s="17" t="s">
        <v>2031</v>
      </c>
      <c r="F112" s="17" t="s">
        <v>2033</v>
      </c>
      <c r="H112" s="18" t="str">
        <f t="shared" si="14"/>
        <v/>
      </c>
      <c r="I112" s="17" t="str">
        <f>if(H112="","", countif(Units!A:A,H112))</f>
        <v/>
      </c>
      <c r="J112" s="18" t="s">
        <v>639</v>
      </c>
      <c r="K112" s="28">
        <f>countif(Quantities!A:A,J112)</f>
        <v>1</v>
      </c>
      <c r="L112" s="30" t="b">
        <f t="shared" si="4"/>
        <v>1</v>
      </c>
      <c r="M112" s="17" t="s">
        <v>639</v>
      </c>
      <c r="N112" s="34" t="str">
        <f t="shared" si="5"/>
        <v>qudt</v>
      </c>
      <c r="O112" s="18" t="b">
        <f t="shared" si="6"/>
        <v>1</v>
      </c>
      <c r="P112" s="39"/>
      <c r="Q112" s="39"/>
      <c r="R112" s="39" t="str">
        <f t="shared" si="7"/>
        <v/>
      </c>
      <c r="S112" s="43">
        <f t="shared" si="8"/>
        <v>7</v>
      </c>
      <c r="T112" s="21">
        <f>countif('v2022'!E:E,A112)</f>
        <v>1</v>
      </c>
      <c r="U112" s="21">
        <f>countif('v2018'!E:E,A112)</f>
        <v>1</v>
      </c>
      <c r="V112" s="21">
        <f>countif('v2014'!E:E,A112)</f>
        <v>1</v>
      </c>
      <c r="W112" s="21">
        <f>countif('v2010'!E:E,A112)</f>
        <v>1</v>
      </c>
      <c r="X112" s="21">
        <f>countif('v2006'!E:E,A112)</f>
        <v>1</v>
      </c>
      <c r="Y112" s="21">
        <f>countif('v2002'!E:E,A112)</f>
        <v>1</v>
      </c>
      <c r="Z112" s="21">
        <f>countif('v1998'!E:E,A112)</f>
        <v>1</v>
      </c>
    </row>
    <row r="113">
      <c r="A113" s="17" t="s">
        <v>2048</v>
      </c>
      <c r="B113" s="17" t="s">
        <v>642</v>
      </c>
      <c r="C113" s="21" t="str">
        <f t="shared" si="16"/>
        <v>Electron - Triton Mass Ratio</v>
      </c>
      <c r="D113" s="21" t="str">
        <f t="shared" si="10"/>
        <v>Rapport de la masse de l'électron à celle du triton</v>
      </c>
      <c r="E113" s="17" t="s">
        <v>2050</v>
      </c>
      <c r="F113" s="17" t="s">
        <v>2051</v>
      </c>
      <c r="H113" s="18" t="str">
        <f t="shared" si="14"/>
        <v/>
      </c>
      <c r="I113" s="17" t="str">
        <f>if(H113="","", countif(Units!A:A,H113))</f>
        <v/>
      </c>
      <c r="J113" s="17" t="s">
        <v>642</v>
      </c>
      <c r="K113" s="28">
        <f>countif(Quantities!A:A,J113)</f>
        <v>1</v>
      </c>
      <c r="L113" s="30" t="b">
        <f t="shared" si="4"/>
        <v>1</v>
      </c>
      <c r="N113" s="39" t="str">
        <f t="shared" si="5"/>
        <v/>
      </c>
      <c r="O113" s="18" t="b">
        <f t="shared" si="6"/>
        <v>0</v>
      </c>
      <c r="P113" s="23"/>
      <c r="Q113" s="23"/>
      <c r="R113" s="39" t="str">
        <f t="shared" si="7"/>
        <v/>
      </c>
      <c r="S113" s="43">
        <f t="shared" si="8"/>
        <v>4</v>
      </c>
      <c r="T113" s="21">
        <f>countif('v2022'!E:E,A113)</f>
        <v>1</v>
      </c>
      <c r="U113" s="21">
        <f>countif('v2018'!E:E,A113)</f>
        <v>1</v>
      </c>
      <c r="V113" s="21">
        <f>countif('v2014'!E:E,A113)</f>
        <v>1</v>
      </c>
      <c r="W113" s="21">
        <f>countif('v2010'!E:E,A113)</f>
        <v>1</v>
      </c>
      <c r="X113" s="21">
        <f>countif('v2006'!E:E,A113)</f>
        <v>0</v>
      </c>
      <c r="Y113" s="21">
        <f>countif('v2002'!E:E,A113)</f>
        <v>0</v>
      </c>
      <c r="Z113" s="21">
        <f>countif('v1998'!E:E,A113)</f>
        <v>0</v>
      </c>
    </row>
    <row r="114">
      <c r="A114" s="17" t="s">
        <v>2075</v>
      </c>
      <c r="B114" s="18" t="s">
        <v>644</v>
      </c>
      <c r="C114" s="21" t="str">
        <f t="shared" si="16"/>
        <v>Electronvolt</v>
      </c>
      <c r="D114" s="21" t="str">
        <f t="shared" si="10"/>
        <v>Électronvolt</v>
      </c>
      <c r="E114" s="17" t="s">
        <v>182</v>
      </c>
      <c r="F114" s="17" t="s">
        <v>2078</v>
      </c>
      <c r="G114" s="18" t="s">
        <v>173</v>
      </c>
      <c r="H114" s="18" t="str">
        <f t="shared" si="14"/>
        <v>J</v>
      </c>
      <c r="I114" s="17">
        <f>if(H114="","", countif(Units!A:A,H114))</f>
        <v>1</v>
      </c>
      <c r="J114" s="18" t="s">
        <v>644</v>
      </c>
      <c r="K114" s="28">
        <f>countif(Quantities!A:A,J114)</f>
        <v>1</v>
      </c>
      <c r="L114" s="30" t="b">
        <f t="shared" si="4"/>
        <v>1</v>
      </c>
      <c r="N114" s="39" t="str">
        <f t="shared" si="5"/>
        <v/>
      </c>
      <c r="O114" s="18" t="b">
        <f t="shared" si="6"/>
        <v>0</v>
      </c>
      <c r="P114" s="39"/>
      <c r="Q114" s="39"/>
      <c r="R114" s="39" t="str">
        <f t="shared" si="7"/>
        <v/>
      </c>
      <c r="S114" s="43">
        <f t="shared" si="8"/>
        <v>7</v>
      </c>
      <c r="T114" s="21">
        <f>countif('v2022'!E:E,A114)</f>
        <v>1</v>
      </c>
      <c r="U114" s="21">
        <f>countif('v2018'!E:E,A114)</f>
        <v>1</v>
      </c>
      <c r="V114" s="21">
        <f>countif('v2014'!E:E,A114)</f>
        <v>1</v>
      </c>
      <c r="W114" s="21">
        <f>countif('v2010'!E:E,A114)</f>
        <v>1</v>
      </c>
      <c r="X114" s="21">
        <f>countif('v2006'!E:E,A114)</f>
        <v>1</v>
      </c>
      <c r="Y114" s="21">
        <f>countif('v2002'!E:E,A114)</f>
        <v>1</v>
      </c>
      <c r="Z114" s="21">
        <f>countif('v1998'!E:E,A114)</f>
        <v>1</v>
      </c>
    </row>
    <row r="115">
      <c r="A115" s="17" t="s">
        <v>2096</v>
      </c>
      <c r="B115" s="18" t="s">
        <v>650</v>
      </c>
      <c r="C115" s="21" t="str">
        <f t="shared" si="16"/>
        <v>Electronvolt - Atomic Mass Unit Relationship</v>
      </c>
      <c r="D115" s="21" t="str">
        <f t="shared" si="10"/>
        <v>Relation entre l'électronvolt et l'unité de masse atomique</v>
      </c>
      <c r="E115" s="17" t="s">
        <v>2097</v>
      </c>
      <c r="F115" s="17" t="s">
        <v>2098</v>
      </c>
      <c r="G115" s="18" t="s">
        <v>249</v>
      </c>
      <c r="H115" s="18" t="str">
        <f t="shared" si="14"/>
        <v>u</v>
      </c>
      <c r="I115" s="17">
        <f>if(H115="","", countif(Units!A:A,H115))</f>
        <v>1</v>
      </c>
      <c r="J115" s="18" t="s">
        <v>650</v>
      </c>
      <c r="K115" s="28">
        <f>countif(Quantities!A:A,J115)</f>
        <v>1</v>
      </c>
      <c r="L115" s="30" t="b">
        <f t="shared" si="4"/>
        <v>1</v>
      </c>
      <c r="M115" s="17" t="s">
        <v>650</v>
      </c>
      <c r="N115" s="34" t="str">
        <f t="shared" si="5"/>
        <v>qudt</v>
      </c>
      <c r="O115" s="18" t="b">
        <f t="shared" si="6"/>
        <v>1</v>
      </c>
      <c r="P115" s="39"/>
      <c r="Q115" s="39"/>
      <c r="R115" s="39" t="str">
        <f t="shared" si="7"/>
        <v/>
      </c>
      <c r="S115" s="43">
        <f t="shared" si="8"/>
        <v>7</v>
      </c>
      <c r="T115" s="21">
        <f>countif('v2022'!E:E,A115)</f>
        <v>1</v>
      </c>
      <c r="U115" s="21">
        <f>countif('v2018'!E:E,A115)</f>
        <v>1</v>
      </c>
      <c r="V115" s="21">
        <f>countif('v2014'!E:E,A115)</f>
        <v>1</v>
      </c>
      <c r="W115" s="21">
        <f>countif('v2010'!E:E,A115)</f>
        <v>1</v>
      </c>
      <c r="X115" s="21">
        <f>countif('v2006'!E:E,A115)</f>
        <v>1</v>
      </c>
      <c r="Y115" s="21">
        <f>countif('v2002'!E:E,A115)</f>
        <v>1</v>
      </c>
      <c r="Z115" s="21">
        <f>countif('v1998'!E:E,A115)</f>
        <v>1</v>
      </c>
    </row>
    <row r="116">
      <c r="A116" s="17" t="s">
        <v>2112</v>
      </c>
      <c r="B116" s="18" t="s">
        <v>659</v>
      </c>
      <c r="C116" s="21" t="str">
        <f t="shared" si="16"/>
        <v>Electronvolt - Hartree Relationship</v>
      </c>
      <c r="D116" s="21" t="str">
        <f t="shared" si="10"/>
        <v>Relation entre l'électronvolt et le hartree</v>
      </c>
      <c r="E116" s="17" t="s">
        <v>2113</v>
      </c>
      <c r="F116" s="17" t="s">
        <v>2114</v>
      </c>
      <c r="G116" s="18" t="s">
        <v>170</v>
      </c>
      <c r="H116" s="18" t="str">
        <f t="shared" si="14"/>
        <v>E_h</v>
      </c>
      <c r="I116" s="17">
        <f>if(H116="","", countif(Units!A:A,H116))</f>
        <v>1</v>
      </c>
      <c r="J116" s="18" t="s">
        <v>659</v>
      </c>
      <c r="K116" s="28">
        <f>countif(Quantities!A:A,J116)</f>
        <v>1</v>
      </c>
      <c r="L116" s="30" t="b">
        <f t="shared" si="4"/>
        <v>1</v>
      </c>
      <c r="M116" s="17" t="s">
        <v>659</v>
      </c>
      <c r="N116" s="34" t="str">
        <f t="shared" si="5"/>
        <v>qudt</v>
      </c>
      <c r="O116" s="18" t="b">
        <f t="shared" si="6"/>
        <v>1</v>
      </c>
      <c r="P116" s="39"/>
      <c r="Q116" s="39"/>
      <c r="R116" s="39" t="str">
        <f t="shared" si="7"/>
        <v/>
      </c>
      <c r="S116" s="43">
        <f t="shared" si="8"/>
        <v>7</v>
      </c>
      <c r="T116" s="21">
        <f>countif('v2022'!E:E,A116)</f>
        <v>1</v>
      </c>
      <c r="U116" s="21">
        <f>countif('v2018'!E:E,A116)</f>
        <v>1</v>
      </c>
      <c r="V116" s="21">
        <f>countif('v2014'!E:E,A116)</f>
        <v>1</v>
      </c>
      <c r="W116" s="21">
        <f>countif('v2010'!E:E,A116)</f>
        <v>1</v>
      </c>
      <c r="X116" s="21">
        <f>countif('v2006'!E:E,A116)</f>
        <v>1</v>
      </c>
      <c r="Y116" s="21">
        <f>countif('v2002'!E:E,A116)</f>
        <v>1</v>
      </c>
      <c r="Z116" s="21">
        <f>countif('v1998'!E:E,A116)</f>
        <v>1</v>
      </c>
    </row>
    <row r="117">
      <c r="A117" s="17" t="s">
        <v>2123</v>
      </c>
      <c r="B117" s="18" t="s">
        <v>664</v>
      </c>
      <c r="C117" s="21" t="str">
        <f t="shared" si="16"/>
        <v>Electronvolt - Hertz Relationship</v>
      </c>
      <c r="D117" s="21" t="str">
        <f t="shared" si="10"/>
        <v>Relation entre l'électronvolt et le hertz</v>
      </c>
      <c r="E117" s="17" t="s">
        <v>2124</v>
      </c>
      <c r="F117" s="17" t="s">
        <v>2125</v>
      </c>
      <c r="G117" s="18" t="s">
        <v>257</v>
      </c>
      <c r="H117" s="18" t="str">
        <f t="shared" si="14"/>
        <v>Hz</v>
      </c>
      <c r="I117" s="17">
        <f>if(H117="","", countif(Units!A:A,H117))</f>
        <v>1</v>
      </c>
      <c r="J117" s="18" t="s">
        <v>664</v>
      </c>
      <c r="K117" s="28">
        <f>countif(Quantities!A:A,J117)</f>
        <v>1</v>
      </c>
      <c r="L117" s="30" t="b">
        <f t="shared" si="4"/>
        <v>1</v>
      </c>
      <c r="M117" s="17" t="s">
        <v>664</v>
      </c>
      <c r="N117" s="34" t="str">
        <f t="shared" si="5"/>
        <v>qudt</v>
      </c>
      <c r="O117" s="18" t="b">
        <f t="shared" si="6"/>
        <v>1</v>
      </c>
      <c r="P117" s="39"/>
      <c r="Q117" s="39"/>
      <c r="R117" s="39" t="str">
        <f t="shared" si="7"/>
        <v/>
      </c>
      <c r="S117" s="43">
        <f t="shared" si="8"/>
        <v>7</v>
      </c>
      <c r="T117" s="21">
        <f>countif('v2022'!E:E,A117)</f>
        <v>1</v>
      </c>
      <c r="U117" s="21">
        <f>countif('v2018'!E:E,A117)</f>
        <v>1</v>
      </c>
      <c r="V117" s="21">
        <f>countif('v2014'!E:E,A117)</f>
        <v>1</v>
      </c>
      <c r="W117" s="21">
        <f>countif('v2010'!E:E,A117)</f>
        <v>1</v>
      </c>
      <c r="X117" s="21">
        <f>countif('v2006'!E:E,A117)</f>
        <v>1</v>
      </c>
      <c r="Y117" s="21">
        <f>countif('v2002'!E:E,A117)</f>
        <v>1</v>
      </c>
      <c r="Z117" s="21">
        <f>countif('v1998'!E:E,A117)</f>
        <v>1</v>
      </c>
    </row>
    <row r="118">
      <c r="A118" s="17" t="s">
        <v>2140</v>
      </c>
      <c r="B118" s="18" t="s">
        <v>667</v>
      </c>
      <c r="C118" s="21" t="str">
        <f t="shared" si="16"/>
        <v>Electronvolt - Inverse Meter Relationship</v>
      </c>
      <c r="D118" s="21" t="str">
        <f t="shared" si="10"/>
        <v>Relation entre l'électronvolt et l'inverse du mètre</v>
      </c>
      <c r="E118" s="17" t="s">
        <v>2141</v>
      </c>
      <c r="F118" s="17" t="s">
        <v>2142</v>
      </c>
      <c r="G118" s="18" t="s">
        <v>561</v>
      </c>
      <c r="H118" s="18" t="str">
        <f t="shared" si="14"/>
        <v>m-1</v>
      </c>
      <c r="I118" s="17">
        <f>if(H118="","", countif(Units!A:A,H118))</f>
        <v>1</v>
      </c>
      <c r="J118" s="18" t="s">
        <v>667</v>
      </c>
      <c r="K118" s="28">
        <f>countif(Quantities!A:A,J118)</f>
        <v>1</v>
      </c>
      <c r="L118" s="30" t="b">
        <f t="shared" si="4"/>
        <v>1</v>
      </c>
      <c r="M118" s="17" t="s">
        <v>667</v>
      </c>
      <c r="N118" s="34" t="str">
        <f t="shared" si="5"/>
        <v>qudt</v>
      </c>
      <c r="O118" s="18" t="b">
        <f t="shared" si="6"/>
        <v>1</v>
      </c>
      <c r="P118" s="39"/>
      <c r="Q118" s="39"/>
      <c r="R118" s="39" t="str">
        <f t="shared" si="7"/>
        <v/>
      </c>
      <c r="S118" s="43">
        <f t="shared" si="8"/>
        <v>7</v>
      </c>
      <c r="T118" s="21">
        <f>countif('v2022'!E:E,A118)</f>
        <v>1</v>
      </c>
      <c r="U118" s="21">
        <f>countif('v2018'!E:E,A118)</f>
        <v>1</v>
      </c>
      <c r="V118" s="21">
        <f>countif('v2014'!E:E,A118)</f>
        <v>1</v>
      </c>
      <c r="W118" s="21">
        <f>countif('v2010'!E:E,A118)</f>
        <v>1</v>
      </c>
      <c r="X118" s="21">
        <f>countif('v2006'!E:E,A118)</f>
        <v>1</v>
      </c>
      <c r="Y118" s="21">
        <f>countif('v2002'!E:E,A118)</f>
        <v>1</v>
      </c>
      <c r="Z118" s="21">
        <f>countif('v1998'!E:E,A118)</f>
        <v>1</v>
      </c>
    </row>
    <row r="119">
      <c r="A119" s="17" t="s">
        <v>2155</v>
      </c>
      <c r="B119" s="18" t="s">
        <v>670</v>
      </c>
      <c r="C119" s="21" t="str">
        <f t="shared" si="16"/>
        <v>Electronvolt - Joule Relationship</v>
      </c>
      <c r="D119" s="21" t="str">
        <f t="shared" si="10"/>
        <v>Relation entre l'électronvolt et le joule</v>
      </c>
      <c r="E119" s="17" t="s">
        <v>2156</v>
      </c>
      <c r="F119" s="17" t="s">
        <v>2157</v>
      </c>
      <c r="G119" s="18" t="s">
        <v>173</v>
      </c>
      <c r="H119" s="18" t="str">
        <f t="shared" si="14"/>
        <v>J</v>
      </c>
      <c r="I119" s="17">
        <f>if(H119="","", countif(Units!A:A,H119))</f>
        <v>1</v>
      </c>
      <c r="J119" s="18" t="s">
        <v>670</v>
      </c>
      <c r="K119" s="28">
        <f>countif(Quantities!A:A,J119)</f>
        <v>1</v>
      </c>
      <c r="L119" s="30" t="b">
        <f t="shared" si="4"/>
        <v>1</v>
      </c>
      <c r="M119" s="17" t="s">
        <v>670</v>
      </c>
      <c r="N119" s="34" t="str">
        <f t="shared" si="5"/>
        <v>qudt</v>
      </c>
      <c r="O119" s="18" t="b">
        <f t="shared" si="6"/>
        <v>1</v>
      </c>
      <c r="P119" s="39"/>
      <c r="Q119" s="39"/>
      <c r="R119" s="39" t="str">
        <f t="shared" si="7"/>
        <v/>
      </c>
      <c r="S119" s="43">
        <f t="shared" si="8"/>
        <v>7</v>
      </c>
      <c r="T119" s="21">
        <f>countif('v2022'!E:E,A119)</f>
        <v>1</v>
      </c>
      <c r="U119" s="21">
        <f>countif('v2018'!E:E,A119)</f>
        <v>1</v>
      </c>
      <c r="V119" s="21">
        <f>countif('v2014'!E:E,A119)</f>
        <v>1</v>
      </c>
      <c r="W119" s="21">
        <f>countif('v2010'!E:E,A119)</f>
        <v>1</v>
      </c>
      <c r="X119" s="21">
        <f>countif('v2006'!E:E,A119)</f>
        <v>1</v>
      </c>
      <c r="Y119" s="21">
        <f>countif('v2002'!E:E,A119)</f>
        <v>1</v>
      </c>
      <c r="Z119" s="21">
        <f>countif('v1998'!E:E,A119)</f>
        <v>1</v>
      </c>
    </row>
    <row r="120">
      <c r="A120" s="17" t="s">
        <v>2169</v>
      </c>
      <c r="B120" s="18" t="s">
        <v>678</v>
      </c>
      <c r="C120" s="21" t="str">
        <f t="shared" si="16"/>
        <v>Electronvolt - Kelvin Relationship</v>
      </c>
      <c r="D120" s="21" t="str">
        <f t="shared" si="10"/>
        <v>Relation entre l'électronvolt et le kelvin</v>
      </c>
      <c r="E120" s="17" t="s">
        <v>2170</v>
      </c>
      <c r="F120" s="17" t="s">
        <v>2171</v>
      </c>
      <c r="G120" s="18" t="s">
        <v>345</v>
      </c>
      <c r="H120" s="18" t="str">
        <f t="shared" si="14"/>
        <v>K</v>
      </c>
      <c r="I120" s="17">
        <f>if(H120="","", countif(Units!A:A,H120))</f>
        <v>1</v>
      </c>
      <c r="J120" s="18" t="s">
        <v>678</v>
      </c>
      <c r="K120" s="28">
        <f>countif(Quantities!A:A,J120)</f>
        <v>1</v>
      </c>
      <c r="L120" s="30" t="b">
        <f t="shared" si="4"/>
        <v>1</v>
      </c>
      <c r="M120" s="17" t="s">
        <v>678</v>
      </c>
      <c r="N120" s="34" t="str">
        <f t="shared" si="5"/>
        <v>qudt</v>
      </c>
      <c r="O120" s="18" t="b">
        <f t="shared" si="6"/>
        <v>1</v>
      </c>
      <c r="P120" s="39"/>
      <c r="Q120" s="39"/>
      <c r="R120" s="39" t="str">
        <f t="shared" si="7"/>
        <v/>
      </c>
      <c r="S120" s="43">
        <f t="shared" si="8"/>
        <v>7</v>
      </c>
      <c r="T120" s="21">
        <f>countif('v2022'!E:E,A120)</f>
        <v>1</v>
      </c>
      <c r="U120" s="21">
        <f>countif('v2018'!E:E,A120)</f>
        <v>1</v>
      </c>
      <c r="V120" s="21">
        <f>countif('v2014'!E:E,A120)</f>
        <v>1</v>
      </c>
      <c r="W120" s="21">
        <f>countif('v2010'!E:E,A120)</f>
        <v>1</v>
      </c>
      <c r="X120" s="21">
        <f>countif('v2006'!E:E,A120)</f>
        <v>1</v>
      </c>
      <c r="Y120" s="21">
        <f>countif('v2002'!E:E,A120)</f>
        <v>1</v>
      </c>
      <c r="Z120" s="21">
        <f>countif('v1998'!E:E,A120)</f>
        <v>1</v>
      </c>
    </row>
    <row r="121">
      <c r="A121" s="17" t="s">
        <v>2186</v>
      </c>
      <c r="B121" s="18" t="s">
        <v>683</v>
      </c>
      <c r="C121" s="21" t="str">
        <f t="shared" si="16"/>
        <v>Electronvolt - Kilogram Relationship</v>
      </c>
      <c r="D121" s="21" t="str">
        <f t="shared" si="10"/>
        <v>Relation entre l'électronvolt et le kilogramme</v>
      </c>
      <c r="E121" s="17" t="s">
        <v>2187</v>
      </c>
      <c r="F121" s="17" t="s">
        <v>2188</v>
      </c>
      <c r="G121" s="18" t="s">
        <v>98</v>
      </c>
      <c r="H121" s="18" t="str">
        <f t="shared" si="14"/>
        <v>kg</v>
      </c>
      <c r="I121" s="17">
        <f>if(H121="","", countif(Units!A:A,H121))</f>
        <v>1</v>
      </c>
      <c r="J121" s="18" t="s">
        <v>683</v>
      </c>
      <c r="K121" s="28">
        <f>countif(Quantities!A:A,J121)</f>
        <v>1</v>
      </c>
      <c r="L121" s="30" t="b">
        <f t="shared" si="4"/>
        <v>1</v>
      </c>
      <c r="M121" s="17" t="s">
        <v>683</v>
      </c>
      <c r="N121" s="34" t="str">
        <f t="shared" si="5"/>
        <v>qudt</v>
      </c>
      <c r="O121" s="18" t="b">
        <f t="shared" si="6"/>
        <v>1</v>
      </c>
      <c r="P121" s="39"/>
      <c r="Q121" s="39"/>
      <c r="R121" s="39" t="str">
        <f t="shared" si="7"/>
        <v/>
      </c>
      <c r="S121" s="43">
        <f t="shared" si="8"/>
        <v>7</v>
      </c>
      <c r="T121" s="21">
        <f>countif('v2022'!E:E,A121)</f>
        <v>1</v>
      </c>
      <c r="U121" s="21">
        <f>countif('v2018'!E:E,A121)</f>
        <v>1</v>
      </c>
      <c r="V121" s="21">
        <f>countif('v2014'!E:E,A121)</f>
        <v>1</v>
      </c>
      <c r="W121" s="21">
        <f>countif('v2010'!E:E,A121)</f>
        <v>1</v>
      </c>
      <c r="X121" s="21">
        <f>countif('v2006'!E:E,A121)</f>
        <v>1</v>
      </c>
      <c r="Y121" s="21">
        <f>countif('v2002'!E:E,A121)</f>
        <v>1</v>
      </c>
      <c r="Z121" s="21">
        <f>countif('v1998'!E:E,A121)</f>
        <v>1</v>
      </c>
    </row>
    <row r="122">
      <c r="A122" s="17" t="s">
        <v>2201</v>
      </c>
      <c r="B122" s="18" t="s">
        <v>687</v>
      </c>
      <c r="C122" s="21" t="str">
        <f t="shared" si="16"/>
        <v>Elementary Charge</v>
      </c>
      <c r="D122" s="21" t="str">
        <f t="shared" si="10"/>
        <v>Charge élémentaire</v>
      </c>
      <c r="E122" s="17" t="s">
        <v>1947</v>
      </c>
      <c r="F122" s="17" t="s">
        <v>2202</v>
      </c>
      <c r="G122" s="18" t="s">
        <v>81</v>
      </c>
      <c r="H122" s="18" t="str">
        <f t="shared" si="14"/>
        <v>C</v>
      </c>
      <c r="I122" s="17">
        <f>if(H122="","", countif(Units!A:A,H122))</f>
        <v>1</v>
      </c>
      <c r="J122" s="18" t="s">
        <v>687</v>
      </c>
      <c r="K122" s="28">
        <f>countif(Quantities!A:A,J122)</f>
        <v>1</v>
      </c>
      <c r="L122" s="30" t="b">
        <f t="shared" si="4"/>
        <v>1</v>
      </c>
      <c r="M122" s="17" t="s">
        <v>687</v>
      </c>
      <c r="N122" s="34" t="str">
        <f t="shared" si="5"/>
        <v>qudt</v>
      </c>
      <c r="O122" s="18" t="b">
        <f t="shared" si="6"/>
        <v>1</v>
      </c>
      <c r="P122" s="39"/>
      <c r="Q122" s="39" t="s">
        <v>687</v>
      </c>
      <c r="R122" s="34" t="str">
        <f t="shared" si="7"/>
        <v>SI</v>
      </c>
      <c r="S122" s="43">
        <f t="shared" si="8"/>
        <v>4</v>
      </c>
      <c r="T122" s="21">
        <f>countif('v2022'!E:E,A122)</f>
        <v>1</v>
      </c>
      <c r="U122" s="21">
        <f>countif('v2018'!E:E,A122)</f>
        <v>1</v>
      </c>
      <c r="V122" s="21">
        <f>countif('v2014'!E:E,A122)</f>
        <v>1</v>
      </c>
      <c r="W122" s="21">
        <f>countif('v2010'!E:E,A122)</f>
        <v>1</v>
      </c>
      <c r="X122" s="21">
        <f>countif('v2006'!E:E,A122)</f>
        <v>0</v>
      </c>
      <c r="Y122" s="21">
        <f>countif('v2002'!E:E,A122)</f>
        <v>0</v>
      </c>
      <c r="Z122" s="21">
        <f>countif('v1998'!E:E,A122)</f>
        <v>0</v>
      </c>
    </row>
    <row r="123">
      <c r="A123" s="17" t="s">
        <v>2215</v>
      </c>
      <c r="B123" s="18" t="s">
        <v>690</v>
      </c>
      <c r="C123" s="21" t="str">
        <f t="shared" si="16"/>
        <v>Elementary Charge Over H-Bar</v>
      </c>
      <c r="D123" s="21" t="str">
        <f t="shared" si="10"/>
        <v>Rapport entre la charge élémentaire et la constante de Planck réduite</v>
      </c>
      <c r="E123" s="17" t="s">
        <v>1949</v>
      </c>
      <c r="F123" s="17" t="s">
        <v>2216</v>
      </c>
      <c r="G123" s="18" t="s">
        <v>1951</v>
      </c>
      <c r="H123" s="18" t="str">
        <f t="shared" si="14"/>
        <v>A_J-1</v>
      </c>
      <c r="I123" s="17">
        <f>if(H123="","", countif(Units!A:A,H123))</f>
        <v>1</v>
      </c>
      <c r="J123" s="18" t="s">
        <v>690</v>
      </c>
      <c r="K123" s="28">
        <f>countif(Quantities!A:A,J123)</f>
        <v>1</v>
      </c>
      <c r="L123" s="30" t="b">
        <f t="shared" si="4"/>
        <v>1</v>
      </c>
      <c r="M123" s="17" t="s">
        <v>690</v>
      </c>
      <c r="N123" s="34" t="str">
        <f t="shared" si="5"/>
        <v>qudt</v>
      </c>
      <c r="O123" s="18" t="b">
        <f t="shared" si="6"/>
        <v>1</v>
      </c>
      <c r="P123" s="39"/>
      <c r="Q123" s="39"/>
      <c r="R123" s="39" t="str">
        <f t="shared" si="7"/>
        <v/>
      </c>
      <c r="S123" s="43">
        <f t="shared" si="8"/>
        <v>7</v>
      </c>
      <c r="T123" s="21">
        <f>countif('v2022'!E:E,A123)</f>
        <v>1</v>
      </c>
      <c r="U123" s="21">
        <f>countif('v2018'!E:E,A123)</f>
        <v>1</v>
      </c>
      <c r="V123" s="21">
        <f>countif('v2014'!E:E,A123)</f>
        <v>1</v>
      </c>
      <c r="W123" s="21">
        <f>countif('v2010'!E:E,A123)</f>
        <v>1</v>
      </c>
      <c r="X123" s="21">
        <f>countif('v2006'!E:E,A123)</f>
        <v>1</v>
      </c>
      <c r="Y123" s="21">
        <f>countif('v2002'!E:E,A123)</f>
        <v>1</v>
      </c>
      <c r="Z123" s="21">
        <f>countif('v1998'!E:E,A123)</f>
        <v>1</v>
      </c>
    </row>
    <row r="124">
      <c r="A124" s="17" t="s">
        <v>2224</v>
      </c>
      <c r="B124" s="18" t="s">
        <v>693</v>
      </c>
      <c r="C124" s="21" t="str">
        <f t="shared" si="16"/>
        <v>Faraday Constant</v>
      </c>
      <c r="D124" s="21" t="str">
        <f t="shared" si="10"/>
        <v>Constante de Faraday</v>
      </c>
      <c r="E124" s="17" t="s">
        <v>1956</v>
      </c>
      <c r="F124" s="17" t="s">
        <v>2225</v>
      </c>
      <c r="G124" s="18" t="s">
        <v>1958</v>
      </c>
      <c r="H124" s="18" t="str">
        <f t="shared" si="14"/>
        <v>C_mol-1</v>
      </c>
      <c r="I124" s="17">
        <f>if(H124="","", countif(Units!A:A,H124))</f>
        <v>1</v>
      </c>
      <c r="J124" s="18" t="s">
        <v>693</v>
      </c>
      <c r="K124" s="28">
        <f>countif(Quantities!A:A,J124)</f>
        <v>1</v>
      </c>
      <c r="L124" s="30" t="b">
        <f t="shared" si="4"/>
        <v>1</v>
      </c>
      <c r="M124" s="17" t="s">
        <v>693</v>
      </c>
      <c r="N124" s="34" t="str">
        <f t="shared" si="5"/>
        <v>qudt</v>
      </c>
      <c r="O124" s="18" t="b">
        <f t="shared" si="6"/>
        <v>1</v>
      </c>
      <c r="P124" s="39"/>
      <c r="Q124" s="39"/>
      <c r="R124" s="39" t="str">
        <f t="shared" si="7"/>
        <v/>
      </c>
      <c r="S124" s="43">
        <f t="shared" si="8"/>
        <v>7</v>
      </c>
      <c r="T124" s="21">
        <f>countif('v2022'!E:E,A124)</f>
        <v>1</v>
      </c>
      <c r="U124" s="21">
        <f>countif('v2018'!E:E,A124)</f>
        <v>1</v>
      </c>
      <c r="V124" s="21">
        <f>countif('v2014'!E:E,A124)</f>
        <v>1</v>
      </c>
      <c r="W124" s="21">
        <f>countif('v2010'!E:E,A124)</f>
        <v>1</v>
      </c>
      <c r="X124" s="21">
        <f>countif('v2006'!E:E,A124)</f>
        <v>1</v>
      </c>
      <c r="Y124" s="21">
        <f>countif('v2002'!E:E,A124)</f>
        <v>1</v>
      </c>
      <c r="Z124" s="21">
        <f>countif('v1998'!E:E,A124)</f>
        <v>1</v>
      </c>
    </row>
    <row r="125">
      <c r="A125" s="17" t="s">
        <v>2234</v>
      </c>
      <c r="B125" s="17" t="s">
        <v>2235</v>
      </c>
      <c r="C125" s="21" t="str">
        <f t="shared" si="16"/>
        <v>Faraday Constant For Conventional Electric Current</v>
      </c>
      <c r="D125" s="21" t="str">
        <f t="shared" si="10"/>
        <v>Constante de Faraday en unité de courant électrique conventionnelle - 90</v>
      </c>
      <c r="E125" s="17" t="s">
        <v>2239</v>
      </c>
      <c r="F125" s="17" t="s">
        <v>2240</v>
      </c>
      <c r="G125" s="17" t="s">
        <v>2241</v>
      </c>
      <c r="H125" s="44" t="s">
        <v>2242</v>
      </c>
      <c r="I125" s="17">
        <f>if(H125="","", countif(Units!A:A,H125))</f>
        <v>0</v>
      </c>
      <c r="J125" s="18" t="s">
        <v>693</v>
      </c>
      <c r="K125" s="28">
        <f>countif(Quantities!A:A,J125)</f>
        <v>1</v>
      </c>
      <c r="L125" s="30" t="b">
        <f t="shared" si="4"/>
        <v>0</v>
      </c>
      <c r="M125" s="17"/>
      <c r="N125" s="39" t="str">
        <f t="shared" si="5"/>
        <v/>
      </c>
      <c r="O125" s="18" t="b">
        <f t="shared" si="6"/>
        <v>0</v>
      </c>
      <c r="P125" s="39"/>
      <c r="Q125" s="39"/>
      <c r="R125" s="39" t="str">
        <f t="shared" si="7"/>
        <v/>
      </c>
      <c r="S125" s="43">
        <f t="shared" si="8"/>
        <v>5</v>
      </c>
      <c r="T125" s="21">
        <f>countif('v2022'!E:E,A125)</f>
        <v>0</v>
      </c>
      <c r="U125" s="21">
        <f>countif('v2018'!E:E,A125)</f>
        <v>0</v>
      </c>
      <c r="V125" s="21">
        <f>countif('v2014'!E:E,A125)</f>
        <v>1</v>
      </c>
      <c r="W125" s="21">
        <f>countif('v2010'!E:E,A125)</f>
        <v>1</v>
      </c>
      <c r="X125" s="21">
        <f>countif('v2006'!E:E,A125)</f>
        <v>1</v>
      </c>
      <c r="Y125" s="21">
        <f>countif('v2002'!E:E,A125)</f>
        <v>1</v>
      </c>
      <c r="Z125" s="21">
        <f>countif('v1998'!E:E,A125)</f>
        <v>1</v>
      </c>
    </row>
    <row r="126">
      <c r="A126" s="17" t="s">
        <v>2255</v>
      </c>
      <c r="B126" s="18" t="s">
        <v>699</v>
      </c>
      <c r="C126" s="21" t="str">
        <f t="shared" si="16"/>
        <v>Fermi Coupling Constant</v>
      </c>
      <c r="D126" s="21" t="str">
        <f t="shared" si="10"/>
        <v>Constante de couplage de Fermi</v>
      </c>
      <c r="E126" s="17" t="s">
        <v>1960</v>
      </c>
      <c r="F126" s="17" t="s">
        <v>2256</v>
      </c>
      <c r="G126" s="18" t="s">
        <v>1963</v>
      </c>
      <c r="H126" s="18" t="str">
        <f t="shared" ref="H126:H229" si="17">if(ISBLANK(G126),"",SUBSTITUTE(SUBSTITUTE(G126,"^","")," ","_"))</f>
        <v>GeV-2</v>
      </c>
      <c r="I126" s="17">
        <f>if(H126="","", countif(Units!A:A,H126))</f>
        <v>1</v>
      </c>
      <c r="J126" s="18" t="s">
        <v>699</v>
      </c>
      <c r="K126" s="28">
        <f>countif(Quantities!A:A,J126)</f>
        <v>1</v>
      </c>
      <c r="L126" s="30" t="b">
        <f t="shared" si="4"/>
        <v>1</v>
      </c>
      <c r="M126" s="17" t="s">
        <v>699</v>
      </c>
      <c r="N126" s="34" t="str">
        <f t="shared" si="5"/>
        <v>qudt</v>
      </c>
      <c r="O126" s="18" t="b">
        <f t="shared" si="6"/>
        <v>1</v>
      </c>
      <c r="P126" s="39"/>
      <c r="Q126" s="39"/>
      <c r="R126" s="39" t="str">
        <f t="shared" si="7"/>
        <v/>
      </c>
      <c r="S126" s="43">
        <f t="shared" si="8"/>
        <v>7</v>
      </c>
      <c r="T126" s="21">
        <f>countif('v2022'!E:E,A126)</f>
        <v>1</v>
      </c>
      <c r="U126" s="21">
        <f>countif('v2018'!E:E,A126)</f>
        <v>1</v>
      </c>
      <c r="V126" s="21">
        <f>countif('v2014'!E:E,A126)</f>
        <v>1</v>
      </c>
      <c r="W126" s="21">
        <f>countif('v2010'!E:E,A126)</f>
        <v>1</v>
      </c>
      <c r="X126" s="21">
        <f>countif('v2006'!E:E,A126)</f>
        <v>1</v>
      </c>
      <c r="Y126" s="21">
        <f>countif('v2002'!E:E,A126)</f>
        <v>1</v>
      </c>
      <c r="Z126" s="21">
        <f>countif('v1998'!E:E,A126)</f>
        <v>1</v>
      </c>
    </row>
    <row r="127">
      <c r="A127" s="17" t="s">
        <v>2270</v>
      </c>
      <c r="B127" s="18" t="s">
        <v>703</v>
      </c>
      <c r="C127" s="21" t="str">
        <f t="shared" si="16"/>
        <v>Fine-Structure Constant</v>
      </c>
      <c r="D127" s="21" t="str">
        <f t="shared" si="10"/>
        <v>Constante de structure fine</v>
      </c>
      <c r="E127" s="17" t="s">
        <v>1966</v>
      </c>
      <c r="F127" s="17" t="s">
        <v>2271</v>
      </c>
      <c r="H127" s="18" t="str">
        <f t="shared" si="17"/>
        <v/>
      </c>
      <c r="I127" s="17" t="str">
        <f>if(H127="","", countif(Units!A:A,H127))</f>
        <v/>
      </c>
      <c r="J127" s="18" t="s">
        <v>703</v>
      </c>
      <c r="K127" s="28">
        <f>countif(Quantities!A:A,J127)</f>
        <v>1</v>
      </c>
      <c r="L127" s="30" t="b">
        <f t="shared" si="4"/>
        <v>1</v>
      </c>
      <c r="M127" s="17" t="s">
        <v>703</v>
      </c>
      <c r="N127" s="34" t="str">
        <f t="shared" si="5"/>
        <v>qudt</v>
      </c>
      <c r="O127" s="18" t="b">
        <f t="shared" si="6"/>
        <v>1</v>
      </c>
      <c r="P127" s="39"/>
      <c r="Q127" s="39"/>
      <c r="R127" s="39" t="str">
        <f t="shared" si="7"/>
        <v/>
      </c>
      <c r="S127" s="43">
        <f t="shared" si="8"/>
        <v>7</v>
      </c>
      <c r="T127" s="21">
        <f>countif('v2022'!E:E,A127)</f>
        <v>1</v>
      </c>
      <c r="U127" s="21">
        <f>countif('v2018'!E:E,A127)</f>
        <v>1</v>
      </c>
      <c r="V127" s="21">
        <f>countif('v2014'!E:E,A127)</f>
        <v>1</v>
      </c>
      <c r="W127" s="21">
        <f>countif('v2010'!E:E,A127)</f>
        <v>1</v>
      </c>
      <c r="X127" s="21">
        <f>countif('v2006'!E:E,A127)</f>
        <v>1</v>
      </c>
      <c r="Y127" s="21">
        <f>countif('v2002'!E:E,A127)</f>
        <v>1</v>
      </c>
      <c r="Z127" s="21">
        <f>countif('v1998'!E:E,A127)</f>
        <v>1</v>
      </c>
    </row>
    <row r="128">
      <c r="A128" s="17" t="s">
        <v>2282</v>
      </c>
      <c r="B128" s="18" t="s">
        <v>706</v>
      </c>
      <c r="C128" s="21" t="str">
        <f t="shared" si="16"/>
        <v>First Radiation Constant</v>
      </c>
      <c r="D128" s="21" t="str">
        <f t="shared" si="10"/>
        <v>Première constante radiative</v>
      </c>
      <c r="E128" s="17" t="s">
        <v>1972</v>
      </c>
      <c r="F128" s="17" t="s">
        <v>2283</v>
      </c>
      <c r="G128" s="18" t="s">
        <v>1974</v>
      </c>
      <c r="H128" s="18" t="str">
        <f t="shared" si="17"/>
        <v>W_m2</v>
      </c>
      <c r="I128" s="17">
        <f>if(H128="","", countif(Units!A:A,H128))</f>
        <v>1</v>
      </c>
      <c r="J128" s="18" t="s">
        <v>706</v>
      </c>
      <c r="K128" s="28">
        <f>countif(Quantities!A:A,J128)</f>
        <v>1</v>
      </c>
      <c r="L128" s="30" t="b">
        <f t="shared" si="4"/>
        <v>1</v>
      </c>
      <c r="M128" s="17" t="s">
        <v>706</v>
      </c>
      <c r="N128" s="34" t="str">
        <f t="shared" si="5"/>
        <v>qudt</v>
      </c>
      <c r="O128" s="18" t="b">
        <f t="shared" si="6"/>
        <v>1</v>
      </c>
      <c r="P128" s="39"/>
      <c r="Q128" s="39"/>
      <c r="R128" s="39" t="str">
        <f t="shared" si="7"/>
        <v/>
      </c>
      <c r="S128" s="43">
        <f t="shared" si="8"/>
        <v>7</v>
      </c>
      <c r="T128" s="21">
        <f>countif('v2022'!E:E,A128)</f>
        <v>1</v>
      </c>
      <c r="U128" s="21">
        <f>countif('v2018'!E:E,A128)</f>
        <v>1</v>
      </c>
      <c r="V128" s="21">
        <f>countif('v2014'!E:E,A128)</f>
        <v>1</v>
      </c>
      <c r="W128" s="21">
        <f>countif('v2010'!E:E,A128)</f>
        <v>1</v>
      </c>
      <c r="X128" s="21">
        <f>countif('v2006'!E:E,A128)</f>
        <v>1</v>
      </c>
      <c r="Y128" s="21">
        <f>countif('v2002'!E:E,A128)</f>
        <v>1</v>
      </c>
      <c r="Z128" s="21">
        <f>countif('v1998'!E:E,A128)</f>
        <v>1</v>
      </c>
    </row>
    <row r="129">
      <c r="A129" s="17" t="s">
        <v>2293</v>
      </c>
      <c r="B129" s="18" t="s">
        <v>709</v>
      </c>
      <c r="C129" s="21" t="str">
        <f t="shared" si="16"/>
        <v>First Radiation Constant For Spectral Radiance</v>
      </c>
      <c r="D129" s="21" t="str">
        <f t="shared" si="10"/>
        <v>Deuxième constante radiative</v>
      </c>
      <c r="E129" s="17" t="s">
        <v>1979</v>
      </c>
      <c r="F129" s="17" t="s">
        <v>2294</v>
      </c>
      <c r="G129" s="18" t="s">
        <v>1982</v>
      </c>
      <c r="H129" s="18" t="str">
        <f t="shared" si="17"/>
        <v>W_m2_sr-1</v>
      </c>
      <c r="I129" s="17">
        <f>if(H129="","", countif(Units!A:A,H129))</f>
        <v>1</v>
      </c>
      <c r="J129" s="18" t="s">
        <v>709</v>
      </c>
      <c r="K129" s="28">
        <f>countif(Quantities!A:A,J129)</f>
        <v>1</v>
      </c>
      <c r="L129" s="30" t="b">
        <f t="shared" si="4"/>
        <v>1</v>
      </c>
      <c r="M129" s="17" t="s">
        <v>709</v>
      </c>
      <c r="N129" s="34" t="str">
        <f t="shared" si="5"/>
        <v>qudt</v>
      </c>
      <c r="O129" s="18" t="b">
        <f t="shared" si="6"/>
        <v>1</v>
      </c>
      <c r="P129" s="39"/>
      <c r="Q129" s="39"/>
      <c r="R129" s="39" t="str">
        <f t="shared" si="7"/>
        <v/>
      </c>
      <c r="S129" s="43">
        <f t="shared" si="8"/>
        <v>7</v>
      </c>
      <c r="T129" s="21">
        <f>countif('v2022'!E:E,A129)</f>
        <v>1</v>
      </c>
      <c r="U129" s="21">
        <f>countif('v2018'!E:E,A129)</f>
        <v>1</v>
      </c>
      <c r="V129" s="21">
        <f>countif('v2014'!E:E,A129)</f>
        <v>1</v>
      </c>
      <c r="W129" s="21">
        <f>countif('v2010'!E:E,A129)</f>
        <v>1</v>
      </c>
      <c r="X129" s="21">
        <f>countif('v2006'!E:E,A129)</f>
        <v>1</v>
      </c>
      <c r="Y129" s="21">
        <f>countif('v2002'!E:E,A129)</f>
        <v>1</v>
      </c>
      <c r="Z129" s="21">
        <f>countif('v1998'!E:E,A129)</f>
        <v>1</v>
      </c>
    </row>
    <row r="130">
      <c r="A130" s="17" t="s">
        <v>2305</v>
      </c>
      <c r="B130" s="18" t="s">
        <v>716</v>
      </c>
      <c r="C130" s="21" t="str">
        <f t="shared" si="16"/>
        <v>Hartree - Atomic Mass Unit Relationship</v>
      </c>
      <c r="D130" s="21" t="str">
        <f t="shared" si="10"/>
        <v>Relation entre le hartree et l'unité de masse atomique</v>
      </c>
      <c r="E130" s="17" t="s">
        <v>2306</v>
      </c>
      <c r="F130" s="17" t="s">
        <v>2307</v>
      </c>
      <c r="G130" s="18" t="s">
        <v>249</v>
      </c>
      <c r="H130" s="18" t="str">
        <f t="shared" si="17"/>
        <v>u</v>
      </c>
      <c r="I130" s="17">
        <f>if(H130="","", countif(Units!A:A,H130))</f>
        <v>1</v>
      </c>
      <c r="J130" s="18" t="s">
        <v>716</v>
      </c>
      <c r="K130" s="28">
        <f>countif(Quantities!A:A,J130)</f>
        <v>1</v>
      </c>
      <c r="L130" s="30" t="b">
        <f t="shared" si="4"/>
        <v>1</v>
      </c>
      <c r="M130" s="17" t="s">
        <v>716</v>
      </c>
      <c r="N130" s="34" t="str">
        <f t="shared" si="5"/>
        <v>qudt</v>
      </c>
      <c r="O130" s="18" t="b">
        <f t="shared" si="6"/>
        <v>1</v>
      </c>
      <c r="P130" s="39"/>
      <c r="Q130" s="39"/>
      <c r="R130" s="39" t="str">
        <f t="shared" si="7"/>
        <v/>
      </c>
      <c r="S130" s="43">
        <f t="shared" si="8"/>
        <v>7</v>
      </c>
      <c r="T130" s="21">
        <f>countif('v2022'!E:E,A130)</f>
        <v>1</v>
      </c>
      <c r="U130" s="21">
        <f>countif('v2018'!E:E,A130)</f>
        <v>1</v>
      </c>
      <c r="V130" s="21">
        <f>countif('v2014'!E:E,A130)</f>
        <v>1</v>
      </c>
      <c r="W130" s="21">
        <f>countif('v2010'!E:E,A130)</f>
        <v>1</v>
      </c>
      <c r="X130" s="21">
        <f>countif('v2006'!E:E,A130)</f>
        <v>1</v>
      </c>
      <c r="Y130" s="21">
        <f>countif('v2002'!E:E,A130)</f>
        <v>1</v>
      </c>
      <c r="Z130" s="21">
        <f>countif('v1998'!E:E,A130)</f>
        <v>1</v>
      </c>
    </row>
    <row r="131">
      <c r="A131" s="17" t="s">
        <v>2321</v>
      </c>
      <c r="B131" s="18" t="s">
        <v>718</v>
      </c>
      <c r="C131" s="21" t="str">
        <f t="shared" si="16"/>
        <v>Hartree - Electronvolt Relationship</v>
      </c>
      <c r="D131" s="21" t="str">
        <f t="shared" si="10"/>
        <v>Relation entre le hartree et l'électronvolt</v>
      </c>
      <c r="E131" s="17" t="s">
        <v>2322</v>
      </c>
      <c r="F131" s="17" t="s">
        <v>2323</v>
      </c>
      <c r="G131" s="18" t="s">
        <v>181</v>
      </c>
      <c r="H131" s="18" t="str">
        <f t="shared" si="17"/>
        <v>eV</v>
      </c>
      <c r="I131" s="17">
        <f>if(H131="","", countif(Units!A:A,H131))</f>
        <v>1</v>
      </c>
      <c r="J131" s="18" t="s">
        <v>718</v>
      </c>
      <c r="K131" s="28">
        <f>countif(Quantities!A:A,J131)</f>
        <v>1</v>
      </c>
      <c r="L131" s="30" t="b">
        <f t="shared" si="4"/>
        <v>1</v>
      </c>
      <c r="M131" s="17" t="s">
        <v>718</v>
      </c>
      <c r="N131" s="34" t="str">
        <f t="shared" si="5"/>
        <v>qudt</v>
      </c>
      <c r="O131" s="18" t="b">
        <f t="shared" si="6"/>
        <v>1</v>
      </c>
      <c r="P131" s="39"/>
      <c r="Q131" s="39"/>
      <c r="R131" s="39" t="str">
        <f t="shared" si="7"/>
        <v/>
      </c>
      <c r="S131" s="43">
        <f t="shared" si="8"/>
        <v>7</v>
      </c>
      <c r="T131" s="21">
        <f>countif('v2022'!E:E,A131)</f>
        <v>1</v>
      </c>
      <c r="U131" s="21">
        <f>countif('v2018'!E:E,A131)</f>
        <v>1</v>
      </c>
      <c r="V131" s="21">
        <f>countif('v2014'!E:E,A131)</f>
        <v>1</v>
      </c>
      <c r="W131" s="21">
        <f>countif('v2010'!E:E,A131)</f>
        <v>1</v>
      </c>
      <c r="X131" s="21">
        <f>countif('v2006'!E:E,A131)</f>
        <v>1</v>
      </c>
      <c r="Y131" s="21">
        <f>countif('v2002'!E:E,A131)</f>
        <v>1</v>
      </c>
      <c r="Z131" s="21">
        <f>countif('v1998'!E:E,A131)</f>
        <v>1</v>
      </c>
    </row>
    <row r="132">
      <c r="A132" s="17" t="s">
        <v>2337</v>
      </c>
      <c r="B132" s="18" t="s">
        <v>721</v>
      </c>
      <c r="C132" s="21" t="str">
        <f t="shared" si="16"/>
        <v>Hartree Energy</v>
      </c>
      <c r="D132" s="21" t="str">
        <f t="shared" si="10"/>
        <v>Énergie de Hartree</v>
      </c>
      <c r="E132" s="17" t="s">
        <v>1990</v>
      </c>
      <c r="F132" s="17" t="s">
        <v>2341</v>
      </c>
      <c r="G132" s="18" t="s">
        <v>173</v>
      </c>
      <c r="H132" s="18" t="str">
        <f t="shared" si="17"/>
        <v>J</v>
      </c>
      <c r="I132" s="17">
        <f>if(H132="","", countif(Units!A:A,H132))</f>
        <v>1</v>
      </c>
      <c r="J132" s="18" t="s">
        <v>721</v>
      </c>
      <c r="K132" s="28">
        <f>countif(Quantities!A:A,J132)</f>
        <v>1</v>
      </c>
      <c r="L132" s="30" t="b">
        <f t="shared" si="4"/>
        <v>1</v>
      </c>
      <c r="M132" s="17" t="s">
        <v>721</v>
      </c>
      <c r="N132" s="34" t="str">
        <f t="shared" si="5"/>
        <v>qudt</v>
      </c>
      <c r="O132" s="18" t="b">
        <f t="shared" si="6"/>
        <v>1</v>
      </c>
      <c r="P132" s="39"/>
      <c r="Q132" s="39"/>
      <c r="R132" s="39" t="str">
        <f t="shared" si="7"/>
        <v/>
      </c>
      <c r="S132" s="43">
        <f t="shared" si="8"/>
        <v>7</v>
      </c>
      <c r="T132" s="21">
        <f>countif('v2022'!E:E,A132)</f>
        <v>1</v>
      </c>
      <c r="U132" s="21">
        <f>countif('v2018'!E:E,A132)</f>
        <v>1</v>
      </c>
      <c r="V132" s="21">
        <f>countif('v2014'!E:E,A132)</f>
        <v>1</v>
      </c>
      <c r="W132" s="21">
        <f>countif('v2010'!E:E,A132)</f>
        <v>1</v>
      </c>
      <c r="X132" s="21">
        <f>countif('v2006'!E:E,A132)</f>
        <v>1</v>
      </c>
      <c r="Y132" s="21">
        <f>countif('v2002'!E:E,A132)</f>
        <v>1</v>
      </c>
      <c r="Z132" s="21">
        <f>countif('v1998'!E:E,A132)</f>
        <v>1</v>
      </c>
    </row>
    <row r="133">
      <c r="A133" s="17" t="s">
        <v>2353</v>
      </c>
      <c r="B133" s="18" t="s">
        <v>2354</v>
      </c>
      <c r="C133" s="17" t="s">
        <v>2355</v>
      </c>
      <c r="D133" s="21" t="str">
        <f t="shared" si="10"/>
        <v>Énergie de Hartree en eV</v>
      </c>
      <c r="E133" s="17" t="s">
        <v>1993</v>
      </c>
      <c r="F133" s="17" t="s">
        <v>2356</v>
      </c>
      <c r="G133" s="18" t="s">
        <v>181</v>
      </c>
      <c r="H133" s="18" t="str">
        <f t="shared" si="17"/>
        <v>eV</v>
      </c>
      <c r="I133" s="17">
        <f>if(H133="","", countif(Units!A:A,H133))</f>
        <v>1</v>
      </c>
      <c r="J133" s="18" t="s">
        <v>721</v>
      </c>
      <c r="K133" s="28">
        <f>countif(Quantities!A:A,J133)</f>
        <v>1</v>
      </c>
      <c r="L133" s="30" t="b">
        <f t="shared" si="4"/>
        <v>0</v>
      </c>
      <c r="M133" s="17" t="s">
        <v>2354</v>
      </c>
      <c r="N133" s="34" t="str">
        <f t="shared" si="5"/>
        <v>qudt</v>
      </c>
      <c r="O133" s="18" t="b">
        <f t="shared" si="6"/>
        <v>1</v>
      </c>
      <c r="P133" s="39"/>
      <c r="Q133" s="39"/>
      <c r="R133" s="39" t="str">
        <f t="shared" si="7"/>
        <v/>
      </c>
      <c r="S133" s="43">
        <f t="shared" si="8"/>
        <v>7</v>
      </c>
      <c r="T133" s="21">
        <f>countif('v2022'!E:E,A133)</f>
        <v>1</v>
      </c>
      <c r="U133" s="21">
        <f>countif('v2018'!E:E,A133)</f>
        <v>1</v>
      </c>
      <c r="V133" s="21">
        <f>countif('v2014'!E:E,A133)</f>
        <v>1</v>
      </c>
      <c r="W133" s="21">
        <f>countif('v2010'!E:E,A133)</f>
        <v>1</v>
      </c>
      <c r="X133" s="21">
        <f>countif('v2006'!E:E,A133)</f>
        <v>1</v>
      </c>
      <c r="Y133" s="21">
        <f>countif('v2002'!E:E,A133)</f>
        <v>1</v>
      </c>
      <c r="Z133" s="21">
        <f>countif('v1998'!E:E,A133)</f>
        <v>1</v>
      </c>
    </row>
    <row r="134">
      <c r="A134" s="17" t="s">
        <v>2375</v>
      </c>
      <c r="B134" s="18" t="s">
        <v>724</v>
      </c>
      <c r="C134" s="21" t="str">
        <f t="shared" ref="C134:C145" si="18">proper(E134)</f>
        <v>Hartree - Hertz Relationship</v>
      </c>
      <c r="D134" s="21" t="str">
        <f t="shared" si="10"/>
        <v>Relation entre le hartree et le hertz</v>
      </c>
      <c r="E134" s="17" t="s">
        <v>2377</v>
      </c>
      <c r="F134" s="17" t="s">
        <v>2378</v>
      </c>
      <c r="G134" s="18" t="s">
        <v>257</v>
      </c>
      <c r="H134" s="18" t="str">
        <f t="shared" si="17"/>
        <v>Hz</v>
      </c>
      <c r="I134" s="17">
        <f>if(H134="","", countif(Units!A:A,H134))</f>
        <v>1</v>
      </c>
      <c r="J134" s="18" t="s">
        <v>724</v>
      </c>
      <c r="K134" s="28">
        <f>countif(Quantities!A:A,J134)</f>
        <v>1</v>
      </c>
      <c r="L134" s="30" t="b">
        <f t="shared" si="4"/>
        <v>1</v>
      </c>
      <c r="M134" s="17" t="s">
        <v>724</v>
      </c>
      <c r="N134" s="34" t="str">
        <f t="shared" si="5"/>
        <v>qudt</v>
      </c>
      <c r="O134" s="18" t="b">
        <f t="shared" si="6"/>
        <v>1</v>
      </c>
      <c r="P134" s="39"/>
      <c r="Q134" s="39"/>
      <c r="R134" s="39" t="str">
        <f t="shared" si="7"/>
        <v/>
      </c>
      <c r="S134" s="43">
        <f t="shared" si="8"/>
        <v>7</v>
      </c>
      <c r="T134" s="21">
        <f>countif('v2022'!E:E,A134)</f>
        <v>1</v>
      </c>
      <c r="U134" s="21">
        <f>countif('v2018'!E:E,A134)</f>
        <v>1</v>
      </c>
      <c r="V134" s="21">
        <f>countif('v2014'!E:E,A134)</f>
        <v>1</v>
      </c>
      <c r="W134" s="21">
        <f>countif('v2010'!E:E,A134)</f>
        <v>1</v>
      </c>
      <c r="X134" s="21">
        <f>countif('v2006'!E:E,A134)</f>
        <v>1</v>
      </c>
      <c r="Y134" s="21">
        <f>countif('v2002'!E:E,A134)</f>
        <v>1</v>
      </c>
      <c r="Z134" s="21">
        <f>countif('v1998'!E:E,A134)</f>
        <v>1</v>
      </c>
    </row>
    <row r="135">
      <c r="A135" s="17" t="s">
        <v>2396</v>
      </c>
      <c r="B135" s="18" t="s">
        <v>726</v>
      </c>
      <c r="C135" s="21" t="str">
        <f t="shared" si="18"/>
        <v>Hartree - Inverse Meter Relationship</v>
      </c>
      <c r="D135" s="21" t="str">
        <f t="shared" si="10"/>
        <v>Relation entre le hartree et l'inverse du mètre</v>
      </c>
      <c r="E135" s="17" t="s">
        <v>2397</v>
      </c>
      <c r="F135" s="17" t="s">
        <v>2398</v>
      </c>
      <c r="G135" s="18" t="s">
        <v>561</v>
      </c>
      <c r="H135" s="18" t="str">
        <f t="shared" si="17"/>
        <v>m-1</v>
      </c>
      <c r="I135" s="17">
        <f>if(H135="","", countif(Units!A:A,H135))</f>
        <v>1</v>
      </c>
      <c r="J135" s="18" t="s">
        <v>726</v>
      </c>
      <c r="K135" s="28">
        <f>countif(Quantities!A:A,J135)</f>
        <v>1</v>
      </c>
      <c r="L135" s="30" t="b">
        <f t="shared" si="4"/>
        <v>1</v>
      </c>
      <c r="M135" s="17" t="s">
        <v>726</v>
      </c>
      <c r="N135" s="34" t="str">
        <f t="shared" si="5"/>
        <v>qudt</v>
      </c>
      <c r="O135" s="18" t="b">
        <f t="shared" si="6"/>
        <v>1</v>
      </c>
      <c r="P135" s="39"/>
      <c r="Q135" s="39"/>
      <c r="R135" s="39" t="str">
        <f t="shared" si="7"/>
        <v/>
      </c>
      <c r="S135" s="43">
        <f t="shared" si="8"/>
        <v>7</v>
      </c>
      <c r="T135" s="21">
        <f>countif('v2022'!E:E,A135)</f>
        <v>1</v>
      </c>
      <c r="U135" s="21">
        <f>countif('v2018'!E:E,A135)</f>
        <v>1</v>
      </c>
      <c r="V135" s="21">
        <f>countif('v2014'!E:E,A135)</f>
        <v>1</v>
      </c>
      <c r="W135" s="21">
        <f>countif('v2010'!E:E,A135)</f>
        <v>1</v>
      </c>
      <c r="X135" s="21">
        <f>countif('v2006'!E:E,A135)</f>
        <v>1</v>
      </c>
      <c r="Y135" s="21">
        <f>countif('v2002'!E:E,A135)</f>
        <v>1</v>
      </c>
      <c r="Z135" s="21">
        <f>countif('v1998'!E:E,A135)</f>
        <v>1</v>
      </c>
    </row>
    <row r="136">
      <c r="A136" s="17" t="s">
        <v>2406</v>
      </c>
      <c r="B136" s="18" t="s">
        <v>731</v>
      </c>
      <c r="C136" s="21" t="str">
        <f t="shared" si="18"/>
        <v>Hartree - Joule Relationship</v>
      </c>
      <c r="D136" s="21" t="str">
        <f t="shared" si="10"/>
        <v>Relation entre le hartree et le joule</v>
      </c>
      <c r="E136" s="17" t="s">
        <v>2407</v>
      </c>
      <c r="F136" s="17" t="s">
        <v>2408</v>
      </c>
      <c r="G136" s="18" t="s">
        <v>173</v>
      </c>
      <c r="H136" s="18" t="str">
        <f t="shared" si="17"/>
        <v>J</v>
      </c>
      <c r="I136" s="17">
        <f>if(H136="","", countif(Units!A:A,H136))</f>
        <v>1</v>
      </c>
      <c r="J136" s="18" t="s">
        <v>731</v>
      </c>
      <c r="K136" s="28">
        <f>countif(Quantities!A:A,J136)</f>
        <v>1</v>
      </c>
      <c r="L136" s="30" t="b">
        <f t="shared" si="4"/>
        <v>1</v>
      </c>
      <c r="M136" s="17" t="s">
        <v>731</v>
      </c>
      <c r="N136" s="34" t="str">
        <f t="shared" si="5"/>
        <v>qudt</v>
      </c>
      <c r="O136" s="18" t="b">
        <f t="shared" si="6"/>
        <v>1</v>
      </c>
      <c r="P136" s="39"/>
      <c r="Q136" s="39"/>
      <c r="R136" s="39" t="str">
        <f t="shared" si="7"/>
        <v/>
      </c>
      <c r="S136" s="43">
        <f t="shared" si="8"/>
        <v>7</v>
      </c>
      <c r="T136" s="21">
        <f>countif('v2022'!E:E,A136)</f>
        <v>1</v>
      </c>
      <c r="U136" s="21">
        <f>countif('v2018'!E:E,A136)</f>
        <v>1</v>
      </c>
      <c r="V136" s="21">
        <f>countif('v2014'!E:E,A136)</f>
        <v>1</v>
      </c>
      <c r="W136" s="21">
        <f>countif('v2010'!E:E,A136)</f>
        <v>1</v>
      </c>
      <c r="X136" s="21">
        <f>countif('v2006'!E:E,A136)</f>
        <v>1</v>
      </c>
      <c r="Y136" s="21">
        <f>countif('v2002'!E:E,A136)</f>
        <v>1</v>
      </c>
      <c r="Z136" s="21">
        <f>countif('v1998'!E:E,A136)</f>
        <v>1</v>
      </c>
    </row>
    <row r="137">
      <c r="A137" s="17" t="s">
        <v>2421</v>
      </c>
      <c r="B137" s="18" t="s">
        <v>734</v>
      </c>
      <c r="C137" s="21" t="str">
        <f t="shared" si="18"/>
        <v>Hartree - Kelvin Relationship</v>
      </c>
      <c r="D137" s="21" t="str">
        <f t="shared" si="10"/>
        <v>Relation entre le hartree et le kelvin</v>
      </c>
      <c r="E137" s="17" t="s">
        <v>2422</v>
      </c>
      <c r="F137" s="17" t="s">
        <v>2423</v>
      </c>
      <c r="G137" s="18" t="s">
        <v>345</v>
      </c>
      <c r="H137" s="18" t="str">
        <f t="shared" si="17"/>
        <v>K</v>
      </c>
      <c r="I137" s="17">
        <f>if(H137="","", countif(Units!A:A,H137))</f>
        <v>1</v>
      </c>
      <c r="J137" s="18" t="s">
        <v>734</v>
      </c>
      <c r="K137" s="28">
        <f>countif(Quantities!A:A,J137)</f>
        <v>1</v>
      </c>
      <c r="L137" s="30" t="b">
        <f t="shared" si="4"/>
        <v>1</v>
      </c>
      <c r="M137" s="17" t="s">
        <v>734</v>
      </c>
      <c r="N137" s="34" t="str">
        <f t="shared" si="5"/>
        <v>qudt</v>
      </c>
      <c r="O137" s="18" t="b">
        <f t="shared" si="6"/>
        <v>1</v>
      </c>
      <c r="P137" s="39"/>
      <c r="Q137" s="39"/>
      <c r="R137" s="39" t="str">
        <f t="shared" si="7"/>
        <v/>
      </c>
      <c r="S137" s="43">
        <f t="shared" si="8"/>
        <v>7</v>
      </c>
      <c r="T137" s="21">
        <f>countif('v2022'!E:E,A137)</f>
        <v>1</v>
      </c>
      <c r="U137" s="21">
        <f>countif('v2018'!E:E,A137)</f>
        <v>1</v>
      </c>
      <c r="V137" s="21">
        <f>countif('v2014'!E:E,A137)</f>
        <v>1</v>
      </c>
      <c r="W137" s="21">
        <f>countif('v2010'!E:E,A137)</f>
        <v>1</v>
      </c>
      <c r="X137" s="21">
        <f>countif('v2006'!E:E,A137)</f>
        <v>1</v>
      </c>
      <c r="Y137" s="21">
        <f>countif('v2002'!E:E,A137)</f>
        <v>1</v>
      </c>
      <c r="Z137" s="21">
        <f>countif('v1998'!E:E,A137)</f>
        <v>1</v>
      </c>
    </row>
    <row r="138">
      <c r="A138" s="17" t="s">
        <v>2436</v>
      </c>
      <c r="B138" s="18" t="s">
        <v>736</v>
      </c>
      <c r="C138" s="21" t="str">
        <f t="shared" si="18"/>
        <v>Hartree - Kilogram Relationship</v>
      </c>
      <c r="D138" s="21" t="str">
        <f t="shared" si="10"/>
        <v>Relation entre le hartree et le kilogramme</v>
      </c>
      <c r="E138" s="17" t="s">
        <v>2437</v>
      </c>
      <c r="F138" s="17" t="s">
        <v>2438</v>
      </c>
      <c r="G138" s="18" t="s">
        <v>98</v>
      </c>
      <c r="H138" s="18" t="str">
        <f t="shared" si="17"/>
        <v>kg</v>
      </c>
      <c r="I138" s="17">
        <f>if(H138="","", countif(Units!A:A,H138))</f>
        <v>1</v>
      </c>
      <c r="J138" s="18" t="s">
        <v>736</v>
      </c>
      <c r="K138" s="28">
        <f>countif(Quantities!A:A,J138)</f>
        <v>1</v>
      </c>
      <c r="L138" s="30" t="b">
        <f t="shared" si="4"/>
        <v>1</v>
      </c>
      <c r="M138" s="17" t="s">
        <v>736</v>
      </c>
      <c r="N138" s="34" t="str">
        <f t="shared" si="5"/>
        <v>qudt</v>
      </c>
      <c r="O138" s="18" t="b">
        <f t="shared" si="6"/>
        <v>1</v>
      </c>
      <c r="P138" s="39"/>
      <c r="Q138" s="39"/>
      <c r="R138" s="39" t="str">
        <f t="shared" si="7"/>
        <v/>
      </c>
      <c r="S138" s="43">
        <f t="shared" si="8"/>
        <v>7</v>
      </c>
      <c r="T138" s="21">
        <f>countif('v2022'!E:E,A138)</f>
        <v>1</v>
      </c>
      <c r="U138" s="21">
        <f>countif('v2018'!E:E,A138)</f>
        <v>1</v>
      </c>
      <c r="V138" s="21">
        <f>countif('v2014'!E:E,A138)</f>
        <v>1</v>
      </c>
      <c r="W138" s="21">
        <f>countif('v2010'!E:E,A138)</f>
        <v>1</v>
      </c>
      <c r="X138" s="21">
        <f>countif('v2006'!E:E,A138)</f>
        <v>1</v>
      </c>
      <c r="Y138" s="21">
        <f>countif('v2002'!E:E,A138)</f>
        <v>1</v>
      </c>
      <c r="Z138" s="21">
        <f>countif('v1998'!E:E,A138)</f>
        <v>1</v>
      </c>
    </row>
    <row r="139">
      <c r="A139" s="17" t="s">
        <v>2453</v>
      </c>
      <c r="B139" s="18" t="s">
        <v>740</v>
      </c>
      <c r="C139" s="21" t="str">
        <f t="shared" si="18"/>
        <v>Helion-Electron Mass Ratio</v>
      </c>
      <c r="D139" s="21" t="str">
        <f t="shared" si="10"/>
        <v>Rapport de la masse de l'hélion à celle de l'électron</v>
      </c>
      <c r="E139" s="17" t="s">
        <v>2018</v>
      </c>
      <c r="F139" s="17" t="s">
        <v>1754</v>
      </c>
      <c r="H139" s="18" t="str">
        <f t="shared" si="17"/>
        <v/>
      </c>
      <c r="I139" s="17" t="str">
        <f>if(H139="","", countif(Units!A:A,H139))</f>
        <v/>
      </c>
      <c r="J139" s="18" t="s">
        <v>740</v>
      </c>
      <c r="K139" s="28">
        <f>countif(Quantities!A:A,J139)</f>
        <v>1</v>
      </c>
      <c r="L139" s="30" t="b">
        <f t="shared" si="4"/>
        <v>1</v>
      </c>
      <c r="M139" s="17" t="s">
        <v>740</v>
      </c>
      <c r="N139" s="34" t="str">
        <f t="shared" si="5"/>
        <v>qudt</v>
      </c>
      <c r="O139" s="18" t="b">
        <f t="shared" si="6"/>
        <v>1</v>
      </c>
      <c r="P139" s="39"/>
      <c r="Q139" s="39"/>
      <c r="R139" s="39" t="str">
        <f t="shared" si="7"/>
        <v/>
      </c>
      <c r="S139" s="43">
        <f t="shared" si="8"/>
        <v>7</v>
      </c>
      <c r="T139" s="21">
        <f>countif('v2022'!E:E,A139)</f>
        <v>1</v>
      </c>
      <c r="U139" s="21">
        <f>countif('v2018'!E:E,A139)</f>
        <v>1</v>
      </c>
      <c r="V139" s="21">
        <f>countif('v2014'!E:E,A139)</f>
        <v>1</v>
      </c>
      <c r="W139" s="21">
        <f>countif('v2010'!E:E,A139)</f>
        <v>1</v>
      </c>
      <c r="X139" s="21">
        <f>countif('v2006'!E:E,A139)</f>
        <v>1</v>
      </c>
      <c r="Y139" s="21">
        <f>countif('v2002'!E:E,A139)</f>
        <v>1</v>
      </c>
      <c r="Z139" s="21">
        <f>countif('v1998'!E:E,A139)</f>
        <v>1</v>
      </c>
    </row>
    <row r="140">
      <c r="A140" s="17" t="s">
        <v>2468</v>
      </c>
      <c r="B140" s="18" t="s">
        <v>746</v>
      </c>
      <c r="C140" s="21" t="str">
        <f t="shared" si="18"/>
        <v>Helion G Factor</v>
      </c>
      <c r="D140" s="21" t="str">
        <f t="shared" si="10"/>
        <v>Facteur de Landé de l'hélion</v>
      </c>
      <c r="E140" s="17" t="s">
        <v>2024</v>
      </c>
      <c r="F140" s="17" t="s">
        <v>2472</v>
      </c>
      <c r="H140" s="18" t="str">
        <f t="shared" si="17"/>
        <v/>
      </c>
      <c r="I140" s="17" t="str">
        <f>if(H140="","", countif(Units!A:A,H140))</f>
        <v/>
      </c>
      <c r="J140" s="18" t="s">
        <v>746</v>
      </c>
      <c r="K140" s="28">
        <f>countif(Quantities!A:A,J140)</f>
        <v>1</v>
      </c>
      <c r="L140" s="30" t="b">
        <f t="shared" si="4"/>
        <v>1</v>
      </c>
      <c r="N140" s="39" t="str">
        <f t="shared" si="5"/>
        <v/>
      </c>
      <c r="O140" s="18" t="b">
        <f t="shared" si="6"/>
        <v>0</v>
      </c>
      <c r="P140" s="23"/>
      <c r="Q140" s="23"/>
      <c r="R140" s="39" t="str">
        <f t="shared" si="7"/>
        <v/>
      </c>
      <c r="S140" s="43">
        <f t="shared" si="8"/>
        <v>4</v>
      </c>
      <c r="T140" s="21">
        <f>countif('v2022'!E:E,A140)</f>
        <v>1</v>
      </c>
      <c r="U140" s="21">
        <f>countif('v2018'!E:E,A140)</f>
        <v>1</v>
      </c>
      <c r="V140" s="21">
        <f>countif('v2014'!E:E,A140)</f>
        <v>1</v>
      </c>
      <c r="W140" s="21">
        <f>countif('v2010'!E:E,A140)</f>
        <v>1</v>
      </c>
      <c r="X140" s="21">
        <f>countif('v2006'!E:E,A140)</f>
        <v>0</v>
      </c>
      <c r="Y140" s="21">
        <f>countif('v2002'!E:E,A140)</f>
        <v>0</v>
      </c>
      <c r="Z140" s="21">
        <f>countif('v1998'!E:E,A140)</f>
        <v>0</v>
      </c>
    </row>
    <row r="141">
      <c r="A141" s="17" t="s">
        <v>2499</v>
      </c>
      <c r="B141" s="17" t="s">
        <v>749</v>
      </c>
      <c r="C141" s="21" t="str">
        <f t="shared" si="18"/>
        <v>Helion Magnetic Moment</v>
      </c>
      <c r="D141" s="21" t="str">
        <f t="shared" si="10"/>
        <v>Moment magnétique de l'hélion</v>
      </c>
      <c r="E141" s="17" t="s">
        <v>2502</v>
      </c>
      <c r="F141" s="17" t="s">
        <v>2503</v>
      </c>
      <c r="G141" s="18" t="s">
        <v>964</v>
      </c>
      <c r="H141" s="18" t="str">
        <f t="shared" si="17"/>
        <v>J_T-1</v>
      </c>
      <c r="I141" s="17">
        <f>if(H141="","", countif(Units!A:A,H141))</f>
        <v>1</v>
      </c>
      <c r="J141" s="17" t="s">
        <v>749</v>
      </c>
      <c r="K141" s="28">
        <f>countif(Quantities!A:A,J141)</f>
        <v>1</v>
      </c>
      <c r="L141" s="30" t="b">
        <f t="shared" si="4"/>
        <v>1</v>
      </c>
      <c r="N141" s="39" t="str">
        <f t="shared" si="5"/>
        <v/>
      </c>
      <c r="O141" s="18" t="b">
        <f t="shared" si="6"/>
        <v>0</v>
      </c>
      <c r="P141" s="39"/>
      <c r="Q141" s="39"/>
      <c r="R141" s="39" t="str">
        <f t="shared" si="7"/>
        <v/>
      </c>
      <c r="S141" s="43">
        <f t="shared" si="8"/>
        <v>4</v>
      </c>
      <c r="T141" s="21">
        <f>countif('v2022'!E:E,A141)</f>
        <v>1</v>
      </c>
      <c r="U141" s="21">
        <f>countif('v2018'!E:E,A141)</f>
        <v>1</v>
      </c>
      <c r="V141" s="21">
        <f>countif('v2014'!E:E,A141)</f>
        <v>1</v>
      </c>
      <c r="W141" s="21">
        <f>countif('v2010'!E:E,A141)</f>
        <v>1</v>
      </c>
      <c r="X141" s="21">
        <f>countif('v2006'!E:E,A141)</f>
        <v>0</v>
      </c>
      <c r="Y141" s="21">
        <f>countif('v2002'!E:E,A141)</f>
        <v>0</v>
      </c>
      <c r="Z141" s="21">
        <f>countif('v1998'!E:E,A141)</f>
        <v>0</v>
      </c>
    </row>
    <row r="142">
      <c r="A142" s="17" t="s">
        <v>2518</v>
      </c>
      <c r="B142" s="17" t="s">
        <v>751</v>
      </c>
      <c r="C142" s="21" t="str">
        <f t="shared" si="18"/>
        <v>Helion Magnetic Moment To Bohr Magneton Ratio</v>
      </c>
      <c r="D142" s="21" t="str">
        <f t="shared" si="10"/>
        <v>Rapport du moment magnétique de l'hélion au magnéton de Bohr électronique</v>
      </c>
      <c r="E142" s="17" t="s">
        <v>2519</v>
      </c>
      <c r="F142" s="17" t="s">
        <v>2520</v>
      </c>
      <c r="H142" s="18" t="str">
        <f t="shared" si="17"/>
        <v/>
      </c>
      <c r="I142" s="17" t="str">
        <f>if(H142="","", countif(Units!A:A,H142))</f>
        <v/>
      </c>
      <c r="J142" s="17" t="s">
        <v>751</v>
      </c>
      <c r="K142" s="28">
        <f>countif(Quantities!A:A,J142)</f>
        <v>1</v>
      </c>
      <c r="L142" s="30" t="b">
        <f t="shared" si="4"/>
        <v>1</v>
      </c>
      <c r="N142" s="39" t="str">
        <f t="shared" si="5"/>
        <v/>
      </c>
      <c r="O142" s="18" t="b">
        <f t="shared" si="6"/>
        <v>0</v>
      </c>
      <c r="P142" s="23"/>
      <c r="Q142" s="23"/>
      <c r="R142" s="39" t="str">
        <f t="shared" si="7"/>
        <v/>
      </c>
      <c r="S142" s="43">
        <f t="shared" si="8"/>
        <v>4</v>
      </c>
      <c r="T142" s="21">
        <f>countif('v2022'!E:E,A142)</f>
        <v>1</v>
      </c>
      <c r="U142" s="21">
        <f>countif('v2018'!E:E,A142)</f>
        <v>1</v>
      </c>
      <c r="V142" s="21">
        <f>countif('v2014'!E:E,A142)</f>
        <v>1</v>
      </c>
      <c r="W142" s="21">
        <f>countif('v2010'!E:E,A142)</f>
        <v>1</v>
      </c>
      <c r="X142" s="21">
        <f>countif('v2006'!E:E,A142)</f>
        <v>0</v>
      </c>
      <c r="Y142" s="21">
        <f>countif('v2002'!E:E,A142)</f>
        <v>0</v>
      </c>
      <c r="Z142" s="21">
        <f>countif('v1998'!E:E,A142)</f>
        <v>0</v>
      </c>
    </row>
    <row r="143">
      <c r="A143" s="17" t="s">
        <v>2535</v>
      </c>
      <c r="B143" s="17" t="s">
        <v>753</v>
      </c>
      <c r="C143" s="21" t="str">
        <f t="shared" si="18"/>
        <v>Helion Magnetic Moment To Nuclear Magneton Ratio</v>
      </c>
      <c r="D143" s="21" t="str">
        <f t="shared" si="10"/>
        <v>Rapport du moment magnétique de l'hélion au magnéton de Bohr nucléaire</v>
      </c>
      <c r="E143" s="17" t="s">
        <v>2536</v>
      </c>
      <c r="F143" s="17" t="s">
        <v>2537</v>
      </c>
      <c r="H143" s="18" t="str">
        <f t="shared" si="17"/>
        <v/>
      </c>
      <c r="I143" s="17" t="str">
        <f>if(H143="","", countif(Units!A:A,H143))</f>
        <v/>
      </c>
      <c r="J143" s="17" t="s">
        <v>753</v>
      </c>
      <c r="K143" s="28">
        <f>countif(Quantities!A:A,J143)</f>
        <v>1</v>
      </c>
      <c r="L143" s="30" t="b">
        <f t="shared" si="4"/>
        <v>1</v>
      </c>
      <c r="N143" s="39" t="str">
        <f t="shared" si="5"/>
        <v/>
      </c>
      <c r="O143" s="18" t="b">
        <f t="shared" si="6"/>
        <v>0</v>
      </c>
      <c r="P143" s="23"/>
      <c r="Q143" s="23"/>
      <c r="R143" s="39" t="str">
        <f t="shared" si="7"/>
        <v/>
      </c>
      <c r="S143" s="43">
        <f t="shared" si="8"/>
        <v>4</v>
      </c>
      <c r="T143" s="21">
        <f>countif('v2022'!E:E,A143)</f>
        <v>1</v>
      </c>
      <c r="U143" s="21">
        <f>countif('v2018'!E:E,A143)</f>
        <v>1</v>
      </c>
      <c r="V143" s="21">
        <f>countif('v2014'!E:E,A143)</f>
        <v>1</v>
      </c>
      <c r="W143" s="21">
        <f>countif('v2010'!E:E,A143)</f>
        <v>1</v>
      </c>
      <c r="X143" s="21">
        <f>countif('v2006'!E:E,A143)</f>
        <v>0</v>
      </c>
      <c r="Y143" s="21">
        <f>countif('v2002'!E:E,A143)</f>
        <v>0</v>
      </c>
      <c r="Z143" s="21">
        <f>countif('v1998'!E:E,A143)</f>
        <v>0</v>
      </c>
    </row>
    <row r="144">
      <c r="A144" s="17" t="s">
        <v>2547</v>
      </c>
      <c r="B144" s="18" t="s">
        <v>758</v>
      </c>
      <c r="C144" s="21" t="str">
        <f t="shared" si="18"/>
        <v>Helion Mass</v>
      </c>
      <c r="D144" s="21" t="str">
        <f t="shared" si="10"/>
        <v>Masse de l'hélion</v>
      </c>
      <c r="E144" s="17" t="s">
        <v>2052</v>
      </c>
      <c r="F144" s="17" t="s">
        <v>2548</v>
      </c>
      <c r="G144" s="18" t="s">
        <v>98</v>
      </c>
      <c r="H144" s="18" t="str">
        <f t="shared" si="17"/>
        <v>kg</v>
      </c>
      <c r="I144" s="17">
        <f>if(H144="","", countif(Units!A:A,H144))</f>
        <v>1</v>
      </c>
      <c r="J144" s="18" t="s">
        <v>758</v>
      </c>
      <c r="K144" s="28">
        <f>countif(Quantities!A:A,J144)</f>
        <v>1</v>
      </c>
      <c r="L144" s="30" t="b">
        <f t="shared" si="4"/>
        <v>1</v>
      </c>
      <c r="M144" s="17" t="s">
        <v>758</v>
      </c>
      <c r="N144" s="34" t="str">
        <f t="shared" si="5"/>
        <v>qudt</v>
      </c>
      <c r="O144" s="18" t="b">
        <f t="shared" si="6"/>
        <v>1</v>
      </c>
      <c r="P144" s="39"/>
      <c r="Q144" s="39"/>
      <c r="R144" s="39" t="str">
        <f t="shared" si="7"/>
        <v/>
      </c>
      <c r="S144" s="43">
        <f t="shared" si="8"/>
        <v>7</v>
      </c>
      <c r="T144" s="21">
        <f>countif('v2022'!E:E,A144)</f>
        <v>1</v>
      </c>
      <c r="U144" s="21">
        <f>countif('v2018'!E:E,A144)</f>
        <v>1</v>
      </c>
      <c r="V144" s="21">
        <f>countif('v2014'!E:E,A144)</f>
        <v>1</v>
      </c>
      <c r="W144" s="21">
        <f>countif('v2010'!E:E,A144)</f>
        <v>1</v>
      </c>
      <c r="X144" s="21">
        <f>countif('v2006'!E:E,A144)</f>
        <v>1</v>
      </c>
      <c r="Y144" s="21">
        <f>countif('v2002'!E:E,A144)</f>
        <v>1</v>
      </c>
      <c r="Z144" s="21">
        <f>countif('v1998'!E:E,A144)</f>
        <v>1</v>
      </c>
    </row>
    <row r="145">
      <c r="A145" s="17" t="s">
        <v>2564</v>
      </c>
      <c r="B145" s="18" t="s">
        <v>760</v>
      </c>
      <c r="C145" s="21" t="str">
        <f t="shared" si="18"/>
        <v>Helion Mass Energy Equivalent</v>
      </c>
      <c r="D145" s="21" t="str">
        <f t="shared" si="10"/>
        <v>Énergie de masse de l'hélion</v>
      </c>
      <c r="E145" s="17" t="s">
        <v>2056</v>
      </c>
      <c r="F145" s="17" t="s">
        <v>2565</v>
      </c>
      <c r="G145" s="18" t="s">
        <v>173</v>
      </c>
      <c r="H145" s="18" t="str">
        <f t="shared" si="17"/>
        <v>J</v>
      </c>
      <c r="I145" s="17">
        <f>if(H145="","", countif(Units!A:A,H145))</f>
        <v>1</v>
      </c>
      <c r="J145" s="17" t="s">
        <v>760</v>
      </c>
      <c r="K145" s="28">
        <f>countif(Quantities!A:A,J145)</f>
        <v>1</v>
      </c>
      <c r="L145" s="30" t="b">
        <f t="shared" si="4"/>
        <v>1</v>
      </c>
      <c r="M145" s="17" t="s">
        <v>760</v>
      </c>
      <c r="N145" s="34" t="str">
        <f t="shared" si="5"/>
        <v>qudt</v>
      </c>
      <c r="O145" s="18" t="b">
        <f t="shared" si="6"/>
        <v>1</v>
      </c>
      <c r="P145" s="39"/>
      <c r="Q145" s="39"/>
      <c r="R145" s="39" t="str">
        <f t="shared" si="7"/>
        <v/>
      </c>
      <c r="S145" s="43">
        <f t="shared" si="8"/>
        <v>7</v>
      </c>
      <c r="T145" s="21">
        <f>countif('v2022'!E:E,A145)</f>
        <v>1</v>
      </c>
      <c r="U145" s="21">
        <f>countif('v2018'!E:E,A145)</f>
        <v>1</v>
      </c>
      <c r="V145" s="21">
        <f>countif('v2014'!E:E,A145)</f>
        <v>1</v>
      </c>
      <c r="W145" s="21">
        <f>countif('v2010'!E:E,A145)</f>
        <v>1</v>
      </c>
      <c r="X145" s="21">
        <f>countif('v2006'!E:E,A145)</f>
        <v>1</v>
      </c>
      <c r="Y145" s="21">
        <f>countif('v2002'!E:E,A145)</f>
        <v>1</v>
      </c>
      <c r="Z145" s="21">
        <f>countif('v1998'!E:E,A145)</f>
        <v>1</v>
      </c>
    </row>
    <row r="146">
      <c r="A146" s="17" t="s">
        <v>2574</v>
      </c>
      <c r="B146" s="18" t="s">
        <v>2575</v>
      </c>
      <c r="C146" s="17" t="s">
        <v>2576</v>
      </c>
      <c r="D146" s="21" t="str">
        <f t="shared" si="10"/>
        <v>Énergie de masse de l'hélion en MeV</v>
      </c>
      <c r="E146" s="17" t="s">
        <v>2063</v>
      </c>
      <c r="F146" s="17" t="s">
        <v>2577</v>
      </c>
      <c r="G146" s="18" t="s">
        <v>224</v>
      </c>
      <c r="H146" s="18" t="str">
        <f t="shared" si="17"/>
        <v>MeV</v>
      </c>
      <c r="I146" s="17">
        <f>if(H146="","", countif(Units!A:A,H146))</f>
        <v>1</v>
      </c>
      <c r="J146" s="18" t="s">
        <v>758</v>
      </c>
      <c r="K146" s="28">
        <f>countif(Quantities!A:A,J146)</f>
        <v>1</v>
      </c>
      <c r="L146" s="30" t="b">
        <f t="shared" si="4"/>
        <v>0</v>
      </c>
      <c r="M146" s="17" t="s">
        <v>2575</v>
      </c>
      <c r="N146" s="34" t="str">
        <f t="shared" si="5"/>
        <v>qudt</v>
      </c>
      <c r="O146" s="18" t="b">
        <f t="shared" si="6"/>
        <v>1</v>
      </c>
      <c r="P146" s="39"/>
      <c r="Q146" s="39"/>
      <c r="R146" s="39" t="str">
        <f t="shared" si="7"/>
        <v/>
      </c>
      <c r="S146" s="43">
        <f t="shared" si="8"/>
        <v>7</v>
      </c>
      <c r="T146" s="21">
        <f>countif('v2022'!E:E,A146)</f>
        <v>1</v>
      </c>
      <c r="U146" s="21">
        <f>countif('v2018'!E:E,A146)</f>
        <v>1</v>
      </c>
      <c r="V146" s="21">
        <f>countif('v2014'!E:E,A146)</f>
        <v>1</v>
      </c>
      <c r="W146" s="21">
        <f>countif('v2010'!E:E,A146)</f>
        <v>1</v>
      </c>
      <c r="X146" s="21">
        <f>countif('v2006'!E:E,A146)</f>
        <v>1</v>
      </c>
      <c r="Y146" s="21">
        <f>countif('v2002'!E:E,A146)</f>
        <v>1</v>
      </c>
      <c r="Z146" s="21">
        <f>countif('v1998'!E:E,A146)</f>
        <v>1</v>
      </c>
    </row>
    <row r="147">
      <c r="A147" s="17" t="s">
        <v>2593</v>
      </c>
      <c r="B147" s="18" t="s">
        <v>2594</v>
      </c>
      <c r="C147" s="21" t="str">
        <f t="shared" ref="C147:C192" si="19">proper(E147)</f>
        <v>Helion Mass In U</v>
      </c>
      <c r="D147" s="21" t="str">
        <f t="shared" si="10"/>
        <v>Masse de l'hélion en u</v>
      </c>
      <c r="E147" s="17" t="s">
        <v>2067</v>
      </c>
      <c r="F147" s="17" t="s">
        <v>2598</v>
      </c>
      <c r="G147" s="18" t="s">
        <v>249</v>
      </c>
      <c r="H147" s="18" t="str">
        <f t="shared" si="17"/>
        <v>u</v>
      </c>
      <c r="I147" s="17">
        <f>if(H147="","", countif(Units!A:A,H147))</f>
        <v>1</v>
      </c>
      <c r="J147" s="18" t="s">
        <v>758</v>
      </c>
      <c r="K147" s="28">
        <f>countif(Quantities!A:A,J147)</f>
        <v>1</v>
      </c>
      <c r="L147" s="30" t="b">
        <f t="shared" si="4"/>
        <v>0</v>
      </c>
      <c r="M147" s="17" t="s">
        <v>2594</v>
      </c>
      <c r="N147" s="34" t="str">
        <f t="shared" si="5"/>
        <v>qudt</v>
      </c>
      <c r="O147" s="18" t="b">
        <f t="shared" si="6"/>
        <v>1</v>
      </c>
      <c r="P147" s="39"/>
      <c r="Q147" s="39"/>
      <c r="R147" s="39" t="str">
        <f t="shared" si="7"/>
        <v/>
      </c>
      <c r="S147" s="43">
        <f t="shared" si="8"/>
        <v>7</v>
      </c>
      <c r="T147" s="21">
        <f>countif('v2022'!E:E,A147)</f>
        <v>1</v>
      </c>
      <c r="U147" s="21">
        <f>countif('v2018'!E:E,A147)</f>
        <v>1</v>
      </c>
      <c r="V147" s="21">
        <f>countif('v2014'!E:E,A147)</f>
        <v>1</v>
      </c>
      <c r="W147" s="21">
        <f>countif('v2010'!E:E,A147)</f>
        <v>1</v>
      </c>
      <c r="X147" s="21">
        <f>countif('v2006'!E:E,A147)</f>
        <v>1</v>
      </c>
      <c r="Y147" s="21">
        <f>countif('v2002'!E:E,A147)</f>
        <v>1</v>
      </c>
      <c r="Z147" s="21">
        <f>countif('v1998'!E:E,A147)</f>
        <v>1</v>
      </c>
    </row>
    <row r="148">
      <c r="A148" s="17" t="s">
        <v>2613</v>
      </c>
      <c r="B148" s="18" t="s">
        <v>763</v>
      </c>
      <c r="C148" s="21" t="str">
        <f t="shared" si="19"/>
        <v>Helion Molar Mass</v>
      </c>
      <c r="D148" s="21" t="str">
        <f t="shared" si="10"/>
        <v>Masse molaire de l'hélion</v>
      </c>
      <c r="E148" s="17" t="s">
        <v>2070</v>
      </c>
      <c r="F148" s="17" t="s">
        <v>2618</v>
      </c>
      <c r="G148" s="18" t="s">
        <v>286</v>
      </c>
      <c r="H148" s="18" t="str">
        <f t="shared" si="17"/>
        <v>kg_mol-1</v>
      </c>
      <c r="I148" s="17">
        <f>if(H148="","", countif(Units!A:A,H148))</f>
        <v>1</v>
      </c>
      <c r="J148" s="18" t="s">
        <v>763</v>
      </c>
      <c r="K148" s="28">
        <f>countif(Quantities!A:A,J148)</f>
        <v>1</v>
      </c>
      <c r="L148" s="30" t="b">
        <f t="shared" si="4"/>
        <v>1</v>
      </c>
      <c r="M148" s="17" t="s">
        <v>763</v>
      </c>
      <c r="N148" s="34" t="str">
        <f t="shared" si="5"/>
        <v>qudt</v>
      </c>
      <c r="O148" s="18" t="b">
        <f t="shared" si="6"/>
        <v>1</v>
      </c>
      <c r="P148" s="39"/>
      <c r="Q148" s="39"/>
      <c r="R148" s="39" t="str">
        <f t="shared" si="7"/>
        <v/>
      </c>
      <c r="S148" s="43">
        <f t="shared" si="8"/>
        <v>7</v>
      </c>
      <c r="T148" s="21">
        <f>countif('v2022'!E:E,A148)</f>
        <v>1</v>
      </c>
      <c r="U148" s="21">
        <f>countif('v2018'!E:E,A148)</f>
        <v>1</v>
      </c>
      <c r="V148" s="21">
        <f>countif('v2014'!E:E,A148)</f>
        <v>1</v>
      </c>
      <c r="W148" s="21">
        <f>countif('v2010'!E:E,A148)</f>
        <v>1</v>
      </c>
      <c r="X148" s="21">
        <f>countif('v2006'!E:E,A148)</f>
        <v>1</v>
      </c>
      <c r="Y148" s="21">
        <f>countif('v2002'!E:E,A148)</f>
        <v>1</v>
      </c>
      <c r="Z148" s="21">
        <f>countif('v1998'!E:E,A148)</f>
        <v>1</v>
      </c>
    </row>
    <row r="149">
      <c r="A149" s="17" t="s">
        <v>2627</v>
      </c>
      <c r="B149" s="18" t="s">
        <v>766</v>
      </c>
      <c r="C149" s="21" t="str">
        <f t="shared" si="19"/>
        <v>Helion-Proton Mass Ratio</v>
      </c>
      <c r="D149" s="21" t="str">
        <f t="shared" si="10"/>
        <v>Rapport de la masse de l'hélion à celle du proton</v>
      </c>
      <c r="E149" s="17" t="s">
        <v>2073</v>
      </c>
      <c r="F149" s="17" t="s">
        <v>2631</v>
      </c>
      <c r="H149" s="18" t="str">
        <f t="shared" si="17"/>
        <v/>
      </c>
      <c r="I149" s="17" t="str">
        <f>if(H149="","", countif(Units!A:A,H149))</f>
        <v/>
      </c>
      <c r="J149" s="18" t="s">
        <v>766</v>
      </c>
      <c r="K149" s="28">
        <f>countif(Quantities!A:A,J149)</f>
        <v>1</v>
      </c>
      <c r="L149" s="30" t="b">
        <f t="shared" si="4"/>
        <v>1</v>
      </c>
      <c r="M149" s="17" t="s">
        <v>766</v>
      </c>
      <c r="N149" s="34" t="str">
        <f t="shared" si="5"/>
        <v>qudt</v>
      </c>
      <c r="O149" s="18" t="b">
        <f t="shared" si="6"/>
        <v>1</v>
      </c>
      <c r="P149" s="39"/>
      <c r="Q149" s="39"/>
      <c r="R149" s="39" t="str">
        <f t="shared" si="7"/>
        <v/>
      </c>
      <c r="S149" s="43">
        <f t="shared" si="8"/>
        <v>7</v>
      </c>
      <c r="T149" s="21">
        <f>countif('v2022'!E:E,A149)</f>
        <v>1</v>
      </c>
      <c r="U149" s="21">
        <f>countif('v2018'!E:E,A149)</f>
        <v>1</v>
      </c>
      <c r="V149" s="21">
        <f>countif('v2014'!E:E,A149)</f>
        <v>1</v>
      </c>
      <c r="W149" s="21">
        <f>countif('v2010'!E:E,A149)</f>
        <v>1</v>
      </c>
      <c r="X149" s="21">
        <f>countif('v2006'!E:E,A149)</f>
        <v>1</v>
      </c>
      <c r="Y149" s="21">
        <f>countif('v2002'!E:E,A149)</f>
        <v>1</v>
      </c>
      <c r="Z149" s="21">
        <f>countif('v1998'!E:E,A149)</f>
        <v>1</v>
      </c>
    </row>
    <row r="150">
      <c r="A150" s="17" t="s">
        <v>2638</v>
      </c>
      <c r="B150" s="18" t="s">
        <v>773</v>
      </c>
      <c r="C150" s="21" t="str">
        <f t="shared" si="19"/>
        <v>Helion Relative Atomic Mass</v>
      </c>
      <c r="D150" s="21" t="str">
        <f t="shared" si="10"/>
        <v>Masse atomique relative de l'hélion</v>
      </c>
      <c r="E150" s="17" t="s">
        <v>2079</v>
      </c>
      <c r="F150" s="17" t="s">
        <v>2639</v>
      </c>
      <c r="H150" s="18" t="str">
        <f t="shared" si="17"/>
        <v/>
      </c>
      <c r="I150" s="17" t="str">
        <f>if(H150="","", countif(Units!A:A,H150))</f>
        <v/>
      </c>
      <c r="J150" s="18" t="s">
        <v>773</v>
      </c>
      <c r="K150" s="28">
        <f>countif(Quantities!A:A,J150)</f>
        <v>1</v>
      </c>
      <c r="L150" s="30" t="b">
        <f t="shared" si="4"/>
        <v>1</v>
      </c>
      <c r="N150" s="39" t="str">
        <f t="shared" si="5"/>
        <v/>
      </c>
      <c r="O150" s="18" t="b">
        <f t="shared" si="6"/>
        <v>0</v>
      </c>
      <c r="P150" s="23"/>
      <c r="Q150" s="23"/>
      <c r="R150" s="39" t="str">
        <f t="shared" si="7"/>
        <v/>
      </c>
      <c r="S150" s="43">
        <f t="shared" si="8"/>
        <v>2</v>
      </c>
      <c r="T150" s="21">
        <f>countif('v2022'!E:E,A150)</f>
        <v>1</v>
      </c>
      <c r="U150" s="21">
        <f>countif('v2018'!E:E,A150)</f>
        <v>1</v>
      </c>
      <c r="V150" s="21">
        <f>countif('v2014'!E:E,A150)</f>
        <v>0</v>
      </c>
      <c r="W150" s="21">
        <f>countif('v2010'!E:E,A150)</f>
        <v>0</v>
      </c>
      <c r="X150" s="21">
        <f>countif('v2006'!E:E,A150)</f>
        <v>0</v>
      </c>
      <c r="Y150" s="21">
        <f>countif('v2002'!E:E,A150)</f>
        <v>0</v>
      </c>
      <c r="Z150" s="21">
        <f>countif('v1998'!E:E,A150)</f>
        <v>0</v>
      </c>
    </row>
    <row r="151">
      <c r="A151" s="17" t="s">
        <v>2652</v>
      </c>
      <c r="B151" s="18" t="s">
        <v>776</v>
      </c>
      <c r="C151" s="21" t="str">
        <f t="shared" si="19"/>
        <v>Helion Shielding Shift</v>
      </c>
      <c r="D151" s="21" t="str">
        <f t="shared" si="10"/>
        <v>Décalage de l'hélion écranté</v>
      </c>
      <c r="E151" s="17" t="s">
        <v>2086</v>
      </c>
      <c r="F151" s="17" t="s">
        <v>2656</v>
      </c>
      <c r="H151" s="18" t="str">
        <f t="shared" si="17"/>
        <v/>
      </c>
      <c r="I151" s="17" t="str">
        <f>if(H151="","", countif(Units!A:A,H151))</f>
        <v/>
      </c>
      <c r="J151" s="18" t="s">
        <v>776</v>
      </c>
      <c r="K151" s="28">
        <f>countif(Quantities!A:A,J151)</f>
        <v>1</v>
      </c>
      <c r="L151" s="30" t="b">
        <f t="shared" si="4"/>
        <v>1</v>
      </c>
      <c r="N151" s="39" t="str">
        <f t="shared" si="5"/>
        <v/>
      </c>
      <c r="O151" s="18" t="b">
        <f t="shared" si="6"/>
        <v>0</v>
      </c>
      <c r="P151" s="23"/>
      <c r="Q151" s="23"/>
      <c r="R151" s="39" t="str">
        <f t="shared" si="7"/>
        <v/>
      </c>
      <c r="S151" s="43">
        <f t="shared" si="8"/>
        <v>2</v>
      </c>
      <c r="T151" s="21">
        <f>countif('v2022'!E:E,A151)</f>
        <v>1</v>
      </c>
      <c r="U151" s="21">
        <f>countif('v2018'!E:E,A151)</f>
        <v>1</v>
      </c>
      <c r="V151" s="21">
        <f>countif('v2014'!E:E,A151)</f>
        <v>0</v>
      </c>
      <c r="W151" s="21">
        <f>countif('v2010'!E:E,A151)</f>
        <v>0</v>
      </c>
      <c r="X151" s="21">
        <f>countif('v2006'!E:E,A151)</f>
        <v>0</v>
      </c>
      <c r="Y151" s="21">
        <f>countif('v2002'!E:E,A151)</f>
        <v>0</v>
      </c>
      <c r="Z151" s="21">
        <f>countif('v1998'!E:E,A151)</f>
        <v>0</v>
      </c>
    </row>
    <row r="152">
      <c r="A152" s="17" t="s">
        <v>2666</v>
      </c>
      <c r="B152" s="18" t="s">
        <v>778</v>
      </c>
      <c r="C152" s="21" t="str">
        <f t="shared" si="19"/>
        <v>Hertz - Atomic Mass Unit Relationship</v>
      </c>
      <c r="D152" s="21" t="str">
        <f t="shared" si="10"/>
        <v>Relation entre le hertz et l'unité de masse atomique</v>
      </c>
      <c r="E152" s="17" t="s">
        <v>2667</v>
      </c>
      <c r="F152" s="17" t="s">
        <v>2668</v>
      </c>
      <c r="G152" s="18" t="s">
        <v>249</v>
      </c>
      <c r="H152" s="18" t="str">
        <f t="shared" si="17"/>
        <v>u</v>
      </c>
      <c r="I152" s="17">
        <f>if(H152="","", countif(Units!A:A,H152))</f>
        <v>1</v>
      </c>
      <c r="J152" s="18" t="s">
        <v>778</v>
      </c>
      <c r="K152" s="28">
        <f>countif(Quantities!A:A,J152)</f>
        <v>1</v>
      </c>
      <c r="L152" s="30" t="b">
        <f t="shared" si="4"/>
        <v>1</v>
      </c>
      <c r="M152" s="17" t="s">
        <v>778</v>
      </c>
      <c r="N152" s="34" t="str">
        <f t="shared" si="5"/>
        <v>qudt</v>
      </c>
      <c r="O152" s="18" t="b">
        <f t="shared" si="6"/>
        <v>1</v>
      </c>
      <c r="P152" s="39"/>
      <c r="Q152" s="39"/>
      <c r="R152" s="39" t="str">
        <f t="shared" si="7"/>
        <v/>
      </c>
      <c r="S152" s="43">
        <f t="shared" si="8"/>
        <v>7</v>
      </c>
      <c r="T152" s="21">
        <f>countif('v2022'!E:E,A152)</f>
        <v>1</v>
      </c>
      <c r="U152" s="21">
        <f>countif('v2018'!E:E,A152)</f>
        <v>1</v>
      </c>
      <c r="V152" s="21">
        <f>countif('v2014'!E:E,A152)</f>
        <v>1</v>
      </c>
      <c r="W152" s="21">
        <f>countif('v2010'!E:E,A152)</f>
        <v>1</v>
      </c>
      <c r="X152" s="21">
        <f>countif('v2006'!E:E,A152)</f>
        <v>1</v>
      </c>
      <c r="Y152" s="21">
        <f>countif('v2002'!E:E,A152)</f>
        <v>1</v>
      </c>
      <c r="Z152" s="21">
        <f>countif('v1998'!E:E,A152)</f>
        <v>1</v>
      </c>
    </row>
    <row r="153">
      <c r="A153" s="17" t="s">
        <v>2678</v>
      </c>
      <c r="B153" s="18" t="s">
        <v>781</v>
      </c>
      <c r="C153" s="21" t="str">
        <f t="shared" si="19"/>
        <v>Hertz - Electronvolt Relationship</v>
      </c>
      <c r="D153" s="21" t="str">
        <f t="shared" si="10"/>
        <v>Relation entre le hertz et l'électronvolt</v>
      </c>
      <c r="E153" s="17" t="s">
        <v>2679</v>
      </c>
      <c r="F153" s="17" t="s">
        <v>2680</v>
      </c>
      <c r="G153" s="18" t="s">
        <v>181</v>
      </c>
      <c r="H153" s="18" t="str">
        <f t="shared" si="17"/>
        <v>eV</v>
      </c>
      <c r="I153" s="17">
        <f>if(H153="","", countif(Units!A:A,H153))</f>
        <v>1</v>
      </c>
      <c r="J153" s="18" t="s">
        <v>781</v>
      </c>
      <c r="K153" s="28">
        <f>countif(Quantities!A:A,J153)</f>
        <v>1</v>
      </c>
      <c r="L153" s="30" t="b">
        <f t="shared" si="4"/>
        <v>1</v>
      </c>
      <c r="M153" s="17" t="s">
        <v>781</v>
      </c>
      <c r="N153" s="34" t="str">
        <f t="shared" si="5"/>
        <v>qudt</v>
      </c>
      <c r="O153" s="18" t="b">
        <f t="shared" si="6"/>
        <v>1</v>
      </c>
      <c r="P153" s="39"/>
      <c r="Q153" s="39"/>
      <c r="R153" s="39" t="str">
        <f t="shared" si="7"/>
        <v/>
      </c>
      <c r="S153" s="43">
        <f t="shared" si="8"/>
        <v>7</v>
      </c>
      <c r="T153" s="21">
        <f>countif('v2022'!E:E,A153)</f>
        <v>1</v>
      </c>
      <c r="U153" s="21">
        <f>countif('v2018'!E:E,A153)</f>
        <v>1</v>
      </c>
      <c r="V153" s="21">
        <f>countif('v2014'!E:E,A153)</f>
        <v>1</v>
      </c>
      <c r="W153" s="21">
        <f>countif('v2010'!E:E,A153)</f>
        <v>1</v>
      </c>
      <c r="X153" s="21">
        <f>countif('v2006'!E:E,A153)</f>
        <v>1</v>
      </c>
      <c r="Y153" s="21">
        <f>countif('v2002'!E:E,A153)</f>
        <v>1</v>
      </c>
      <c r="Z153" s="21">
        <f>countif('v1998'!E:E,A153)</f>
        <v>1</v>
      </c>
    </row>
    <row r="154">
      <c r="A154" s="17" t="s">
        <v>2686</v>
      </c>
      <c r="B154" s="18" t="s">
        <v>783</v>
      </c>
      <c r="C154" s="21" t="str">
        <f t="shared" si="19"/>
        <v>Hertz - Hartree Relationship</v>
      </c>
      <c r="D154" s="21" t="str">
        <f t="shared" si="10"/>
        <v>Relation entre le hertz et le hartree</v>
      </c>
      <c r="E154" s="17" t="s">
        <v>2687</v>
      </c>
      <c r="F154" s="17" t="s">
        <v>2688</v>
      </c>
      <c r="G154" s="18" t="s">
        <v>170</v>
      </c>
      <c r="H154" s="18" t="str">
        <f t="shared" si="17"/>
        <v>E_h</v>
      </c>
      <c r="I154" s="17">
        <f>if(H154="","", countif(Units!A:A,H154))</f>
        <v>1</v>
      </c>
      <c r="J154" s="18" t="s">
        <v>783</v>
      </c>
      <c r="K154" s="28">
        <f>countif(Quantities!A:A,J154)</f>
        <v>1</v>
      </c>
      <c r="L154" s="30" t="b">
        <f t="shared" si="4"/>
        <v>1</v>
      </c>
      <c r="M154" s="17" t="s">
        <v>783</v>
      </c>
      <c r="N154" s="34" t="str">
        <f t="shared" si="5"/>
        <v>qudt</v>
      </c>
      <c r="O154" s="18" t="b">
        <f t="shared" si="6"/>
        <v>1</v>
      </c>
      <c r="P154" s="39"/>
      <c r="Q154" s="39"/>
      <c r="R154" s="39" t="str">
        <f t="shared" si="7"/>
        <v/>
      </c>
      <c r="S154" s="43">
        <f t="shared" si="8"/>
        <v>7</v>
      </c>
      <c r="T154" s="21">
        <f>countif('v2022'!E:E,A154)</f>
        <v>1</v>
      </c>
      <c r="U154" s="21">
        <f>countif('v2018'!E:E,A154)</f>
        <v>1</v>
      </c>
      <c r="V154" s="21">
        <f>countif('v2014'!E:E,A154)</f>
        <v>1</v>
      </c>
      <c r="W154" s="21">
        <f>countif('v2010'!E:E,A154)</f>
        <v>1</v>
      </c>
      <c r="X154" s="21">
        <f>countif('v2006'!E:E,A154)</f>
        <v>1</v>
      </c>
      <c r="Y154" s="21">
        <f>countif('v2002'!E:E,A154)</f>
        <v>1</v>
      </c>
      <c r="Z154" s="21">
        <f>countif('v1998'!E:E,A154)</f>
        <v>1</v>
      </c>
    </row>
    <row r="155">
      <c r="A155" s="17" t="s">
        <v>2692</v>
      </c>
      <c r="B155" s="18" t="s">
        <v>790</v>
      </c>
      <c r="C155" s="21" t="str">
        <f t="shared" si="19"/>
        <v>Hertz - Inverse Meter Relationship</v>
      </c>
      <c r="D155" s="21" t="str">
        <f t="shared" si="10"/>
        <v>Relation entre le hertz et l'inverse du mètre</v>
      </c>
      <c r="E155" s="17" t="s">
        <v>2693</v>
      </c>
      <c r="F155" s="17" t="s">
        <v>2694</v>
      </c>
      <c r="G155" s="18" t="s">
        <v>561</v>
      </c>
      <c r="H155" s="18" t="str">
        <f t="shared" si="17"/>
        <v>m-1</v>
      </c>
      <c r="I155" s="17">
        <f>if(H155="","", countif(Units!A:A,H155))</f>
        <v>1</v>
      </c>
      <c r="J155" s="18" t="s">
        <v>790</v>
      </c>
      <c r="K155" s="28">
        <f>countif(Quantities!A:A,J155)</f>
        <v>1</v>
      </c>
      <c r="L155" s="30" t="b">
        <f t="shared" si="4"/>
        <v>1</v>
      </c>
      <c r="M155" s="17" t="s">
        <v>790</v>
      </c>
      <c r="N155" s="34" t="str">
        <f t="shared" si="5"/>
        <v>qudt</v>
      </c>
      <c r="O155" s="18" t="b">
        <f t="shared" si="6"/>
        <v>1</v>
      </c>
      <c r="P155" s="39"/>
      <c r="Q155" s="39"/>
      <c r="R155" s="39" t="str">
        <f t="shared" si="7"/>
        <v/>
      </c>
      <c r="S155" s="43">
        <f t="shared" si="8"/>
        <v>7</v>
      </c>
      <c r="T155" s="21">
        <f>countif('v2022'!E:E,A155)</f>
        <v>1</v>
      </c>
      <c r="U155" s="21">
        <f>countif('v2018'!E:E,A155)</f>
        <v>1</v>
      </c>
      <c r="V155" s="21">
        <f>countif('v2014'!E:E,A155)</f>
        <v>1</v>
      </c>
      <c r="W155" s="21">
        <f>countif('v2010'!E:E,A155)</f>
        <v>1</v>
      </c>
      <c r="X155" s="21">
        <f>countif('v2006'!E:E,A155)</f>
        <v>1</v>
      </c>
      <c r="Y155" s="21">
        <f>countif('v2002'!E:E,A155)</f>
        <v>1</v>
      </c>
      <c r="Z155" s="21">
        <f>countif('v1998'!E:E,A155)</f>
        <v>1</v>
      </c>
    </row>
    <row r="156">
      <c r="A156" s="17" t="s">
        <v>2699</v>
      </c>
      <c r="B156" s="18" t="s">
        <v>793</v>
      </c>
      <c r="C156" s="21" t="str">
        <f t="shared" si="19"/>
        <v>Hertz - Joule Relationship</v>
      </c>
      <c r="D156" s="21" t="str">
        <f t="shared" si="10"/>
        <v>Relation entre le hertz et le joule</v>
      </c>
      <c r="E156" s="17" t="s">
        <v>2703</v>
      </c>
      <c r="F156" s="17" t="s">
        <v>2704</v>
      </c>
      <c r="G156" s="18" t="s">
        <v>173</v>
      </c>
      <c r="H156" s="18" t="str">
        <f t="shared" si="17"/>
        <v>J</v>
      </c>
      <c r="I156" s="17">
        <f>if(H156="","", countif(Units!A:A,H156))</f>
        <v>1</v>
      </c>
      <c r="J156" s="18" t="s">
        <v>793</v>
      </c>
      <c r="K156" s="28">
        <f>countif(Quantities!A:A,J156)</f>
        <v>1</v>
      </c>
      <c r="L156" s="30" t="b">
        <f t="shared" si="4"/>
        <v>1</v>
      </c>
      <c r="M156" s="17" t="s">
        <v>793</v>
      </c>
      <c r="N156" s="34" t="str">
        <f t="shared" si="5"/>
        <v>qudt</v>
      </c>
      <c r="O156" s="18" t="b">
        <f t="shared" si="6"/>
        <v>1</v>
      </c>
      <c r="P156" s="39"/>
      <c r="Q156" s="39"/>
      <c r="R156" s="39" t="str">
        <f t="shared" si="7"/>
        <v/>
      </c>
      <c r="S156" s="43">
        <f t="shared" si="8"/>
        <v>7</v>
      </c>
      <c r="T156" s="21">
        <f>countif('v2022'!E:E,A156)</f>
        <v>1</v>
      </c>
      <c r="U156" s="21">
        <f>countif('v2018'!E:E,A156)</f>
        <v>1</v>
      </c>
      <c r="V156" s="21">
        <f>countif('v2014'!E:E,A156)</f>
        <v>1</v>
      </c>
      <c r="W156" s="21">
        <f>countif('v2010'!E:E,A156)</f>
        <v>1</v>
      </c>
      <c r="X156" s="21">
        <f>countif('v2006'!E:E,A156)</f>
        <v>1</v>
      </c>
      <c r="Y156" s="21">
        <f>countif('v2002'!E:E,A156)</f>
        <v>1</v>
      </c>
      <c r="Z156" s="21">
        <f>countif('v1998'!E:E,A156)</f>
        <v>1</v>
      </c>
    </row>
    <row r="157">
      <c r="A157" s="17" t="s">
        <v>2708</v>
      </c>
      <c r="B157" s="18" t="s">
        <v>795</v>
      </c>
      <c r="C157" s="21" t="str">
        <f t="shared" si="19"/>
        <v>Hertz - Kelvin Relationship</v>
      </c>
      <c r="D157" s="21" t="str">
        <f t="shared" si="10"/>
        <v>Relation entre le hertz et le kelvin</v>
      </c>
      <c r="E157" s="17" t="s">
        <v>2709</v>
      </c>
      <c r="F157" s="17" t="s">
        <v>2710</v>
      </c>
      <c r="G157" s="18" t="s">
        <v>345</v>
      </c>
      <c r="H157" s="18" t="str">
        <f t="shared" si="17"/>
        <v>K</v>
      </c>
      <c r="I157" s="17">
        <f>if(H157="","", countif(Units!A:A,H157))</f>
        <v>1</v>
      </c>
      <c r="J157" s="18" t="s">
        <v>795</v>
      </c>
      <c r="K157" s="28">
        <f>countif(Quantities!A:A,J157)</f>
        <v>1</v>
      </c>
      <c r="L157" s="30" t="b">
        <f t="shared" si="4"/>
        <v>1</v>
      </c>
      <c r="M157" s="17" t="s">
        <v>795</v>
      </c>
      <c r="N157" s="34" t="str">
        <f t="shared" si="5"/>
        <v>qudt</v>
      </c>
      <c r="O157" s="18" t="b">
        <f t="shared" si="6"/>
        <v>1</v>
      </c>
      <c r="P157" s="39"/>
      <c r="Q157" s="39"/>
      <c r="R157" s="39" t="str">
        <f t="shared" si="7"/>
        <v/>
      </c>
      <c r="S157" s="43">
        <f t="shared" si="8"/>
        <v>7</v>
      </c>
      <c r="T157" s="21">
        <f>countif('v2022'!E:E,A157)</f>
        <v>1</v>
      </c>
      <c r="U157" s="21">
        <f>countif('v2018'!E:E,A157)</f>
        <v>1</v>
      </c>
      <c r="V157" s="21">
        <f>countif('v2014'!E:E,A157)</f>
        <v>1</v>
      </c>
      <c r="W157" s="21">
        <f>countif('v2010'!E:E,A157)</f>
        <v>1</v>
      </c>
      <c r="X157" s="21">
        <f>countif('v2006'!E:E,A157)</f>
        <v>1</v>
      </c>
      <c r="Y157" s="21">
        <f>countif('v2002'!E:E,A157)</f>
        <v>1</v>
      </c>
      <c r="Z157" s="21">
        <f>countif('v1998'!E:E,A157)</f>
        <v>1</v>
      </c>
    </row>
    <row r="158">
      <c r="A158" s="17" t="s">
        <v>2722</v>
      </c>
      <c r="B158" s="18" t="s">
        <v>799</v>
      </c>
      <c r="C158" s="21" t="str">
        <f t="shared" si="19"/>
        <v>Hertz - Kilogram Relationship</v>
      </c>
      <c r="D158" s="21" t="str">
        <f t="shared" si="10"/>
        <v>Relation entre le hertz et le kilogramme</v>
      </c>
      <c r="E158" s="17" t="s">
        <v>2723</v>
      </c>
      <c r="F158" s="17" t="s">
        <v>2724</v>
      </c>
      <c r="G158" s="18" t="s">
        <v>98</v>
      </c>
      <c r="H158" s="18" t="str">
        <f t="shared" si="17"/>
        <v>kg</v>
      </c>
      <c r="I158" s="17">
        <f>if(H158="","", countif(Units!A:A,H158))</f>
        <v>1</v>
      </c>
      <c r="J158" s="18" t="s">
        <v>799</v>
      </c>
      <c r="K158" s="28">
        <f>countif(Quantities!A:A,J158)</f>
        <v>1</v>
      </c>
      <c r="L158" s="30" t="b">
        <f t="shared" si="4"/>
        <v>1</v>
      </c>
      <c r="M158" s="17" t="s">
        <v>799</v>
      </c>
      <c r="N158" s="34" t="str">
        <f t="shared" si="5"/>
        <v>qudt</v>
      </c>
      <c r="O158" s="18" t="b">
        <f t="shared" si="6"/>
        <v>1</v>
      </c>
      <c r="P158" s="39"/>
      <c r="Q158" s="39"/>
      <c r="R158" s="39" t="str">
        <f t="shared" si="7"/>
        <v/>
      </c>
      <c r="S158" s="43">
        <f t="shared" si="8"/>
        <v>7</v>
      </c>
      <c r="T158" s="21">
        <f>countif('v2022'!E:E,A158)</f>
        <v>1</v>
      </c>
      <c r="U158" s="21">
        <f>countif('v2018'!E:E,A158)</f>
        <v>1</v>
      </c>
      <c r="V158" s="21">
        <f>countif('v2014'!E:E,A158)</f>
        <v>1</v>
      </c>
      <c r="W158" s="21">
        <f>countif('v2010'!E:E,A158)</f>
        <v>1</v>
      </c>
      <c r="X158" s="21">
        <f>countif('v2006'!E:E,A158)</f>
        <v>1</v>
      </c>
      <c r="Y158" s="21">
        <f>countif('v2002'!E:E,A158)</f>
        <v>1</v>
      </c>
      <c r="Z158" s="21">
        <f>countif('v1998'!E:E,A158)</f>
        <v>1</v>
      </c>
    </row>
    <row r="159">
      <c r="A159" s="17" t="s">
        <v>2738</v>
      </c>
      <c r="B159" s="17" t="s">
        <v>802</v>
      </c>
      <c r="C159" s="21" t="str">
        <f t="shared" si="19"/>
        <v>Hyperfine Transition Frequency Of Cs-133</v>
      </c>
      <c r="D159" s="21" t="str">
        <f t="shared" si="10"/>
        <v>Fréquence de transition hyperfine du Cs133</v>
      </c>
      <c r="E159" s="17" t="s">
        <v>2121</v>
      </c>
      <c r="F159" s="17" t="s">
        <v>2739</v>
      </c>
      <c r="G159" s="18" t="s">
        <v>257</v>
      </c>
      <c r="H159" s="18" t="str">
        <f t="shared" si="17"/>
        <v>Hz</v>
      </c>
      <c r="I159" s="17">
        <f>if(H159="","", countif(Units!A:A,H159))</f>
        <v>1</v>
      </c>
      <c r="J159" s="17" t="s">
        <v>802</v>
      </c>
      <c r="K159" s="28">
        <f>countif(Quantities!A:A,J159)</f>
        <v>1</v>
      </c>
      <c r="L159" s="30" t="b">
        <f t="shared" si="4"/>
        <v>1</v>
      </c>
      <c r="N159" s="39" t="str">
        <f t="shared" si="5"/>
        <v/>
      </c>
      <c r="O159" s="18" t="b">
        <f t="shared" si="6"/>
        <v>0</v>
      </c>
      <c r="P159" s="39"/>
      <c r="Q159" s="39" t="s">
        <v>2744</v>
      </c>
      <c r="R159" s="34" t="str">
        <f t="shared" si="7"/>
        <v>SI</v>
      </c>
      <c r="S159" s="43">
        <f t="shared" si="8"/>
        <v>2</v>
      </c>
      <c r="T159" s="21">
        <f>countif('v2022'!E:E,A159)</f>
        <v>1</v>
      </c>
      <c r="U159" s="21">
        <f>countif('v2018'!E:E,A159)</f>
        <v>1</v>
      </c>
      <c r="V159" s="21">
        <f>countif('v2014'!E:E,A159)</f>
        <v>0</v>
      </c>
      <c r="W159" s="21">
        <f>countif('v2010'!E:E,A159)</f>
        <v>0</v>
      </c>
      <c r="X159" s="21">
        <f>countif('v2006'!E:E,A159)</f>
        <v>0</v>
      </c>
      <c r="Y159" s="21">
        <f>countif('v2002'!E:E,A159)</f>
        <v>0</v>
      </c>
      <c r="Z159" s="21">
        <f>countif('v1998'!E:E,A159)</f>
        <v>0</v>
      </c>
    </row>
    <row r="160">
      <c r="A160" s="17" t="s">
        <v>2750</v>
      </c>
      <c r="B160" s="18" t="s">
        <v>807</v>
      </c>
      <c r="C160" s="21" t="str">
        <f t="shared" si="19"/>
        <v>Inverse Fine-Structure Constant</v>
      </c>
      <c r="D160" s="21" t="str">
        <f t="shared" si="10"/>
        <v>Inverse de la constante de structure fine</v>
      </c>
      <c r="E160" s="17" t="s">
        <v>2126</v>
      </c>
      <c r="F160" s="17" t="s">
        <v>2751</v>
      </c>
      <c r="H160" s="18" t="str">
        <f t="shared" si="17"/>
        <v/>
      </c>
      <c r="I160" s="17" t="str">
        <f>if(H160="","", countif(Units!A:A,H160))</f>
        <v/>
      </c>
      <c r="J160" s="18" t="s">
        <v>807</v>
      </c>
      <c r="K160" s="28">
        <f>countif(Quantities!A:A,J160)</f>
        <v>1</v>
      </c>
      <c r="L160" s="30" t="b">
        <f t="shared" si="4"/>
        <v>1</v>
      </c>
      <c r="M160" s="17" t="s">
        <v>807</v>
      </c>
      <c r="N160" s="34" t="str">
        <f t="shared" si="5"/>
        <v>qudt</v>
      </c>
      <c r="O160" s="18" t="b">
        <f t="shared" si="6"/>
        <v>1</v>
      </c>
      <c r="P160" s="39"/>
      <c r="Q160" s="39"/>
      <c r="R160" s="39" t="str">
        <f t="shared" si="7"/>
        <v/>
      </c>
      <c r="S160" s="43">
        <f t="shared" si="8"/>
        <v>7</v>
      </c>
      <c r="T160" s="21">
        <f>countif('v2022'!E:E,A160)</f>
        <v>1</v>
      </c>
      <c r="U160" s="21">
        <f>countif('v2018'!E:E,A160)</f>
        <v>1</v>
      </c>
      <c r="V160" s="21">
        <f>countif('v2014'!E:E,A160)</f>
        <v>1</v>
      </c>
      <c r="W160" s="21">
        <f>countif('v2010'!E:E,A160)</f>
        <v>1</v>
      </c>
      <c r="X160" s="21">
        <f>countif('v2006'!E:E,A160)</f>
        <v>1</v>
      </c>
      <c r="Y160" s="21">
        <f>countif('v2002'!E:E,A160)</f>
        <v>1</v>
      </c>
      <c r="Z160" s="21">
        <f>countif('v1998'!E:E,A160)</f>
        <v>1</v>
      </c>
    </row>
    <row r="161">
      <c r="A161" s="17" t="s">
        <v>2762</v>
      </c>
      <c r="B161" s="18" t="s">
        <v>814</v>
      </c>
      <c r="C161" s="21" t="str">
        <f t="shared" si="19"/>
        <v>Inverse Meter - Atomic Mass Unit Relationship</v>
      </c>
      <c r="D161" s="21" t="str">
        <f t="shared" si="10"/>
        <v>Relation entre l'inverse du mètre et l'unité de masse atomique</v>
      </c>
      <c r="E161" s="17" t="s">
        <v>2763</v>
      </c>
      <c r="F161" s="17" t="s">
        <v>2764</v>
      </c>
      <c r="G161" s="18" t="s">
        <v>249</v>
      </c>
      <c r="H161" s="18" t="str">
        <f t="shared" si="17"/>
        <v>u</v>
      </c>
      <c r="I161" s="17">
        <f>if(H161="","", countif(Units!A:A,H161))</f>
        <v>1</v>
      </c>
      <c r="J161" s="18" t="s">
        <v>814</v>
      </c>
      <c r="K161" s="28">
        <f>countif(Quantities!A:A,J161)</f>
        <v>1</v>
      </c>
      <c r="L161" s="30" t="b">
        <f t="shared" si="4"/>
        <v>1</v>
      </c>
      <c r="M161" s="17" t="s">
        <v>814</v>
      </c>
      <c r="N161" s="34" t="str">
        <f t="shared" si="5"/>
        <v>qudt</v>
      </c>
      <c r="O161" s="18" t="b">
        <f t="shared" si="6"/>
        <v>1</v>
      </c>
      <c r="P161" s="39"/>
      <c r="Q161" s="39"/>
      <c r="R161" s="39" t="str">
        <f t="shared" si="7"/>
        <v/>
      </c>
      <c r="S161" s="43">
        <f t="shared" si="8"/>
        <v>7</v>
      </c>
      <c r="T161" s="21">
        <f>countif('v2022'!E:E,A161)</f>
        <v>1</v>
      </c>
      <c r="U161" s="21">
        <f>countif('v2018'!E:E,A161)</f>
        <v>1</v>
      </c>
      <c r="V161" s="21">
        <f>countif('v2014'!E:E,A161)</f>
        <v>1</v>
      </c>
      <c r="W161" s="21">
        <f>countif('v2010'!E:E,A161)</f>
        <v>1</v>
      </c>
      <c r="X161" s="21">
        <f>countif('v2006'!E:E,A161)</f>
        <v>1</v>
      </c>
      <c r="Y161" s="21">
        <f>countif('v2002'!E:E,A161)</f>
        <v>1</v>
      </c>
      <c r="Z161" s="21">
        <f>countif('v1998'!E:E,A161)</f>
        <v>1</v>
      </c>
    </row>
    <row r="162">
      <c r="A162" s="17" t="s">
        <v>2777</v>
      </c>
      <c r="B162" s="18" t="s">
        <v>818</v>
      </c>
      <c r="C162" s="21" t="str">
        <f t="shared" si="19"/>
        <v>Inverse Meter - Electronvolt Relationship</v>
      </c>
      <c r="D162" s="21" t="str">
        <f t="shared" si="10"/>
        <v>Relation entre l'inverse du mètre et l'électronvolt</v>
      </c>
      <c r="E162" s="17" t="s">
        <v>2778</v>
      </c>
      <c r="F162" s="17" t="s">
        <v>2779</v>
      </c>
      <c r="G162" s="18" t="s">
        <v>181</v>
      </c>
      <c r="H162" s="18" t="str">
        <f t="shared" si="17"/>
        <v>eV</v>
      </c>
      <c r="I162" s="17">
        <f>if(H162="","", countif(Units!A:A,H162))</f>
        <v>1</v>
      </c>
      <c r="J162" s="18" t="s">
        <v>818</v>
      </c>
      <c r="K162" s="28">
        <f>countif(Quantities!A:A,J162)</f>
        <v>1</v>
      </c>
      <c r="L162" s="30" t="b">
        <f t="shared" si="4"/>
        <v>1</v>
      </c>
      <c r="M162" s="17" t="s">
        <v>818</v>
      </c>
      <c r="N162" s="34" t="str">
        <f t="shared" si="5"/>
        <v>qudt</v>
      </c>
      <c r="O162" s="18" t="b">
        <f t="shared" si="6"/>
        <v>1</v>
      </c>
      <c r="P162" s="39"/>
      <c r="Q162" s="39"/>
      <c r="R162" s="39" t="str">
        <f t="shared" si="7"/>
        <v/>
      </c>
      <c r="S162" s="43">
        <f t="shared" si="8"/>
        <v>7</v>
      </c>
      <c r="T162" s="21">
        <f>countif('v2022'!E:E,A162)</f>
        <v>1</v>
      </c>
      <c r="U162" s="21">
        <f>countif('v2018'!E:E,A162)</f>
        <v>1</v>
      </c>
      <c r="V162" s="21">
        <f>countif('v2014'!E:E,A162)</f>
        <v>1</v>
      </c>
      <c r="W162" s="21">
        <f>countif('v2010'!E:E,A162)</f>
        <v>1</v>
      </c>
      <c r="X162" s="21">
        <f>countif('v2006'!E:E,A162)</f>
        <v>1</v>
      </c>
      <c r="Y162" s="21">
        <f>countif('v2002'!E:E,A162)</f>
        <v>1</v>
      </c>
      <c r="Z162" s="21">
        <f>countif('v1998'!E:E,A162)</f>
        <v>1</v>
      </c>
    </row>
    <row r="163">
      <c r="A163" s="17" t="s">
        <v>2793</v>
      </c>
      <c r="B163" s="18" t="s">
        <v>821</v>
      </c>
      <c r="C163" s="21" t="str">
        <f t="shared" si="19"/>
        <v>Inverse Meter-Hartree Relationship</v>
      </c>
      <c r="D163" s="21" t="str">
        <f t="shared" si="10"/>
        <v>Relation entre l'inverse du mètre et le hartree</v>
      </c>
      <c r="E163" s="17" t="s">
        <v>2137</v>
      </c>
      <c r="F163" s="17" t="s">
        <v>2794</v>
      </c>
      <c r="G163" s="18" t="s">
        <v>170</v>
      </c>
      <c r="H163" s="18" t="str">
        <f t="shared" si="17"/>
        <v>E_h</v>
      </c>
      <c r="I163" s="17">
        <f>if(H163="","", countif(Units!A:A,H163))</f>
        <v>1</v>
      </c>
      <c r="J163" s="18" t="s">
        <v>821</v>
      </c>
      <c r="K163" s="28">
        <f>countif(Quantities!A:A,J163)</f>
        <v>1</v>
      </c>
      <c r="L163" s="30" t="b">
        <f t="shared" si="4"/>
        <v>1</v>
      </c>
      <c r="M163" s="17" t="s">
        <v>821</v>
      </c>
      <c r="N163" s="34" t="str">
        <f t="shared" si="5"/>
        <v>qudt</v>
      </c>
      <c r="O163" s="18" t="b">
        <f t="shared" si="6"/>
        <v>1</v>
      </c>
      <c r="P163" s="39"/>
      <c r="Q163" s="39"/>
      <c r="R163" s="39" t="str">
        <f t="shared" si="7"/>
        <v/>
      </c>
      <c r="S163" s="43">
        <f t="shared" si="8"/>
        <v>7</v>
      </c>
      <c r="T163" s="21">
        <f>countif('v2022'!E:E,A163)</f>
        <v>1</v>
      </c>
      <c r="U163" s="21">
        <f>countif('v2018'!E:E,A163)</f>
        <v>1</v>
      </c>
      <c r="V163" s="21">
        <f>countif('v2014'!E:E,A163)</f>
        <v>1</v>
      </c>
      <c r="W163" s="21">
        <f>countif('v2010'!E:E,A163)</f>
        <v>1</v>
      </c>
      <c r="X163" s="21">
        <f>countif('v2006'!E:E,A163)</f>
        <v>1</v>
      </c>
      <c r="Y163" s="21">
        <f>countif('v2002'!E:E,A163)</f>
        <v>1</v>
      </c>
      <c r="Z163" s="21">
        <f>countif('v1998'!E:E,A163)</f>
        <v>1</v>
      </c>
    </row>
    <row r="164">
      <c r="A164" s="17" t="s">
        <v>2806</v>
      </c>
      <c r="B164" s="18" t="s">
        <v>826</v>
      </c>
      <c r="C164" s="21" t="str">
        <f t="shared" si="19"/>
        <v>Inverse Meter - Hertz Relationship</v>
      </c>
      <c r="D164" s="21" t="str">
        <f t="shared" si="10"/>
        <v>Relation entre l'inverse du mètre et le hertz</v>
      </c>
      <c r="E164" s="17" t="s">
        <v>2807</v>
      </c>
      <c r="F164" s="17" t="s">
        <v>2808</v>
      </c>
      <c r="G164" s="18" t="s">
        <v>257</v>
      </c>
      <c r="H164" s="18" t="str">
        <f t="shared" si="17"/>
        <v>Hz</v>
      </c>
      <c r="I164" s="17">
        <f>if(H164="","", countif(Units!A:A,H164))</f>
        <v>1</v>
      </c>
      <c r="J164" s="18" t="s">
        <v>826</v>
      </c>
      <c r="K164" s="28">
        <f>countif(Quantities!A:A,J164)</f>
        <v>1</v>
      </c>
      <c r="L164" s="30" t="b">
        <f t="shared" si="4"/>
        <v>1</v>
      </c>
      <c r="M164" s="17" t="s">
        <v>826</v>
      </c>
      <c r="N164" s="34" t="str">
        <f t="shared" si="5"/>
        <v>qudt</v>
      </c>
      <c r="O164" s="18" t="b">
        <f t="shared" si="6"/>
        <v>1</v>
      </c>
      <c r="P164" s="39"/>
      <c r="Q164" s="39"/>
      <c r="R164" s="39" t="str">
        <f t="shared" si="7"/>
        <v/>
      </c>
      <c r="S164" s="43">
        <f t="shared" si="8"/>
        <v>7</v>
      </c>
      <c r="T164" s="21">
        <f>countif('v2022'!E:E,A164)</f>
        <v>1</v>
      </c>
      <c r="U164" s="21">
        <f>countif('v2018'!E:E,A164)</f>
        <v>1</v>
      </c>
      <c r="V164" s="21">
        <f>countif('v2014'!E:E,A164)</f>
        <v>1</v>
      </c>
      <c r="W164" s="21">
        <f>countif('v2010'!E:E,A164)</f>
        <v>1</v>
      </c>
      <c r="X164" s="21">
        <f>countif('v2006'!E:E,A164)</f>
        <v>1</v>
      </c>
      <c r="Y164" s="21">
        <f>countif('v2002'!E:E,A164)</f>
        <v>1</v>
      </c>
      <c r="Z164" s="21">
        <f>countif('v1998'!E:E,A164)</f>
        <v>1</v>
      </c>
    </row>
    <row r="165">
      <c r="A165" s="17" t="s">
        <v>2816</v>
      </c>
      <c r="B165" s="18" t="s">
        <v>830</v>
      </c>
      <c r="C165" s="21" t="str">
        <f t="shared" si="19"/>
        <v>Inverse Meter - Joule Relationship</v>
      </c>
      <c r="D165" s="21" t="str">
        <f t="shared" si="10"/>
        <v>Relation entre l'inverse du mètre et le joule</v>
      </c>
      <c r="E165" s="17" t="s">
        <v>2819</v>
      </c>
      <c r="F165" s="17" t="s">
        <v>2820</v>
      </c>
      <c r="G165" s="18" t="s">
        <v>173</v>
      </c>
      <c r="H165" s="18" t="str">
        <f t="shared" si="17"/>
        <v>J</v>
      </c>
      <c r="I165" s="17">
        <f>if(H165="","", countif(Units!A:A,H165))</f>
        <v>1</v>
      </c>
      <c r="J165" s="18" t="s">
        <v>830</v>
      </c>
      <c r="K165" s="28">
        <f>countif(Quantities!A:A,J165)</f>
        <v>1</v>
      </c>
      <c r="L165" s="30" t="b">
        <f t="shared" si="4"/>
        <v>1</v>
      </c>
      <c r="M165" s="17" t="s">
        <v>830</v>
      </c>
      <c r="N165" s="34" t="str">
        <f t="shared" si="5"/>
        <v>qudt</v>
      </c>
      <c r="O165" s="18" t="b">
        <f t="shared" si="6"/>
        <v>1</v>
      </c>
      <c r="P165" s="39"/>
      <c r="Q165" s="39"/>
      <c r="R165" s="39" t="str">
        <f t="shared" si="7"/>
        <v/>
      </c>
      <c r="S165" s="43">
        <f t="shared" si="8"/>
        <v>7</v>
      </c>
      <c r="T165" s="21">
        <f>countif('v2022'!E:E,A165)</f>
        <v>1</v>
      </c>
      <c r="U165" s="21">
        <f>countif('v2018'!E:E,A165)</f>
        <v>1</v>
      </c>
      <c r="V165" s="21">
        <f>countif('v2014'!E:E,A165)</f>
        <v>1</v>
      </c>
      <c r="W165" s="21">
        <f>countif('v2010'!E:E,A165)</f>
        <v>1</v>
      </c>
      <c r="X165" s="21">
        <f>countif('v2006'!E:E,A165)</f>
        <v>1</v>
      </c>
      <c r="Y165" s="21">
        <f>countif('v2002'!E:E,A165)</f>
        <v>1</v>
      </c>
      <c r="Z165" s="21">
        <f>countif('v1998'!E:E,A165)</f>
        <v>1</v>
      </c>
    </row>
    <row r="166">
      <c r="A166" s="17" t="s">
        <v>2830</v>
      </c>
      <c r="B166" s="18" t="s">
        <v>838</v>
      </c>
      <c r="C166" s="21" t="str">
        <f t="shared" si="19"/>
        <v>Inverse Meter - Kelvin Relationship</v>
      </c>
      <c r="D166" s="21" t="str">
        <f t="shared" si="10"/>
        <v>Relation entre l'inverse du mètre et le kelvin</v>
      </c>
      <c r="E166" s="17" t="s">
        <v>2831</v>
      </c>
      <c r="F166" s="17" t="s">
        <v>2832</v>
      </c>
      <c r="G166" s="18" t="s">
        <v>345</v>
      </c>
      <c r="H166" s="18" t="str">
        <f t="shared" si="17"/>
        <v>K</v>
      </c>
      <c r="I166" s="17">
        <f>if(H166="","", countif(Units!A:A,H166))</f>
        <v>1</v>
      </c>
      <c r="J166" s="18" t="s">
        <v>838</v>
      </c>
      <c r="K166" s="28">
        <f>countif(Quantities!A:A,J166)</f>
        <v>1</v>
      </c>
      <c r="L166" s="30" t="b">
        <f t="shared" si="4"/>
        <v>1</v>
      </c>
      <c r="M166" s="17" t="s">
        <v>838</v>
      </c>
      <c r="N166" s="34" t="str">
        <f t="shared" si="5"/>
        <v>qudt</v>
      </c>
      <c r="O166" s="18" t="b">
        <f t="shared" si="6"/>
        <v>1</v>
      </c>
      <c r="P166" s="39"/>
      <c r="Q166" s="39"/>
      <c r="R166" s="39" t="str">
        <f t="shared" si="7"/>
        <v/>
      </c>
      <c r="S166" s="43">
        <f t="shared" si="8"/>
        <v>7</v>
      </c>
      <c r="T166" s="21">
        <f>countif('v2022'!E:E,A166)</f>
        <v>1</v>
      </c>
      <c r="U166" s="21">
        <f>countif('v2018'!E:E,A166)</f>
        <v>1</v>
      </c>
      <c r="V166" s="21">
        <f>countif('v2014'!E:E,A166)</f>
        <v>1</v>
      </c>
      <c r="W166" s="21">
        <f>countif('v2010'!E:E,A166)</f>
        <v>1</v>
      </c>
      <c r="X166" s="21">
        <f>countif('v2006'!E:E,A166)</f>
        <v>1</v>
      </c>
      <c r="Y166" s="21">
        <f>countif('v2002'!E:E,A166)</f>
        <v>1</v>
      </c>
      <c r="Z166" s="21">
        <f>countif('v1998'!E:E,A166)</f>
        <v>1</v>
      </c>
    </row>
    <row r="167">
      <c r="A167" s="17" t="s">
        <v>2842</v>
      </c>
      <c r="B167" s="18" t="s">
        <v>840</v>
      </c>
      <c r="C167" s="21" t="str">
        <f t="shared" si="19"/>
        <v>Inverse Meter - Kilogram Relationship</v>
      </c>
      <c r="D167" s="21" t="str">
        <f t="shared" si="10"/>
        <v>Relation entre l'inverse du mètre et le kilogramme</v>
      </c>
      <c r="E167" s="17" t="s">
        <v>2843</v>
      </c>
      <c r="F167" s="17" t="s">
        <v>2844</v>
      </c>
      <c r="G167" s="18" t="s">
        <v>98</v>
      </c>
      <c r="H167" s="18" t="str">
        <f t="shared" si="17"/>
        <v>kg</v>
      </c>
      <c r="I167" s="17">
        <f>if(H167="","", countif(Units!A:A,H167))</f>
        <v>1</v>
      </c>
      <c r="J167" s="18" t="s">
        <v>840</v>
      </c>
      <c r="K167" s="28">
        <f>countif(Quantities!A:A,J167)</f>
        <v>1</v>
      </c>
      <c r="L167" s="30" t="b">
        <f t="shared" si="4"/>
        <v>1</v>
      </c>
      <c r="M167" s="17" t="s">
        <v>840</v>
      </c>
      <c r="N167" s="34" t="str">
        <f t="shared" si="5"/>
        <v>qudt</v>
      </c>
      <c r="O167" s="18" t="b">
        <f t="shared" si="6"/>
        <v>1</v>
      </c>
      <c r="P167" s="39"/>
      <c r="Q167" s="39"/>
      <c r="R167" s="39" t="str">
        <f t="shared" si="7"/>
        <v/>
      </c>
      <c r="S167" s="43">
        <f t="shared" si="8"/>
        <v>7</v>
      </c>
      <c r="T167" s="21">
        <f>countif('v2022'!E:E,A167)</f>
        <v>1</v>
      </c>
      <c r="U167" s="21">
        <f>countif('v2018'!E:E,A167)</f>
        <v>1</v>
      </c>
      <c r="V167" s="21">
        <f>countif('v2014'!E:E,A167)</f>
        <v>1</v>
      </c>
      <c r="W167" s="21">
        <f>countif('v2010'!E:E,A167)</f>
        <v>1</v>
      </c>
      <c r="X167" s="21">
        <f>countif('v2006'!E:E,A167)</f>
        <v>1</v>
      </c>
      <c r="Y167" s="21">
        <f>countif('v2002'!E:E,A167)</f>
        <v>1</v>
      </c>
      <c r="Z167" s="21">
        <f>countif('v1998'!E:E,A167)</f>
        <v>1</v>
      </c>
    </row>
    <row r="168">
      <c r="A168" s="17" t="s">
        <v>2856</v>
      </c>
      <c r="B168" s="18" t="s">
        <v>845</v>
      </c>
      <c r="C168" s="21" t="str">
        <f t="shared" si="19"/>
        <v>Inverse Of Conductance Quantum</v>
      </c>
      <c r="D168" s="21" t="str">
        <f t="shared" si="10"/>
        <v>Inverse du quantum de conductance</v>
      </c>
      <c r="E168" s="17" t="s">
        <v>2159</v>
      </c>
      <c r="F168" s="17" t="s">
        <v>2857</v>
      </c>
      <c r="G168" s="18" t="s">
        <v>500</v>
      </c>
      <c r="H168" s="18" t="str">
        <f t="shared" si="17"/>
        <v>ohm</v>
      </c>
      <c r="I168" s="17">
        <f>if(H168="","", countif(Units!A:A,H168))</f>
        <v>1</v>
      </c>
      <c r="J168" s="18" t="s">
        <v>845</v>
      </c>
      <c r="K168" s="28">
        <f>countif(Quantities!A:A,J168)</f>
        <v>1</v>
      </c>
      <c r="L168" s="30" t="b">
        <f t="shared" si="4"/>
        <v>1</v>
      </c>
      <c r="M168" s="17" t="s">
        <v>845</v>
      </c>
      <c r="N168" s="34" t="str">
        <f t="shared" si="5"/>
        <v>qudt</v>
      </c>
      <c r="O168" s="18" t="b">
        <f t="shared" si="6"/>
        <v>1</v>
      </c>
      <c r="P168" s="39"/>
      <c r="Q168" s="39"/>
      <c r="R168" s="39" t="str">
        <f t="shared" si="7"/>
        <v/>
      </c>
      <c r="S168" s="43">
        <f t="shared" si="8"/>
        <v>7</v>
      </c>
      <c r="T168" s="21">
        <f>countif('v2022'!E:E,A168)</f>
        <v>1</v>
      </c>
      <c r="U168" s="21">
        <f>countif('v2018'!E:E,A168)</f>
        <v>1</v>
      </c>
      <c r="V168" s="21">
        <f>countif('v2014'!E:E,A168)</f>
        <v>1</v>
      </c>
      <c r="W168" s="21">
        <f>countif('v2010'!E:E,A168)</f>
        <v>1</v>
      </c>
      <c r="X168" s="21">
        <f>countif('v2006'!E:E,A168)</f>
        <v>1</v>
      </c>
      <c r="Y168" s="21">
        <f>countif('v2002'!E:E,A168)</f>
        <v>1</v>
      </c>
      <c r="Z168" s="21">
        <f>countif('v1998'!E:E,A168)</f>
        <v>1</v>
      </c>
    </row>
    <row r="169">
      <c r="A169" s="17" t="s">
        <v>2870</v>
      </c>
      <c r="B169" s="18" t="s">
        <v>849</v>
      </c>
      <c r="C169" s="21" t="str">
        <f t="shared" si="19"/>
        <v>Josephson Constant</v>
      </c>
      <c r="D169" s="21" t="str">
        <f t="shared" si="10"/>
        <v>Constante de Josephson</v>
      </c>
      <c r="E169" s="17" t="s">
        <v>2162</v>
      </c>
      <c r="F169" s="17" t="s">
        <v>2871</v>
      </c>
      <c r="G169" s="18" t="s">
        <v>1447</v>
      </c>
      <c r="H169" s="18" t="str">
        <f t="shared" si="17"/>
        <v>Hz_V-1</v>
      </c>
      <c r="I169" s="17">
        <f>if(H169="","", countif(Units!A:A,H169))</f>
        <v>0</v>
      </c>
      <c r="J169" s="18" t="s">
        <v>849</v>
      </c>
      <c r="K169" s="28">
        <f>countif(Quantities!A:A,J169)</f>
        <v>1</v>
      </c>
      <c r="L169" s="30" t="b">
        <f t="shared" si="4"/>
        <v>1</v>
      </c>
      <c r="M169" s="17" t="s">
        <v>849</v>
      </c>
      <c r="N169" s="34" t="str">
        <f t="shared" si="5"/>
        <v>qudt</v>
      </c>
      <c r="O169" s="18" t="b">
        <f t="shared" si="6"/>
        <v>1</v>
      </c>
      <c r="P169" s="39"/>
      <c r="Q169" s="39"/>
      <c r="R169" s="39" t="str">
        <f t="shared" si="7"/>
        <v/>
      </c>
      <c r="S169" s="43">
        <f t="shared" si="8"/>
        <v>7</v>
      </c>
      <c r="T169" s="21">
        <f>countif('v2022'!E:E,A169)</f>
        <v>1</v>
      </c>
      <c r="U169" s="21">
        <f>countif('v2018'!E:E,A169)</f>
        <v>1</v>
      </c>
      <c r="V169" s="21">
        <f>countif('v2014'!E:E,A169)</f>
        <v>1</v>
      </c>
      <c r="W169" s="21">
        <f>countif('v2010'!E:E,A169)</f>
        <v>1</v>
      </c>
      <c r="X169" s="21">
        <f>countif('v2006'!E:E,A169)</f>
        <v>1</v>
      </c>
      <c r="Y169" s="21">
        <f>countif('v2002'!E:E,A169)</f>
        <v>1</v>
      </c>
      <c r="Z169" s="21">
        <f>countif('v1998'!E:E,A169)</f>
        <v>1</v>
      </c>
    </row>
    <row r="170">
      <c r="A170" s="17" t="s">
        <v>2883</v>
      </c>
      <c r="B170" s="18" t="s">
        <v>851</v>
      </c>
      <c r="C170" s="21" t="str">
        <f t="shared" si="19"/>
        <v>Joule - Atomic Mass Unit Relationship</v>
      </c>
      <c r="D170" s="21" t="str">
        <f t="shared" si="10"/>
        <v>Relation entre le joule et l'unité de masse atomique</v>
      </c>
      <c r="E170" s="17" t="s">
        <v>2884</v>
      </c>
      <c r="F170" s="17" t="s">
        <v>2885</v>
      </c>
      <c r="G170" s="18" t="s">
        <v>249</v>
      </c>
      <c r="H170" s="18" t="str">
        <f t="shared" si="17"/>
        <v>u</v>
      </c>
      <c r="I170" s="17">
        <f>if(H170="","", countif(Units!A:A,H170))</f>
        <v>1</v>
      </c>
      <c r="J170" s="18" t="s">
        <v>851</v>
      </c>
      <c r="K170" s="28">
        <f>countif(Quantities!A:A,J170)</f>
        <v>1</v>
      </c>
      <c r="L170" s="30" t="b">
        <f t="shared" si="4"/>
        <v>1</v>
      </c>
      <c r="M170" s="17" t="s">
        <v>851</v>
      </c>
      <c r="N170" s="34" t="str">
        <f t="shared" si="5"/>
        <v>qudt</v>
      </c>
      <c r="O170" s="18" t="b">
        <f t="shared" si="6"/>
        <v>1</v>
      </c>
      <c r="P170" s="39"/>
      <c r="Q170" s="39"/>
      <c r="R170" s="39" t="str">
        <f t="shared" si="7"/>
        <v/>
      </c>
      <c r="S170" s="43">
        <f t="shared" si="8"/>
        <v>7</v>
      </c>
      <c r="T170" s="21">
        <f>countif('v2022'!E:E,A170)</f>
        <v>1</v>
      </c>
      <c r="U170" s="21">
        <f>countif('v2018'!E:E,A170)</f>
        <v>1</v>
      </c>
      <c r="V170" s="21">
        <f>countif('v2014'!E:E,A170)</f>
        <v>1</v>
      </c>
      <c r="W170" s="21">
        <f>countif('v2010'!E:E,A170)</f>
        <v>1</v>
      </c>
      <c r="X170" s="21">
        <f>countif('v2006'!E:E,A170)</f>
        <v>1</v>
      </c>
      <c r="Y170" s="21">
        <f>countif('v2002'!E:E,A170)</f>
        <v>1</v>
      </c>
      <c r="Z170" s="21">
        <f>countif('v1998'!E:E,A170)</f>
        <v>1</v>
      </c>
    </row>
    <row r="171">
      <c r="A171" s="17" t="s">
        <v>2893</v>
      </c>
      <c r="B171" s="18" t="s">
        <v>854</v>
      </c>
      <c r="C171" s="21" t="str">
        <f t="shared" si="19"/>
        <v>Joule - Electronvolt Relationship</v>
      </c>
      <c r="D171" s="21" t="str">
        <f t="shared" si="10"/>
        <v>Relation entre le joule et l'électronvolt</v>
      </c>
      <c r="E171" s="17" t="s">
        <v>2894</v>
      </c>
      <c r="F171" s="17" t="s">
        <v>2895</v>
      </c>
      <c r="G171" s="18" t="s">
        <v>181</v>
      </c>
      <c r="H171" s="18" t="str">
        <f t="shared" si="17"/>
        <v>eV</v>
      </c>
      <c r="I171" s="17">
        <f>if(H171="","", countif(Units!A:A,H171))</f>
        <v>1</v>
      </c>
      <c r="J171" s="18" t="s">
        <v>854</v>
      </c>
      <c r="K171" s="28">
        <f>countif(Quantities!A:A,J171)</f>
        <v>1</v>
      </c>
      <c r="L171" s="30" t="b">
        <f t="shared" si="4"/>
        <v>1</v>
      </c>
      <c r="M171" s="17" t="s">
        <v>854</v>
      </c>
      <c r="N171" s="34" t="str">
        <f t="shared" si="5"/>
        <v>qudt</v>
      </c>
      <c r="O171" s="18" t="b">
        <f t="shared" si="6"/>
        <v>1</v>
      </c>
      <c r="P171" s="39"/>
      <c r="Q171" s="39"/>
      <c r="R171" s="39" t="str">
        <f t="shared" si="7"/>
        <v/>
      </c>
      <c r="S171" s="43">
        <f t="shared" si="8"/>
        <v>7</v>
      </c>
      <c r="T171" s="21">
        <f>countif('v2022'!E:E,A171)</f>
        <v>1</v>
      </c>
      <c r="U171" s="21">
        <f>countif('v2018'!E:E,A171)</f>
        <v>1</v>
      </c>
      <c r="V171" s="21">
        <f>countif('v2014'!E:E,A171)</f>
        <v>1</v>
      </c>
      <c r="W171" s="21">
        <f>countif('v2010'!E:E,A171)</f>
        <v>1</v>
      </c>
      <c r="X171" s="21">
        <f>countif('v2006'!E:E,A171)</f>
        <v>1</v>
      </c>
      <c r="Y171" s="21">
        <f>countif('v2002'!E:E,A171)</f>
        <v>1</v>
      </c>
      <c r="Z171" s="21">
        <f>countif('v1998'!E:E,A171)</f>
        <v>1</v>
      </c>
    </row>
    <row r="172">
      <c r="A172" s="17" t="s">
        <v>2909</v>
      </c>
      <c r="B172" s="18" t="s">
        <v>861</v>
      </c>
      <c r="C172" s="21" t="str">
        <f t="shared" si="19"/>
        <v>Joule - Hartree Relationship</v>
      </c>
      <c r="D172" s="21" t="str">
        <f t="shared" si="10"/>
        <v>Relation entre le joule et le hartree</v>
      </c>
      <c r="E172" s="17" t="s">
        <v>2913</v>
      </c>
      <c r="F172" s="17" t="s">
        <v>2914</v>
      </c>
      <c r="G172" s="18" t="s">
        <v>170</v>
      </c>
      <c r="H172" s="18" t="str">
        <f t="shared" si="17"/>
        <v>E_h</v>
      </c>
      <c r="I172" s="17">
        <f>if(H172="","", countif(Units!A:A,H172))</f>
        <v>1</v>
      </c>
      <c r="J172" s="18" t="s">
        <v>861</v>
      </c>
      <c r="K172" s="28">
        <f>countif(Quantities!A:A,J172)</f>
        <v>1</v>
      </c>
      <c r="L172" s="30" t="b">
        <f t="shared" si="4"/>
        <v>1</v>
      </c>
      <c r="M172" s="17" t="s">
        <v>861</v>
      </c>
      <c r="N172" s="34" t="str">
        <f t="shared" si="5"/>
        <v>qudt</v>
      </c>
      <c r="O172" s="18" t="b">
        <f t="shared" si="6"/>
        <v>1</v>
      </c>
      <c r="P172" s="39"/>
      <c r="Q172" s="39"/>
      <c r="R172" s="39" t="str">
        <f t="shared" si="7"/>
        <v/>
      </c>
      <c r="S172" s="43">
        <f t="shared" si="8"/>
        <v>7</v>
      </c>
      <c r="T172" s="21">
        <f>countif('v2022'!E:E,A172)</f>
        <v>1</v>
      </c>
      <c r="U172" s="21">
        <f>countif('v2018'!E:E,A172)</f>
        <v>1</v>
      </c>
      <c r="V172" s="21">
        <f>countif('v2014'!E:E,A172)</f>
        <v>1</v>
      </c>
      <c r="W172" s="21">
        <f>countif('v2010'!E:E,A172)</f>
        <v>1</v>
      </c>
      <c r="X172" s="21">
        <f>countif('v2006'!E:E,A172)</f>
        <v>1</v>
      </c>
      <c r="Y172" s="21">
        <f>countif('v2002'!E:E,A172)</f>
        <v>1</v>
      </c>
      <c r="Z172" s="21">
        <f>countif('v1998'!E:E,A172)</f>
        <v>1</v>
      </c>
    </row>
    <row r="173">
      <c r="A173" s="17" t="s">
        <v>2923</v>
      </c>
      <c r="B173" s="18" t="s">
        <v>867</v>
      </c>
      <c r="C173" s="21" t="str">
        <f t="shared" si="19"/>
        <v>Joule - Hertz Relationship</v>
      </c>
      <c r="D173" s="21" t="str">
        <f t="shared" si="10"/>
        <v>Relation entre le joule et le hertz</v>
      </c>
      <c r="E173" s="17" t="s">
        <v>2924</v>
      </c>
      <c r="F173" s="17" t="s">
        <v>2925</v>
      </c>
      <c r="G173" s="18" t="s">
        <v>257</v>
      </c>
      <c r="H173" s="18" t="str">
        <f t="shared" si="17"/>
        <v>Hz</v>
      </c>
      <c r="I173" s="17">
        <f>if(H173="","", countif(Units!A:A,H173))</f>
        <v>1</v>
      </c>
      <c r="J173" s="18" t="s">
        <v>867</v>
      </c>
      <c r="K173" s="28">
        <f>countif(Quantities!A:A,J173)</f>
        <v>1</v>
      </c>
      <c r="L173" s="30" t="b">
        <f t="shared" si="4"/>
        <v>1</v>
      </c>
      <c r="M173" s="17" t="s">
        <v>867</v>
      </c>
      <c r="N173" s="34" t="str">
        <f t="shared" si="5"/>
        <v>qudt</v>
      </c>
      <c r="O173" s="18" t="b">
        <f t="shared" si="6"/>
        <v>1</v>
      </c>
      <c r="P173" s="39"/>
      <c r="Q173" s="39"/>
      <c r="R173" s="39" t="str">
        <f t="shared" si="7"/>
        <v/>
      </c>
      <c r="S173" s="43">
        <f t="shared" si="8"/>
        <v>7</v>
      </c>
      <c r="T173" s="21">
        <f>countif('v2022'!E:E,A173)</f>
        <v>1</v>
      </c>
      <c r="U173" s="21">
        <f>countif('v2018'!E:E,A173)</f>
        <v>1</v>
      </c>
      <c r="V173" s="21">
        <f>countif('v2014'!E:E,A173)</f>
        <v>1</v>
      </c>
      <c r="W173" s="21">
        <f>countif('v2010'!E:E,A173)</f>
        <v>1</v>
      </c>
      <c r="X173" s="21">
        <f>countif('v2006'!E:E,A173)</f>
        <v>1</v>
      </c>
      <c r="Y173" s="21">
        <f>countif('v2002'!E:E,A173)</f>
        <v>1</v>
      </c>
      <c r="Z173" s="21">
        <f>countif('v1998'!E:E,A173)</f>
        <v>1</v>
      </c>
    </row>
    <row r="174">
      <c r="A174" s="17" t="s">
        <v>2938</v>
      </c>
      <c r="B174" s="18" t="s">
        <v>870</v>
      </c>
      <c r="C174" s="21" t="str">
        <f t="shared" si="19"/>
        <v>Joule - Inverse Meter Relationship</v>
      </c>
      <c r="D174" s="21" t="str">
        <f t="shared" si="10"/>
        <v>Relation entre le joule et l'inverse du mètre</v>
      </c>
      <c r="E174" s="17" t="s">
        <v>2939</v>
      </c>
      <c r="F174" s="17" t="s">
        <v>2940</v>
      </c>
      <c r="G174" s="18" t="s">
        <v>561</v>
      </c>
      <c r="H174" s="18" t="str">
        <f t="shared" si="17"/>
        <v>m-1</v>
      </c>
      <c r="I174" s="17">
        <f>if(H174="","", countif(Units!A:A,H174))</f>
        <v>1</v>
      </c>
      <c r="J174" s="18" t="s">
        <v>870</v>
      </c>
      <c r="K174" s="28">
        <f>countif(Quantities!A:A,J174)</f>
        <v>1</v>
      </c>
      <c r="L174" s="30" t="b">
        <f t="shared" si="4"/>
        <v>1</v>
      </c>
      <c r="M174" s="17" t="s">
        <v>870</v>
      </c>
      <c r="N174" s="34" t="str">
        <f t="shared" si="5"/>
        <v>qudt</v>
      </c>
      <c r="O174" s="18" t="b">
        <f t="shared" si="6"/>
        <v>1</v>
      </c>
      <c r="P174" s="39"/>
      <c r="Q174" s="39"/>
      <c r="R174" s="39" t="str">
        <f t="shared" si="7"/>
        <v/>
      </c>
      <c r="S174" s="43">
        <f t="shared" si="8"/>
        <v>7</v>
      </c>
      <c r="T174" s="21">
        <f>countif('v2022'!E:E,A174)</f>
        <v>1</v>
      </c>
      <c r="U174" s="21">
        <f>countif('v2018'!E:E,A174)</f>
        <v>1</v>
      </c>
      <c r="V174" s="21">
        <f>countif('v2014'!E:E,A174)</f>
        <v>1</v>
      </c>
      <c r="W174" s="21">
        <f>countif('v2010'!E:E,A174)</f>
        <v>1</v>
      </c>
      <c r="X174" s="21">
        <f>countif('v2006'!E:E,A174)</f>
        <v>1</v>
      </c>
      <c r="Y174" s="21">
        <f>countif('v2002'!E:E,A174)</f>
        <v>1</v>
      </c>
      <c r="Z174" s="21">
        <f>countif('v1998'!E:E,A174)</f>
        <v>1</v>
      </c>
    </row>
    <row r="175">
      <c r="A175" s="17" t="s">
        <v>2948</v>
      </c>
      <c r="B175" s="18" t="s">
        <v>873</v>
      </c>
      <c r="C175" s="21" t="str">
        <f t="shared" si="19"/>
        <v>Joule - Kelvin Relationship</v>
      </c>
      <c r="D175" s="21" t="str">
        <f t="shared" si="10"/>
        <v>Relation entre le joule et le kelvin</v>
      </c>
      <c r="E175" s="17" t="s">
        <v>2949</v>
      </c>
      <c r="F175" s="17" t="s">
        <v>2950</v>
      </c>
      <c r="G175" s="18" t="s">
        <v>345</v>
      </c>
      <c r="H175" s="18" t="str">
        <f t="shared" si="17"/>
        <v>K</v>
      </c>
      <c r="I175" s="17">
        <f>if(H175="","", countif(Units!A:A,H175))</f>
        <v>1</v>
      </c>
      <c r="J175" s="18" t="s">
        <v>873</v>
      </c>
      <c r="K175" s="28">
        <f>countif(Quantities!A:A,J175)</f>
        <v>1</v>
      </c>
      <c r="L175" s="30" t="b">
        <f t="shared" si="4"/>
        <v>1</v>
      </c>
      <c r="M175" s="17" t="s">
        <v>873</v>
      </c>
      <c r="N175" s="34" t="str">
        <f t="shared" si="5"/>
        <v>qudt</v>
      </c>
      <c r="O175" s="18" t="b">
        <f t="shared" si="6"/>
        <v>1</v>
      </c>
      <c r="P175" s="39"/>
      <c r="Q175" s="39"/>
      <c r="R175" s="39" t="str">
        <f t="shared" si="7"/>
        <v/>
      </c>
      <c r="S175" s="43">
        <f t="shared" si="8"/>
        <v>7</v>
      </c>
      <c r="T175" s="21">
        <f>countif('v2022'!E:E,A175)</f>
        <v>1</v>
      </c>
      <c r="U175" s="21">
        <f>countif('v2018'!E:E,A175)</f>
        <v>1</v>
      </c>
      <c r="V175" s="21">
        <f>countif('v2014'!E:E,A175)</f>
        <v>1</v>
      </c>
      <c r="W175" s="21">
        <f>countif('v2010'!E:E,A175)</f>
        <v>1</v>
      </c>
      <c r="X175" s="21">
        <f>countif('v2006'!E:E,A175)</f>
        <v>1</v>
      </c>
      <c r="Y175" s="21">
        <f>countif('v2002'!E:E,A175)</f>
        <v>1</v>
      </c>
      <c r="Z175" s="21">
        <f>countif('v1998'!E:E,A175)</f>
        <v>1</v>
      </c>
    </row>
    <row r="176">
      <c r="A176" s="17" t="s">
        <v>2961</v>
      </c>
      <c r="B176" s="18" t="s">
        <v>876</v>
      </c>
      <c r="C176" s="21" t="str">
        <f t="shared" si="19"/>
        <v>Joule - Kilogram Relationship</v>
      </c>
      <c r="D176" s="21" t="str">
        <f t="shared" si="10"/>
        <v>Relation entre le joule et le kilogramme</v>
      </c>
      <c r="E176" s="17" t="s">
        <v>2963</v>
      </c>
      <c r="F176" s="17" t="s">
        <v>2964</v>
      </c>
      <c r="G176" s="18" t="s">
        <v>98</v>
      </c>
      <c r="H176" s="18" t="str">
        <f t="shared" si="17"/>
        <v>kg</v>
      </c>
      <c r="I176" s="17">
        <f>if(H176="","", countif(Units!A:A,H176))</f>
        <v>1</v>
      </c>
      <c r="J176" s="18" t="s">
        <v>876</v>
      </c>
      <c r="K176" s="28">
        <f>countif(Quantities!A:A,J176)</f>
        <v>1</v>
      </c>
      <c r="L176" s="30" t="b">
        <f t="shared" si="4"/>
        <v>1</v>
      </c>
      <c r="M176" s="17" t="s">
        <v>876</v>
      </c>
      <c r="N176" s="34" t="str">
        <f t="shared" si="5"/>
        <v>qudt</v>
      </c>
      <c r="O176" s="18" t="b">
        <f t="shared" si="6"/>
        <v>1</v>
      </c>
      <c r="P176" s="39"/>
      <c r="Q176" s="39"/>
      <c r="R176" s="39" t="str">
        <f t="shared" si="7"/>
        <v/>
      </c>
      <c r="S176" s="43">
        <f t="shared" si="8"/>
        <v>7</v>
      </c>
      <c r="T176" s="21">
        <f>countif('v2022'!E:E,A176)</f>
        <v>1</v>
      </c>
      <c r="U176" s="21">
        <f>countif('v2018'!E:E,A176)</f>
        <v>1</v>
      </c>
      <c r="V176" s="21">
        <f>countif('v2014'!E:E,A176)</f>
        <v>1</v>
      </c>
      <c r="W176" s="21">
        <f>countif('v2010'!E:E,A176)</f>
        <v>1</v>
      </c>
      <c r="X176" s="21">
        <f>countif('v2006'!E:E,A176)</f>
        <v>1</v>
      </c>
      <c r="Y176" s="21">
        <f>countif('v2002'!E:E,A176)</f>
        <v>1</v>
      </c>
      <c r="Z176" s="21">
        <f>countif('v1998'!E:E,A176)</f>
        <v>1</v>
      </c>
    </row>
    <row r="177">
      <c r="A177" s="17" t="s">
        <v>2974</v>
      </c>
      <c r="B177" s="18" t="s">
        <v>878</v>
      </c>
      <c r="C177" s="21" t="str">
        <f t="shared" si="19"/>
        <v>Kelvin - Atomic Mass Unit Relationship</v>
      </c>
      <c r="D177" s="21" t="str">
        <f t="shared" si="10"/>
        <v>Relation entre le kelvin et l'unité de masse atomique</v>
      </c>
      <c r="E177" s="17" t="s">
        <v>2975</v>
      </c>
      <c r="F177" s="17" t="s">
        <v>2976</v>
      </c>
      <c r="G177" s="18" t="s">
        <v>249</v>
      </c>
      <c r="H177" s="18" t="str">
        <f t="shared" si="17"/>
        <v>u</v>
      </c>
      <c r="I177" s="17">
        <f>if(H177="","", countif(Units!A:A,H177))</f>
        <v>1</v>
      </c>
      <c r="J177" s="18" t="s">
        <v>878</v>
      </c>
      <c r="K177" s="28">
        <f>countif(Quantities!A:A,J177)</f>
        <v>1</v>
      </c>
      <c r="L177" s="30" t="b">
        <f t="shared" si="4"/>
        <v>1</v>
      </c>
      <c r="M177" s="17" t="s">
        <v>878</v>
      </c>
      <c r="N177" s="34" t="str">
        <f t="shared" si="5"/>
        <v>qudt</v>
      </c>
      <c r="O177" s="18" t="b">
        <f t="shared" si="6"/>
        <v>1</v>
      </c>
      <c r="P177" s="39"/>
      <c r="Q177" s="39"/>
      <c r="R177" s="39" t="str">
        <f t="shared" si="7"/>
        <v/>
      </c>
      <c r="S177" s="43">
        <f t="shared" si="8"/>
        <v>7</v>
      </c>
      <c r="T177" s="21">
        <f>countif('v2022'!E:E,A177)</f>
        <v>1</v>
      </c>
      <c r="U177" s="21">
        <f>countif('v2018'!E:E,A177)</f>
        <v>1</v>
      </c>
      <c r="V177" s="21">
        <f>countif('v2014'!E:E,A177)</f>
        <v>1</v>
      </c>
      <c r="W177" s="21">
        <f>countif('v2010'!E:E,A177)</f>
        <v>1</v>
      </c>
      <c r="X177" s="21">
        <f>countif('v2006'!E:E,A177)</f>
        <v>1</v>
      </c>
      <c r="Y177" s="21">
        <f>countif('v2002'!E:E,A177)</f>
        <v>1</v>
      </c>
      <c r="Z177" s="21">
        <f>countif('v1998'!E:E,A177)</f>
        <v>1</v>
      </c>
    </row>
    <row r="178">
      <c r="A178" s="17" t="s">
        <v>2986</v>
      </c>
      <c r="B178" s="18" t="s">
        <v>885</v>
      </c>
      <c r="C178" s="21" t="str">
        <f t="shared" si="19"/>
        <v>Kelvin - Electronvolt Relationship</v>
      </c>
      <c r="D178" s="21" t="str">
        <f t="shared" si="10"/>
        <v>Relation entre le kelvin et l'électronvolt</v>
      </c>
      <c r="E178" s="17" t="s">
        <v>2987</v>
      </c>
      <c r="F178" s="17" t="s">
        <v>2988</v>
      </c>
      <c r="G178" s="18" t="s">
        <v>181</v>
      </c>
      <c r="H178" s="18" t="str">
        <f t="shared" si="17"/>
        <v>eV</v>
      </c>
      <c r="I178" s="17">
        <f>if(H178="","", countif(Units!A:A,H178))</f>
        <v>1</v>
      </c>
      <c r="J178" s="18" t="s">
        <v>885</v>
      </c>
      <c r="K178" s="28">
        <f>countif(Quantities!A:A,J178)</f>
        <v>1</v>
      </c>
      <c r="L178" s="30" t="b">
        <f t="shared" si="4"/>
        <v>1</v>
      </c>
      <c r="M178" s="17" t="s">
        <v>885</v>
      </c>
      <c r="N178" s="34" t="str">
        <f t="shared" si="5"/>
        <v>qudt</v>
      </c>
      <c r="O178" s="18" t="b">
        <f t="shared" si="6"/>
        <v>1</v>
      </c>
      <c r="P178" s="39"/>
      <c r="Q178" s="39"/>
      <c r="R178" s="39" t="str">
        <f t="shared" si="7"/>
        <v/>
      </c>
      <c r="S178" s="43">
        <f t="shared" si="8"/>
        <v>7</v>
      </c>
      <c r="T178" s="21">
        <f>countif('v2022'!E:E,A178)</f>
        <v>1</v>
      </c>
      <c r="U178" s="21">
        <f>countif('v2018'!E:E,A178)</f>
        <v>1</v>
      </c>
      <c r="V178" s="21">
        <f>countif('v2014'!E:E,A178)</f>
        <v>1</v>
      </c>
      <c r="W178" s="21">
        <f>countif('v2010'!E:E,A178)</f>
        <v>1</v>
      </c>
      <c r="X178" s="21">
        <f>countif('v2006'!E:E,A178)</f>
        <v>1</v>
      </c>
      <c r="Y178" s="21">
        <f>countif('v2002'!E:E,A178)</f>
        <v>1</v>
      </c>
      <c r="Z178" s="21">
        <f>countif('v1998'!E:E,A178)</f>
        <v>1</v>
      </c>
    </row>
    <row r="179">
      <c r="A179" s="17" t="s">
        <v>2998</v>
      </c>
      <c r="B179" s="18" t="s">
        <v>888</v>
      </c>
      <c r="C179" s="21" t="str">
        <f t="shared" si="19"/>
        <v>Kelvin - Hartree Relationship</v>
      </c>
      <c r="D179" s="21" t="str">
        <f t="shared" si="10"/>
        <v>Relation entre le kelvin et le hartree</v>
      </c>
      <c r="E179" s="17" t="s">
        <v>2999</v>
      </c>
      <c r="F179" s="17" t="s">
        <v>3000</v>
      </c>
      <c r="G179" s="18" t="s">
        <v>170</v>
      </c>
      <c r="H179" s="18" t="str">
        <f t="shared" si="17"/>
        <v>E_h</v>
      </c>
      <c r="I179" s="17">
        <f>if(H179="","", countif(Units!A:A,H179))</f>
        <v>1</v>
      </c>
      <c r="J179" s="18" t="s">
        <v>888</v>
      </c>
      <c r="K179" s="28">
        <f>countif(Quantities!A:A,J179)</f>
        <v>1</v>
      </c>
      <c r="L179" s="30" t="b">
        <f t="shared" si="4"/>
        <v>1</v>
      </c>
      <c r="M179" s="17" t="s">
        <v>888</v>
      </c>
      <c r="N179" s="34" t="str">
        <f t="shared" si="5"/>
        <v>qudt</v>
      </c>
      <c r="O179" s="18" t="b">
        <f t="shared" si="6"/>
        <v>1</v>
      </c>
      <c r="P179" s="39"/>
      <c r="Q179" s="39"/>
      <c r="R179" s="39" t="str">
        <f t="shared" si="7"/>
        <v/>
      </c>
      <c r="S179" s="43">
        <f t="shared" si="8"/>
        <v>7</v>
      </c>
      <c r="T179" s="21">
        <f>countif('v2022'!E:E,A179)</f>
        <v>1</v>
      </c>
      <c r="U179" s="21">
        <f>countif('v2018'!E:E,A179)</f>
        <v>1</v>
      </c>
      <c r="V179" s="21">
        <f>countif('v2014'!E:E,A179)</f>
        <v>1</v>
      </c>
      <c r="W179" s="21">
        <f>countif('v2010'!E:E,A179)</f>
        <v>1</v>
      </c>
      <c r="X179" s="21">
        <f>countif('v2006'!E:E,A179)</f>
        <v>1</v>
      </c>
      <c r="Y179" s="21">
        <f>countif('v2002'!E:E,A179)</f>
        <v>1</v>
      </c>
      <c r="Z179" s="21">
        <f>countif('v1998'!E:E,A179)</f>
        <v>1</v>
      </c>
    </row>
    <row r="180">
      <c r="A180" s="17" t="s">
        <v>3039</v>
      </c>
      <c r="B180" s="18" t="s">
        <v>890</v>
      </c>
      <c r="C180" s="21" t="str">
        <f t="shared" si="19"/>
        <v>Kelvin - Hertz Relationship</v>
      </c>
      <c r="D180" s="21" t="str">
        <f t="shared" si="10"/>
        <v>Relation entre le kelvin et le hertz</v>
      </c>
      <c r="E180" s="17" t="s">
        <v>3040</v>
      </c>
      <c r="F180" s="17" t="s">
        <v>3042</v>
      </c>
      <c r="G180" s="18" t="s">
        <v>257</v>
      </c>
      <c r="H180" s="18" t="str">
        <f t="shared" si="17"/>
        <v>Hz</v>
      </c>
      <c r="I180" s="17">
        <f>if(H180="","", countif(Units!A:A,H180))</f>
        <v>1</v>
      </c>
      <c r="J180" s="18" t="s">
        <v>890</v>
      </c>
      <c r="K180" s="28">
        <f>countif(Quantities!A:A,J180)</f>
        <v>1</v>
      </c>
      <c r="L180" s="30" t="b">
        <f t="shared" si="4"/>
        <v>1</v>
      </c>
      <c r="M180" s="17" t="s">
        <v>890</v>
      </c>
      <c r="N180" s="34" t="str">
        <f t="shared" si="5"/>
        <v>qudt</v>
      </c>
      <c r="O180" s="18" t="b">
        <f t="shared" si="6"/>
        <v>1</v>
      </c>
      <c r="P180" s="39"/>
      <c r="Q180" s="39"/>
      <c r="R180" s="39" t="str">
        <f t="shared" si="7"/>
        <v/>
      </c>
      <c r="S180" s="43">
        <f t="shared" si="8"/>
        <v>7</v>
      </c>
      <c r="T180" s="21">
        <f>countif('v2022'!E:E,A180)</f>
        <v>1</v>
      </c>
      <c r="U180" s="21">
        <f>countif('v2018'!E:E,A180)</f>
        <v>1</v>
      </c>
      <c r="V180" s="21">
        <f>countif('v2014'!E:E,A180)</f>
        <v>1</v>
      </c>
      <c r="W180" s="21">
        <f>countif('v2010'!E:E,A180)</f>
        <v>1</v>
      </c>
      <c r="X180" s="21">
        <f>countif('v2006'!E:E,A180)</f>
        <v>1</v>
      </c>
      <c r="Y180" s="21">
        <f>countif('v2002'!E:E,A180)</f>
        <v>1</v>
      </c>
      <c r="Z180" s="21">
        <f>countif('v1998'!E:E,A180)</f>
        <v>1</v>
      </c>
    </row>
    <row r="181">
      <c r="A181" s="17" t="s">
        <v>3052</v>
      </c>
      <c r="B181" s="18" t="s">
        <v>893</v>
      </c>
      <c r="C181" s="21" t="str">
        <f t="shared" si="19"/>
        <v>Kelvin - Inverse Meter Relationship</v>
      </c>
      <c r="D181" s="21" t="str">
        <f t="shared" si="10"/>
        <v>Relation entre le kelvin et l'inverse du mètre</v>
      </c>
      <c r="E181" s="17" t="s">
        <v>3053</v>
      </c>
      <c r="F181" s="17" t="s">
        <v>3054</v>
      </c>
      <c r="G181" s="18" t="s">
        <v>561</v>
      </c>
      <c r="H181" s="18" t="str">
        <f t="shared" si="17"/>
        <v>m-1</v>
      </c>
      <c r="I181" s="17">
        <f>if(H181="","", countif(Units!A:A,H181))</f>
        <v>1</v>
      </c>
      <c r="J181" s="18" t="s">
        <v>893</v>
      </c>
      <c r="K181" s="28">
        <f>countif(Quantities!A:A,J181)</f>
        <v>1</v>
      </c>
      <c r="L181" s="30" t="b">
        <f t="shared" si="4"/>
        <v>1</v>
      </c>
      <c r="M181" s="17" t="s">
        <v>893</v>
      </c>
      <c r="N181" s="34" t="str">
        <f t="shared" si="5"/>
        <v>qudt</v>
      </c>
      <c r="O181" s="18" t="b">
        <f t="shared" si="6"/>
        <v>1</v>
      </c>
      <c r="P181" s="39"/>
      <c r="Q181" s="39"/>
      <c r="R181" s="39" t="str">
        <f t="shared" si="7"/>
        <v/>
      </c>
      <c r="S181" s="43">
        <f t="shared" si="8"/>
        <v>7</v>
      </c>
      <c r="T181" s="21">
        <f>countif('v2022'!E:E,A181)</f>
        <v>1</v>
      </c>
      <c r="U181" s="21">
        <f>countif('v2018'!E:E,A181)</f>
        <v>1</v>
      </c>
      <c r="V181" s="21">
        <f>countif('v2014'!E:E,A181)</f>
        <v>1</v>
      </c>
      <c r="W181" s="21">
        <f>countif('v2010'!E:E,A181)</f>
        <v>1</v>
      </c>
      <c r="X181" s="21">
        <f>countif('v2006'!E:E,A181)</f>
        <v>1</v>
      </c>
      <c r="Y181" s="21">
        <f>countif('v2002'!E:E,A181)</f>
        <v>1</v>
      </c>
      <c r="Z181" s="21">
        <f>countif('v1998'!E:E,A181)</f>
        <v>1</v>
      </c>
    </row>
    <row r="182">
      <c r="A182" s="17" t="s">
        <v>3065</v>
      </c>
      <c r="B182" s="18" t="s">
        <v>895</v>
      </c>
      <c r="C182" s="21" t="str">
        <f t="shared" si="19"/>
        <v>Kelvin - Joule Relationship</v>
      </c>
      <c r="D182" s="21" t="str">
        <f t="shared" si="10"/>
        <v>Relation entre le kelvin et le joule</v>
      </c>
      <c r="E182" s="17" t="s">
        <v>3066</v>
      </c>
      <c r="F182" s="17" t="s">
        <v>3067</v>
      </c>
      <c r="G182" s="18" t="s">
        <v>173</v>
      </c>
      <c r="H182" s="18" t="str">
        <f t="shared" si="17"/>
        <v>J</v>
      </c>
      <c r="I182" s="17">
        <f>if(H182="","", countif(Units!A:A,H182))</f>
        <v>1</v>
      </c>
      <c r="J182" s="18" t="s">
        <v>895</v>
      </c>
      <c r="K182" s="28">
        <f>countif(Quantities!A:A,J182)</f>
        <v>1</v>
      </c>
      <c r="L182" s="30" t="b">
        <f t="shared" si="4"/>
        <v>1</v>
      </c>
      <c r="M182" s="17" t="s">
        <v>895</v>
      </c>
      <c r="N182" s="34" t="str">
        <f t="shared" si="5"/>
        <v>qudt</v>
      </c>
      <c r="O182" s="18" t="b">
        <f t="shared" si="6"/>
        <v>1</v>
      </c>
      <c r="P182" s="39"/>
      <c r="Q182" s="39"/>
      <c r="R182" s="39" t="str">
        <f t="shared" si="7"/>
        <v/>
      </c>
      <c r="S182" s="43">
        <f t="shared" si="8"/>
        <v>7</v>
      </c>
      <c r="T182" s="21">
        <f>countif('v2022'!E:E,A182)</f>
        <v>1</v>
      </c>
      <c r="U182" s="21">
        <f>countif('v2018'!E:E,A182)</f>
        <v>1</v>
      </c>
      <c r="V182" s="21">
        <f>countif('v2014'!E:E,A182)</f>
        <v>1</v>
      </c>
      <c r="W182" s="21">
        <f>countif('v2010'!E:E,A182)</f>
        <v>1</v>
      </c>
      <c r="X182" s="21">
        <f>countif('v2006'!E:E,A182)</f>
        <v>1</v>
      </c>
      <c r="Y182" s="21">
        <f>countif('v2002'!E:E,A182)</f>
        <v>1</v>
      </c>
      <c r="Z182" s="21">
        <f>countif('v1998'!E:E,A182)</f>
        <v>1</v>
      </c>
    </row>
    <row r="183">
      <c r="A183" s="17" t="s">
        <v>3074</v>
      </c>
      <c r="B183" s="18" t="s">
        <v>898</v>
      </c>
      <c r="C183" s="21" t="str">
        <f t="shared" si="19"/>
        <v>Kelvin - Kilogram Relationship</v>
      </c>
      <c r="D183" s="21" t="str">
        <f t="shared" si="10"/>
        <v>Relation entre le kelvin et le kilogramme</v>
      </c>
      <c r="E183" s="17" t="s">
        <v>3076</v>
      </c>
      <c r="F183" s="17" t="s">
        <v>3077</v>
      </c>
      <c r="G183" s="18" t="s">
        <v>98</v>
      </c>
      <c r="H183" s="18" t="str">
        <f t="shared" si="17"/>
        <v>kg</v>
      </c>
      <c r="I183" s="17">
        <f>if(H183="","", countif(Units!A:A,H183))</f>
        <v>1</v>
      </c>
      <c r="J183" s="18" t="s">
        <v>898</v>
      </c>
      <c r="K183" s="28">
        <f>countif(Quantities!A:A,J183)</f>
        <v>1</v>
      </c>
      <c r="L183" s="30" t="b">
        <f t="shared" si="4"/>
        <v>1</v>
      </c>
      <c r="M183" s="17" t="s">
        <v>898</v>
      </c>
      <c r="N183" s="34" t="str">
        <f t="shared" si="5"/>
        <v>qudt</v>
      </c>
      <c r="O183" s="18" t="b">
        <f t="shared" si="6"/>
        <v>1</v>
      </c>
      <c r="P183" s="39"/>
      <c r="Q183" s="39"/>
      <c r="R183" s="39" t="str">
        <f t="shared" si="7"/>
        <v/>
      </c>
      <c r="S183" s="43">
        <f t="shared" si="8"/>
        <v>7</v>
      </c>
      <c r="T183" s="21">
        <f>countif('v2022'!E:E,A183)</f>
        <v>1</v>
      </c>
      <c r="U183" s="21">
        <f>countif('v2018'!E:E,A183)</f>
        <v>1</v>
      </c>
      <c r="V183" s="21">
        <f>countif('v2014'!E:E,A183)</f>
        <v>1</v>
      </c>
      <c r="W183" s="21">
        <f>countif('v2010'!E:E,A183)</f>
        <v>1</v>
      </c>
      <c r="X183" s="21">
        <f>countif('v2006'!E:E,A183)</f>
        <v>1</v>
      </c>
      <c r="Y183" s="21">
        <f>countif('v2002'!E:E,A183)</f>
        <v>1</v>
      </c>
      <c r="Z183" s="21">
        <f>countif('v1998'!E:E,A183)</f>
        <v>1</v>
      </c>
    </row>
    <row r="184">
      <c r="A184" s="17" t="s">
        <v>3092</v>
      </c>
      <c r="B184" s="18" t="s">
        <v>903</v>
      </c>
      <c r="C184" s="21" t="str">
        <f t="shared" si="19"/>
        <v>Kilogram - Atomic Mass Unit Relationship</v>
      </c>
      <c r="D184" s="21" t="str">
        <f t="shared" si="10"/>
        <v>Relation entre le kilogramme et l'unité de masse atomique</v>
      </c>
      <c r="E184" s="17" t="s">
        <v>3097</v>
      </c>
      <c r="F184" s="17" t="s">
        <v>3098</v>
      </c>
      <c r="G184" s="18" t="s">
        <v>249</v>
      </c>
      <c r="H184" s="18" t="str">
        <f t="shared" si="17"/>
        <v>u</v>
      </c>
      <c r="I184" s="17">
        <f>if(H184="","", countif(Units!A:A,H184))</f>
        <v>1</v>
      </c>
      <c r="J184" s="18" t="s">
        <v>903</v>
      </c>
      <c r="K184" s="28">
        <f>countif(Quantities!A:A,J184)</f>
        <v>1</v>
      </c>
      <c r="L184" s="30" t="b">
        <f t="shared" si="4"/>
        <v>1</v>
      </c>
      <c r="M184" s="17" t="s">
        <v>903</v>
      </c>
      <c r="N184" s="34" t="str">
        <f t="shared" si="5"/>
        <v>qudt</v>
      </c>
      <c r="O184" s="18" t="b">
        <f t="shared" si="6"/>
        <v>1</v>
      </c>
      <c r="P184" s="39"/>
      <c r="Q184" s="39"/>
      <c r="R184" s="39" t="str">
        <f t="shared" si="7"/>
        <v/>
      </c>
      <c r="S184" s="43">
        <f t="shared" si="8"/>
        <v>7</v>
      </c>
      <c r="T184" s="21">
        <f>countif('v2022'!E:E,A184)</f>
        <v>1</v>
      </c>
      <c r="U184" s="21">
        <f>countif('v2018'!E:E,A184)</f>
        <v>1</v>
      </c>
      <c r="V184" s="21">
        <f>countif('v2014'!E:E,A184)</f>
        <v>1</v>
      </c>
      <c r="W184" s="21">
        <f>countif('v2010'!E:E,A184)</f>
        <v>1</v>
      </c>
      <c r="X184" s="21">
        <f>countif('v2006'!E:E,A184)</f>
        <v>1</v>
      </c>
      <c r="Y184" s="21">
        <f>countif('v2002'!E:E,A184)</f>
        <v>1</v>
      </c>
      <c r="Z184" s="21">
        <f>countif('v1998'!E:E,A184)</f>
        <v>1</v>
      </c>
    </row>
    <row r="185">
      <c r="A185" s="17" t="s">
        <v>3110</v>
      </c>
      <c r="B185" s="18" t="s">
        <v>906</v>
      </c>
      <c r="C185" s="21" t="str">
        <f t="shared" si="19"/>
        <v>Kilogram - Electronvolt Relationship</v>
      </c>
      <c r="D185" s="21" t="str">
        <f t="shared" si="10"/>
        <v>Relation entre le kilogramme et l'électronvolt</v>
      </c>
      <c r="E185" s="17" t="s">
        <v>3111</v>
      </c>
      <c r="F185" s="17" t="s">
        <v>3112</v>
      </c>
      <c r="G185" s="18" t="s">
        <v>181</v>
      </c>
      <c r="H185" s="18" t="str">
        <f t="shared" si="17"/>
        <v>eV</v>
      </c>
      <c r="I185" s="17">
        <f>if(H185="","", countif(Units!A:A,H185))</f>
        <v>1</v>
      </c>
      <c r="J185" s="18" t="s">
        <v>906</v>
      </c>
      <c r="K185" s="28">
        <f>countif(Quantities!A:A,J185)</f>
        <v>1</v>
      </c>
      <c r="L185" s="30" t="b">
        <f t="shared" si="4"/>
        <v>1</v>
      </c>
      <c r="M185" s="17" t="s">
        <v>906</v>
      </c>
      <c r="N185" s="34" t="str">
        <f t="shared" si="5"/>
        <v>qudt</v>
      </c>
      <c r="O185" s="18" t="b">
        <f t="shared" si="6"/>
        <v>1</v>
      </c>
      <c r="P185" s="39"/>
      <c r="Q185" s="39"/>
      <c r="R185" s="39" t="str">
        <f t="shared" si="7"/>
        <v/>
      </c>
      <c r="S185" s="43">
        <f t="shared" si="8"/>
        <v>7</v>
      </c>
      <c r="T185" s="21">
        <f>countif('v2022'!E:E,A185)</f>
        <v>1</v>
      </c>
      <c r="U185" s="21">
        <f>countif('v2018'!E:E,A185)</f>
        <v>1</v>
      </c>
      <c r="V185" s="21">
        <f>countif('v2014'!E:E,A185)</f>
        <v>1</v>
      </c>
      <c r="W185" s="21">
        <f>countif('v2010'!E:E,A185)</f>
        <v>1</v>
      </c>
      <c r="X185" s="21">
        <f>countif('v2006'!E:E,A185)</f>
        <v>1</v>
      </c>
      <c r="Y185" s="21">
        <f>countif('v2002'!E:E,A185)</f>
        <v>1</v>
      </c>
      <c r="Z185" s="21">
        <f>countif('v1998'!E:E,A185)</f>
        <v>1</v>
      </c>
    </row>
    <row r="186">
      <c r="A186" s="17" t="s">
        <v>3120</v>
      </c>
      <c r="B186" s="18" t="s">
        <v>908</v>
      </c>
      <c r="C186" s="21" t="str">
        <f t="shared" si="19"/>
        <v>Kilogram - Hartree Relationship</v>
      </c>
      <c r="D186" s="21" t="str">
        <f t="shared" si="10"/>
        <v>Relation entre le kilogramme et le hartree</v>
      </c>
      <c r="E186" s="17" t="s">
        <v>3121</v>
      </c>
      <c r="F186" s="17" t="s">
        <v>3122</v>
      </c>
      <c r="G186" s="18" t="s">
        <v>170</v>
      </c>
      <c r="H186" s="18" t="str">
        <f t="shared" si="17"/>
        <v>E_h</v>
      </c>
      <c r="I186" s="17">
        <f>if(H186="","", countif(Units!A:A,H186))</f>
        <v>1</v>
      </c>
      <c r="J186" s="18" t="s">
        <v>908</v>
      </c>
      <c r="K186" s="28">
        <f>countif(Quantities!A:A,J186)</f>
        <v>1</v>
      </c>
      <c r="L186" s="30" t="b">
        <f t="shared" si="4"/>
        <v>1</v>
      </c>
      <c r="M186" s="17" t="s">
        <v>908</v>
      </c>
      <c r="N186" s="34" t="str">
        <f t="shared" si="5"/>
        <v>qudt</v>
      </c>
      <c r="O186" s="18" t="b">
        <f t="shared" si="6"/>
        <v>1</v>
      </c>
      <c r="P186" s="39"/>
      <c r="Q186" s="39"/>
      <c r="R186" s="39" t="str">
        <f t="shared" si="7"/>
        <v/>
      </c>
      <c r="S186" s="43">
        <f t="shared" si="8"/>
        <v>7</v>
      </c>
      <c r="T186" s="21">
        <f>countif('v2022'!E:E,A186)</f>
        <v>1</v>
      </c>
      <c r="U186" s="21">
        <f>countif('v2018'!E:E,A186)</f>
        <v>1</v>
      </c>
      <c r="V186" s="21">
        <f>countif('v2014'!E:E,A186)</f>
        <v>1</v>
      </c>
      <c r="W186" s="21">
        <f>countif('v2010'!E:E,A186)</f>
        <v>1</v>
      </c>
      <c r="X186" s="21">
        <f>countif('v2006'!E:E,A186)</f>
        <v>1</v>
      </c>
      <c r="Y186" s="21">
        <f>countif('v2002'!E:E,A186)</f>
        <v>1</v>
      </c>
      <c r="Z186" s="21">
        <f>countif('v1998'!E:E,A186)</f>
        <v>1</v>
      </c>
    </row>
    <row r="187">
      <c r="A187" s="17" t="s">
        <v>3133</v>
      </c>
      <c r="B187" s="18" t="s">
        <v>910</v>
      </c>
      <c r="C187" s="21" t="str">
        <f t="shared" si="19"/>
        <v>Kilogram - Hertz Relationship</v>
      </c>
      <c r="D187" s="21" t="str">
        <f t="shared" si="10"/>
        <v>Relation entre le kilogramme et le hertz</v>
      </c>
      <c r="E187" s="17" t="s">
        <v>3136</v>
      </c>
      <c r="F187" s="17" t="s">
        <v>3137</v>
      </c>
      <c r="G187" s="18" t="s">
        <v>257</v>
      </c>
      <c r="H187" s="18" t="str">
        <f t="shared" si="17"/>
        <v>Hz</v>
      </c>
      <c r="I187" s="17">
        <f>if(H187="","", countif(Units!A:A,H187))</f>
        <v>1</v>
      </c>
      <c r="J187" s="18" t="s">
        <v>910</v>
      </c>
      <c r="K187" s="28">
        <f>countif(Quantities!A:A,J187)</f>
        <v>1</v>
      </c>
      <c r="L187" s="30" t="b">
        <f t="shared" si="4"/>
        <v>1</v>
      </c>
      <c r="M187" s="17" t="s">
        <v>910</v>
      </c>
      <c r="N187" s="34" t="str">
        <f t="shared" si="5"/>
        <v>qudt</v>
      </c>
      <c r="O187" s="18" t="b">
        <f t="shared" si="6"/>
        <v>1</v>
      </c>
      <c r="P187" s="39"/>
      <c r="Q187" s="39"/>
      <c r="R187" s="39" t="str">
        <f t="shared" si="7"/>
        <v/>
      </c>
      <c r="S187" s="43">
        <f t="shared" si="8"/>
        <v>7</v>
      </c>
      <c r="T187" s="21">
        <f>countif('v2022'!E:E,A187)</f>
        <v>1</v>
      </c>
      <c r="U187" s="21">
        <f>countif('v2018'!E:E,A187)</f>
        <v>1</v>
      </c>
      <c r="V187" s="21">
        <f>countif('v2014'!E:E,A187)</f>
        <v>1</v>
      </c>
      <c r="W187" s="21">
        <f>countif('v2010'!E:E,A187)</f>
        <v>1</v>
      </c>
      <c r="X187" s="21">
        <f>countif('v2006'!E:E,A187)</f>
        <v>1</v>
      </c>
      <c r="Y187" s="21">
        <f>countif('v2002'!E:E,A187)</f>
        <v>1</v>
      </c>
      <c r="Z187" s="21">
        <f>countif('v1998'!E:E,A187)</f>
        <v>1</v>
      </c>
    </row>
    <row r="188">
      <c r="A188" s="17" t="s">
        <v>3146</v>
      </c>
      <c r="B188" s="18" t="s">
        <v>912</v>
      </c>
      <c r="C188" s="21" t="str">
        <f t="shared" si="19"/>
        <v>Kilogram - Inverse Meter Relationship</v>
      </c>
      <c r="D188" s="21" t="str">
        <f t="shared" si="10"/>
        <v>Relation entre le kilogramme et l'inverse du mètre</v>
      </c>
      <c r="E188" s="17" t="s">
        <v>3148</v>
      </c>
      <c r="F188" s="17" t="s">
        <v>3149</v>
      </c>
      <c r="G188" s="18" t="s">
        <v>561</v>
      </c>
      <c r="H188" s="18" t="str">
        <f t="shared" si="17"/>
        <v>m-1</v>
      </c>
      <c r="I188" s="17">
        <f>if(H188="","", countif(Units!A:A,H188))</f>
        <v>1</v>
      </c>
      <c r="J188" s="18" t="s">
        <v>912</v>
      </c>
      <c r="K188" s="28">
        <f>countif(Quantities!A:A,J188)</f>
        <v>1</v>
      </c>
      <c r="L188" s="30" t="b">
        <f t="shared" si="4"/>
        <v>1</v>
      </c>
      <c r="M188" s="17" t="s">
        <v>912</v>
      </c>
      <c r="N188" s="34" t="str">
        <f t="shared" si="5"/>
        <v>qudt</v>
      </c>
      <c r="O188" s="18" t="b">
        <f t="shared" si="6"/>
        <v>1</v>
      </c>
      <c r="P188" s="39"/>
      <c r="Q188" s="39"/>
      <c r="R188" s="39" t="str">
        <f t="shared" si="7"/>
        <v/>
      </c>
      <c r="S188" s="43">
        <f t="shared" si="8"/>
        <v>7</v>
      </c>
      <c r="T188" s="21">
        <f>countif('v2022'!E:E,A188)</f>
        <v>1</v>
      </c>
      <c r="U188" s="21">
        <f>countif('v2018'!E:E,A188)</f>
        <v>1</v>
      </c>
      <c r="V188" s="21">
        <f>countif('v2014'!E:E,A188)</f>
        <v>1</v>
      </c>
      <c r="W188" s="21">
        <f>countif('v2010'!E:E,A188)</f>
        <v>1</v>
      </c>
      <c r="X188" s="21">
        <f>countif('v2006'!E:E,A188)</f>
        <v>1</v>
      </c>
      <c r="Y188" s="21">
        <f>countif('v2002'!E:E,A188)</f>
        <v>1</v>
      </c>
      <c r="Z188" s="21">
        <f>countif('v1998'!E:E,A188)</f>
        <v>1</v>
      </c>
    </row>
    <row r="189">
      <c r="A189" s="17" t="s">
        <v>3163</v>
      </c>
      <c r="B189" s="18" t="s">
        <v>915</v>
      </c>
      <c r="C189" s="21" t="str">
        <f t="shared" si="19"/>
        <v>Kilogram - Joule Relationship</v>
      </c>
      <c r="D189" s="21" t="str">
        <f t="shared" si="10"/>
        <v>Relation entre le kilogramme et le joule</v>
      </c>
      <c r="E189" s="17" t="s">
        <v>3164</v>
      </c>
      <c r="F189" s="17" t="s">
        <v>3165</v>
      </c>
      <c r="G189" s="18" t="s">
        <v>173</v>
      </c>
      <c r="H189" s="18" t="str">
        <f t="shared" si="17"/>
        <v>J</v>
      </c>
      <c r="I189" s="17">
        <f>if(H189="","", countif(Units!A:A,H189))</f>
        <v>1</v>
      </c>
      <c r="J189" s="18" t="s">
        <v>915</v>
      </c>
      <c r="K189" s="28">
        <f>countif(Quantities!A:A,J189)</f>
        <v>1</v>
      </c>
      <c r="L189" s="30" t="b">
        <f t="shared" si="4"/>
        <v>1</v>
      </c>
      <c r="M189" s="17" t="s">
        <v>915</v>
      </c>
      <c r="N189" s="34" t="str">
        <f t="shared" si="5"/>
        <v>qudt</v>
      </c>
      <c r="O189" s="18" t="b">
        <f t="shared" si="6"/>
        <v>1</v>
      </c>
      <c r="P189" s="39"/>
      <c r="Q189" s="39"/>
      <c r="R189" s="39" t="str">
        <f t="shared" si="7"/>
        <v/>
      </c>
      <c r="S189" s="43">
        <f t="shared" si="8"/>
        <v>7</v>
      </c>
      <c r="T189" s="21">
        <f>countif('v2022'!E:E,A189)</f>
        <v>1</v>
      </c>
      <c r="U189" s="21">
        <f>countif('v2018'!E:E,A189)</f>
        <v>1</v>
      </c>
      <c r="V189" s="21">
        <f>countif('v2014'!E:E,A189)</f>
        <v>1</v>
      </c>
      <c r="W189" s="21">
        <f>countif('v2010'!E:E,A189)</f>
        <v>1</v>
      </c>
      <c r="X189" s="21">
        <f>countif('v2006'!E:E,A189)</f>
        <v>1</v>
      </c>
      <c r="Y189" s="21">
        <f>countif('v2002'!E:E,A189)</f>
        <v>1</v>
      </c>
      <c r="Z189" s="21">
        <f>countif('v1998'!E:E,A189)</f>
        <v>1</v>
      </c>
    </row>
    <row r="190">
      <c r="A190" s="17" t="s">
        <v>3171</v>
      </c>
      <c r="B190" s="18" t="s">
        <v>917</v>
      </c>
      <c r="C190" s="21" t="str">
        <f t="shared" si="19"/>
        <v>Kilogram - Kelvin Relationship</v>
      </c>
      <c r="D190" s="21" t="str">
        <f t="shared" si="10"/>
        <v>Relation entre le kilogramme et le kelvin</v>
      </c>
      <c r="E190" s="17" t="s">
        <v>3172</v>
      </c>
      <c r="F190" s="17" t="s">
        <v>3173</v>
      </c>
      <c r="G190" s="18" t="s">
        <v>345</v>
      </c>
      <c r="H190" s="18" t="str">
        <f t="shared" si="17"/>
        <v>K</v>
      </c>
      <c r="I190" s="17">
        <f>if(H190="","", countif(Units!A:A,H190))</f>
        <v>1</v>
      </c>
      <c r="J190" s="18" t="s">
        <v>917</v>
      </c>
      <c r="K190" s="28">
        <f>countif(Quantities!A:A,J190)</f>
        <v>1</v>
      </c>
      <c r="L190" s="30" t="b">
        <f t="shared" si="4"/>
        <v>1</v>
      </c>
      <c r="M190" s="17" t="s">
        <v>917</v>
      </c>
      <c r="N190" s="34" t="str">
        <f t="shared" si="5"/>
        <v>qudt</v>
      </c>
      <c r="O190" s="18" t="b">
        <f t="shared" si="6"/>
        <v>1</v>
      </c>
      <c r="P190" s="39"/>
      <c r="Q190" s="39"/>
      <c r="R190" s="39" t="str">
        <f t="shared" si="7"/>
        <v/>
      </c>
      <c r="S190" s="43">
        <f t="shared" si="8"/>
        <v>7</v>
      </c>
      <c r="T190" s="21">
        <f>countif('v2022'!E:E,A190)</f>
        <v>1</v>
      </c>
      <c r="U190" s="21">
        <f>countif('v2018'!E:E,A190)</f>
        <v>1</v>
      </c>
      <c r="V190" s="21">
        <f>countif('v2014'!E:E,A190)</f>
        <v>1</v>
      </c>
      <c r="W190" s="21">
        <f>countif('v2010'!E:E,A190)</f>
        <v>1</v>
      </c>
      <c r="X190" s="21">
        <f>countif('v2006'!E:E,A190)</f>
        <v>1</v>
      </c>
      <c r="Y190" s="21">
        <f>countif('v2002'!E:E,A190)</f>
        <v>1</v>
      </c>
      <c r="Z190" s="21">
        <f>countif('v1998'!E:E,A190)</f>
        <v>1</v>
      </c>
    </row>
    <row r="191">
      <c r="A191" s="17" t="s">
        <v>3187</v>
      </c>
      <c r="B191" s="18" t="s">
        <v>923</v>
      </c>
      <c r="C191" s="21" t="str">
        <f t="shared" si="19"/>
        <v>Lattice Parameter Of Silicon</v>
      </c>
      <c r="D191" s="21" t="str">
        <f t="shared" si="10"/>
        <v>Paramètre de maille du silicium</v>
      </c>
      <c r="E191" s="17" t="s">
        <v>2260</v>
      </c>
      <c r="F191" s="17" t="s">
        <v>3189</v>
      </c>
      <c r="G191" s="18" t="s">
        <v>381</v>
      </c>
      <c r="H191" s="18" t="str">
        <f t="shared" si="17"/>
        <v>m</v>
      </c>
      <c r="I191" s="17">
        <f>if(H191="","", countif(Units!A:A,H191))</f>
        <v>1</v>
      </c>
      <c r="J191" s="18" t="s">
        <v>923</v>
      </c>
      <c r="K191" s="28">
        <f>countif(Quantities!A:A,J191)</f>
        <v>1</v>
      </c>
      <c r="L191" s="30" t="b">
        <f t="shared" si="4"/>
        <v>1</v>
      </c>
      <c r="M191" s="17" t="s">
        <v>923</v>
      </c>
      <c r="N191" s="34" t="str">
        <f t="shared" si="5"/>
        <v>qudt</v>
      </c>
      <c r="O191" s="18" t="b">
        <f t="shared" si="6"/>
        <v>1</v>
      </c>
      <c r="P191" s="39"/>
      <c r="Q191" s="39"/>
      <c r="R191" s="39" t="str">
        <f t="shared" si="7"/>
        <v/>
      </c>
      <c r="S191" s="43">
        <f t="shared" si="8"/>
        <v>7</v>
      </c>
      <c r="T191" s="21">
        <f>countif('v2022'!E:E,A191)</f>
        <v>1</v>
      </c>
      <c r="U191" s="21">
        <f>countif('v2018'!E:E,A191)</f>
        <v>1</v>
      </c>
      <c r="V191" s="21">
        <f>countif('v2014'!E:E,A191)</f>
        <v>1</v>
      </c>
      <c r="W191" s="21">
        <f>countif('v2010'!E:E,A191)</f>
        <v>1</v>
      </c>
      <c r="X191" s="21">
        <f>countif('v2006'!E:E,A191)</f>
        <v>1</v>
      </c>
      <c r="Y191" s="21">
        <f>countif('v2002'!E:E,A191)</f>
        <v>1</v>
      </c>
      <c r="Z191" s="21">
        <f>countif('v1998'!E:E,A191)</f>
        <v>1</v>
      </c>
    </row>
    <row r="192">
      <c r="A192" s="17" t="s">
        <v>1033</v>
      </c>
      <c r="B192" s="18" t="s">
        <v>926</v>
      </c>
      <c r="C192" s="21" t="str">
        <f t="shared" si="19"/>
        <v>Lattice Spacing Of Ideal Si (220)</v>
      </c>
      <c r="D192" s="21" t="str">
        <f t="shared" si="10"/>
        <v>Espacement de maille of silicium (220) parfait</v>
      </c>
      <c r="E192" s="17" t="s">
        <v>2263</v>
      </c>
      <c r="F192" s="17" t="s">
        <v>3196</v>
      </c>
      <c r="G192" s="18" t="s">
        <v>381</v>
      </c>
      <c r="H192" s="18" t="str">
        <f t="shared" si="17"/>
        <v>m</v>
      </c>
      <c r="I192" s="17">
        <f>if(H192="","", countif(Units!A:A,H192))</f>
        <v>1</v>
      </c>
      <c r="J192" s="18" t="s">
        <v>926</v>
      </c>
      <c r="K192" s="28">
        <f>countif(Quantities!A:A,J192)</f>
        <v>1</v>
      </c>
      <c r="L192" s="30" t="b">
        <f t="shared" si="4"/>
        <v>1</v>
      </c>
      <c r="M192" s="17" t="s">
        <v>926</v>
      </c>
      <c r="N192" s="34" t="str">
        <f t="shared" si="5"/>
        <v>qudt</v>
      </c>
      <c r="O192" s="18" t="b">
        <f t="shared" si="6"/>
        <v>1</v>
      </c>
      <c r="P192" s="39"/>
      <c r="Q192" s="39"/>
      <c r="R192" s="39" t="str">
        <f t="shared" si="7"/>
        <v/>
      </c>
      <c r="S192" s="43">
        <f t="shared" si="8"/>
        <v>7</v>
      </c>
      <c r="T192" s="21">
        <f>countif('v2022'!E:E,A192)</f>
        <v>1</v>
      </c>
      <c r="U192" s="21">
        <f>countif('v2018'!E:E,A192)</f>
        <v>1</v>
      </c>
      <c r="V192" s="21">
        <f>countif('v2014'!E:E,A192)</f>
        <v>1</v>
      </c>
      <c r="W192" s="21">
        <f>countif('v2010'!E:E,A192)</f>
        <v>1</v>
      </c>
      <c r="X192" s="21">
        <f>countif('v2006'!E:E,A192)</f>
        <v>1</v>
      </c>
      <c r="Y192" s="21">
        <f>countif('v2002'!E:E,A192)</f>
        <v>1</v>
      </c>
      <c r="Z192" s="21">
        <f>countif('v1998'!E:E,A192)</f>
        <v>1</v>
      </c>
    </row>
    <row r="193">
      <c r="A193" s="17" t="s">
        <v>3208</v>
      </c>
      <c r="B193" s="17" t="s">
        <v>928</v>
      </c>
      <c r="C193" s="17" t="s">
        <v>929</v>
      </c>
      <c r="D193" s="21" t="str">
        <f t="shared" si="10"/>
        <v>Constante de Loschmidt (273.15 K, 100 kPa)</v>
      </c>
      <c r="E193" s="17" t="s">
        <v>2267</v>
      </c>
      <c r="F193" s="17" t="s">
        <v>3212</v>
      </c>
      <c r="G193" s="18" t="s">
        <v>2269</v>
      </c>
      <c r="H193" s="18" t="str">
        <f t="shared" si="17"/>
        <v>m-3</v>
      </c>
      <c r="I193" s="17">
        <f>if(H193="","", countif(Units!A:A,H193))</f>
        <v>1</v>
      </c>
      <c r="J193" s="17" t="s">
        <v>928</v>
      </c>
      <c r="K193" s="28">
        <f>countif(Quantities!A:A,J193)</f>
        <v>1</v>
      </c>
      <c r="L193" s="30" t="b">
        <f t="shared" si="4"/>
        <v>1</v>
      </c>
      <c r="M193" s="17" t="s">
        <v>928</v>
      </c>
      <c r="N193" s="34" t="str">
        <f t="shared" si="5"/>
        <v>qudt</v>
      </c>
      <c r="O193" s="18" t="b">
        <f t="shared" si="6"/>
        <v>1</v>
      </c>
      <c r="P193" s="39"/>
      <c r="Q193" s="39"/>
      <c r="R193" s="39" t="str">
        <f t="shared" si="7"/>
        <v/>
      </c>
      <c r="S193" s="43">
        <f t="shared" si="8"/>
        <v>4</v>
      </c>
      <c r="T193" s="21">
        <f>countif('v2022'!E:E,A193)</f>
        <v>1</v>
      </c>
      <c r="U193" s="21">
        <f>countif('v2018'!E:E,A193)</f>
        <v>1</v>
      </c>
      <c r="V193" s="21">
        <f>countif('v2014'!E:E,A193)</f>
        <v>1</v>
      </c>
      <c r="W193" s="21">
        <f>countif('v2010'!E:E,A193)</f>
        <v>1</v>
      </c>
      <c r="X193" s="21">
        <f>countif('v2006'!E:E,A193)</f>
        <v>0</v>
      </c>
      <c r="Y193" s="21">
        <f>countif('v2002'!E:E,A193)</f>
        <v>0</v>
      </c>
      <c r="Z193" s="21">
        <f>countif('v1998'!E:E,A193)</f>
        <v>0</v>
      </c>
    </row>
    <row r="194">
      <c r="A194" s="17" t="s">
        <v>3220</v>
      </c>
      <c r="B194" s="17" t="s">
        <v>3222</v>
      </c>
      <c r="C194" s="17" t="s">
        <v>3223</v>
      </c>
      <c r="D194" s="21" t="str">
        <f t="shared" si="10"/>
        <v>Constante de Loschmidt (273.15 K, 101.325 kPa)</v>
      </c>
      <c r="E194" s="17" t="s">
        <v>2273</v>
      </c>
      <c r="F194" s="17" t="s">
        <v>3224</v>
      </c>
      <c r="G194" s="18" t="s">
        <v>2269</v>
      </c>
      <c r="H194" s="18" t="str">
        <f t="shared" si="17"/>
        <v>m-3</v>
      </c>
      <c r="I194" s="17">
        <f>if(H194="","", countif(Units!A:A,H194))</f>
        <v>1</v>
      </c>
      <c r="J194" s="17" t="s">
        <v>928</v>
      </c>
      <c r="K194" s="28">
        <f>countif(Quantities!A:A,J194)</f>
        <v>1</v>
      </c>
      <c r="L194" s="30" t="b">
        <f t="shared" si="4"/>
        <v>0</v>
      </c>
      <c r="M194" s="17" t="s">
        <v>3228</v>
      </c>
      <c r="N194" s="34" t="str">
        <f t="shared" si="5"/>
        <v>qudt</v>
      </c>
      <c r="O194" s="18" t="b">
        <f t="shared" si="6"/>
        <v>1</v>
      </c>
      <c r="P194" s="39"/>
      <c r="Q194" s="39"/>
      <c r="R194" s="39" t="str">
        <f t="shared" si="7"/>
        <v/>
      </c>
      <c r="S194" s="43">
        <f t="shared" si="8"/>
        <v>7</v>
      </c>
      <c r="T194" s="21">
        <f>countif('v2022'!E:E,A194)</f>
        <v>1</v>
      </c>
      <c r="U194" s="21">
        <f>countif('v2018'!E:E,A194)</f>
        <v>1</v>
      </c>
      <c r="V194" s="21">
        <f>countif('v2014'!E:E,A194)</f>
        <v>1</v>
      </c>
      <c r="W194" s="21">
        <f>countif('v2010'!E:E,A194)</f>
        <v>1</v>
      </c>
      <c r="X194" s="21">
        <f>countif('v2006'!E:E,A194)</f>
        <v>1</v>
      </c>
      <c r="Y194" s="21">
        <f>countif('v2002'!E:E,A194)</f>
        <v>1</v>
      </c>
      <c r="Z194" s="21">
        <f>countif('v1998'!E:E,A194)</f>
        <v>1</v>
      </c>
    </row>
    <row r="195">
      <c r="A195" s="17" t="s">
        <v>3236</v>
      </c>
      <c r="B195" s="18" t="s">
        <v>931</v>
      </c>
      <c r="C195" s="21" t="str">
        <f t="shared" ref="C195:C201" si="20">proper(E195)</f>
        <v>Luminous Efficacy</v>
      </c>
      <c r="D195" s="21" t="str">
        <f t="shared" si="10"/>
        <v>Éfficacité lumineuse</v>
      </c>
      <c r="E195" s="17" t="s">
        <v>2277</v>
      </c>
      <c r="F195" s="17" t="s">
        <v>3239</v>
      </c>
      <c r="G195" s="18" t="s">
        <v>2279</v>
      </c>
      <c r="H195" s="18" t="str">
        <f t="shared" si="17"/>
        <v>lm_W-1</v>
      </c>
      <c r="I195" s="17">
        <f>if(H195="","", countif(Units!A:A,H195))</f>
        <v>1</v>
      </c>
      <c r="J195" s="18" t="s">
        <v>931</v>
      </c>
      <c r="K195" s="28">
        <f>countif(Quantities!A:A,J195)</f>
        <v>1</v>
      </c>
      <c r="L195" s="30" t="b">
        <f t="shared" si="4"/>
        <v>1</v>
      </c>
      <c r="M195" s="17" t="s">
        <v>931</v>
      </c>
      <c r="N195" s="34" t="str">
        <f t="shared" si="5"/>
        <v>qudt</v>
      </c>
      <c r="O195" s="18" t="b">
        <f t="shared" si="6"/>
        <v>1</v>
      </c>
      <c r="P195" s="39"/>
      <c r="Q195" s="39" t="s">
        <v>931</v>
      </c>
      <c r="R195" s="34" t="str">
        <f t="shared" si="7"/>
        <v>SI</v>
      </c>
      <c r="S195" s="43">
        <f t="shared" si="8"/>
        <v>2</v>
      </c>
      <c r="T195" s="21">
        <f>countif('v2022'!E:E,A195)</f>
        <v>1</v>
      </c>
      <c r="U195" s="21">
        <f>countif('v2018'!E:E,A195)</f>
        <v>1</v>
      </c>
      <c r="V195" s="21">
        <f>countif('v2014'!E:E,A195)</f>
        <v>0</v>
      </c>
      <c r="W195" s="21">
        <f>countif('v2010'!E:E,A195)</f>
        <v>0</v>
      </c>
      <c r="X195" s="21">
        <f>countif('v2006'!E:E,A195)</f>
        <v>0</v>
      </c>
      <c r="Y195" s="21">
        <f>countif('v2002'!E:E,A195)</f>
        <v>0</v>
      </c>
      <c r="Z195" s="21">
        <f>countif('v1998'!E:E,A195)</f>
        <v>0</v>
      </c>
    </row>
    <row r="196">
      <c r="A196" s="17" t="s">
        <v>3251</v>
      </c>
      <c r="B196" s="18" t="s">
        <v>934</v>
      </c>
      <c r="C196" s="21" t="str">
        <f t="shared" si="20"/>
        <v>Magnetic Flux Quantum</v>
      </c>
      <c r="D196" s="21" t="str">
        <f t="shared" si="10"/>
        <v>Quantum de flux magnétique</v>
      </c>
      <c r="E196" s="17" t="s">
        <v>3252</v>
      </c>
      <c r="F196" s="17" t="s">
        <v>3253</v>
      </c>
      <c r="G196" s="18" t="s">
        <v>622</v>
      </c>
      <c r="H196" s="18" t="str">
        <f t="shared" si="17"/>
        <v>Wb</v>
      </c>
      <c r="I196" s="17">
        <f>if(H196="","", countif(Units!A:A,H196))</f>
        <v>1</v>
      </c>
      <c r="J196" s="18" t="s">
        <v>934</v>
      </c>
      <c r="K196" s="28">
        <f>countif(Quantities!A:A,J196)</f>
        <v>1</v>
      </c>
      <c r="L196" s="30" t="b">
        <f t="shared" si="4"/>
        <v>1</v>
      </c>
      <c r="M196" s="17" t="s">
        <v>934</v>
      </c>
      <c r="N196" s="34" t="str">
        <f t="shared" si="5"/>
        <v>qudt</v>
      </c>
      <c r="O196" s="18" t="b">
        <f t="shared" si="6"/>
        <v>1</v>
      </c>
      <c r="P196" s="39"/>
      <c r="Q196" s="39"/>
      <c r="R196" s="39" t="str">
        <f t="shared" si="7"/>
        <v/>
      </c>
      <c r="S196" s="43">
        <f t="shared" si="8"/>
        <v>7</v>
      </c>
      <c r="T196" s="21">
        <f>countif('v2022'!E:E,A196)</f>
        <v>1</v>
      </c>
      <c r="U196" s="21">
        <f>countif('v2018'!E:E,A196)</f>
        <v>1</v>
      </c>
      <c r="V196" s="21">
        <f>countif('v2014'!E:E,A196)</f>
        <v>1</v>
      </c>
      <c r="W196" s="21">
        <f>countif('v2010'!E:E,A196)</f>
        <v>1</v>
      </c>
      <c r="X196" s="21">
        <f>countif('v2006'!E:E,A196)</f>
        <v>1</v>
      </c>
      <c r="Y196" s="21">
        <f>countif('v2002'!E:E,A196)</f>
        <v>1</v>
      </c>
      <c r="Z196" s="21">
        <f>countif('v1998'!E:E,A196)</f>
        <v>1</v>
      </c>
    </row>
    <row r="197">
      <c r="A197" s="17" t="s">
        <v>3264</v>
      </c>
      <c r="B197" s="18" t="s">
        <v>938</v>
      </c>
      <c r="C197" s="21" t="str">
        <f t="shared" si="20"/>
        <v>Molar Gas Constant</v>
      </c>
      <c r="D197" s="21" t="str">
        <f t="shared" si="10"/>
        <v>Constante molaire des gaz</v>
      </c>
      <c r="E197" s="17" t="s">
        <v>2284</v>
      </c>
      <c r="F197" s="17" t="s">
        <v>3265</v>
      </c>
      <c r="G197" s="18" t="s">
        <v>2286</v>
      </c>
      <c r="H197" s="18" t="str">
        <f t="shared" si="17"/>
        <v>J_mol-1_K-1</v>
      </c>
      <c r="I197" s="17">
        <f>if(H197="","", countif(Units!A:A,H197))</f>
        <v>1</v>
      </c>
      <c r="J197" s="18" t="s">
        <v>938</v>
      </c>
      <c r="K197" s="28">
        <f>countif(Quantities!A:A,J197)</f>
        <v>1</v>
      </c>
      <c r="L197" s="30" t="b">
        <f t="shared" si="4"/>
        <v>1</v>
      </c>
      <c r="M197" s="17" t="s">
        <v>938</v>
      </c>
      <c r="N197" s="34" t="str">
        <f t="shared" si="5"/>
        <v>qudt</v>
      </c>
      <c r="O197" s="18" t="b">
        <f t="shared" si="6"/>
        <v>1</v>
      </c>
      <c r="P197" s="39"/>
      <c r="Q197" s="39"/>
      <c r="R197" s="39" t="str">
        <f t="shared" si="7"/>
        <v/>
      </c>
      <c r="S197" s="43">
        <f t="shared" si="8"/>
        <v>7</v>
      </c>
      <c r="T197" s="21">
        <f>countif('v2022'!E:E,A197)</f>
        <v>1</v>
      </c>
      <c r="U197" s="21">
        <f>countif('v2018'!E:E,A197)</f>
        <v>1</v>
      </c>
      <c r="V197" s="21">
        <f>countif('v2014'!E:E,A197)</f>
        <v>1</v>
      </c>
      <c r="W197" s="21">
        <f>countif('v2010'!E:E,A197)</f>
        <v>1</v>
      </c>
      <c r="X197" s="21">
        <f>countif('v2006'!E:E,A197)</f>
        <v>1</v>
      </c>
      <c r="Y197" s="21">
        <f>countif('v2002'!E:E,A197)</f>
        <v>1</v>
      </c>
      <c r="Z197" s="21">
        <f>countif('v1998'!E:E,A197)</f>
        <v>1</v>
      </c>
    </row>
    <row r="198">
      <c r="A198" s="17" t="s">
        <v>3276</v>
      </c>
      <c r="B198" s="18" t="s">
        <v>942</v>
      </c>
      <c r="C198" s="21" t="str">
        <f t="shared" si="20"/>
        <v>Molar Mass Constant</v>
      </c>
      <c r="D198" s="21" t="str">
        <f t="shared" si="10"/>
        <v>Constante de masse molaire</v>
      </c>
      <c r="E198" s="17" t="s">
        <v>2287</v>
      </c>
      <c r="F198" s="17" t="s">
        <v>3278</v>
      </c>
      <c r="G198" s="18" t="s">
        <v>286</v>
      </c>
      <c r="H198" s="18" t="str">
        <f t="shared" si="17"/>
        <v>kg_mol-1</v>
      </c>
      <c r="I198" s="17">
        <f>if(H198="","", countif(Units!A:A,H198))</f>
        <v>1</v>
      </c>
      <c r="J198" s="18" t="s">
        <v>942</v>
      </c>
      <c r="K198" s="28">
        <f>countif(Quantities!A:A,J198)</f>
        <v>1</v>
      </c>
      <c r="L198" s="30" t="b">
        <f t="shared" si="4"/>
        <v>1</v>
      </c>
      <c r="M198" s="17" t="s">
        <v>942</v>
      </c>
      <c r="N198" s="34" t="str">
        <f t="shared" si="5"/>
        <v>qudt</v>
      </c>
      <c r="O198" s="18" t="b">
        <f t="shared" si="6"/>
        <v>1</v>
      </c>
      <c r="P198" s="39"/>
      <c r="Q198" s="39"/>
      <c r="R198" s="39" t="str">
        <f t="shared" si="7"/>
        <v/>
      </c>
      <c r="S198" s="43">
        <f t="shared" si="8"/>
        <v>7</v>
      </c>
      <c r="T198" s="21">
        <f>countif('v2022'!E:E,A198)</f>
        <v>1</v>
      </c>
      <c r="U198" s="21">
        <f>countif('v2018'!E:E,A198)</f>
        <v>1</v>
      </c>
      <c r="V198" s="21">
        <f>countif('v2014'!E:E,A198)</f>
        <v>1</v>
      </c>
      <c r="W198" s="21">
        <f>countif('v2010'!E:E,A198)</f>
        <v>1</v>
      </c>
      <c r="X198" s="21">
        <f>countif('v2006'!E:E,A198)</f>
        <v>1</v>
      </c>
      <c r="Y198" s="21">
        <f>countif('v2002'!E:E,A198)</f>
        <v>1</v>
      </c>
      <c r="Z198" s="21">
        <f>countif('v1998'!E:E,A198)</f>
        <v>1</v>
      </c>
    </row>
    <row r="199">
      <c r="A199" s="17" t="s">
        <v>3287</v>
      </c>
      <c r="B199" s="18" t="s">
        <v>945</v>
      </c>
      <c r="C199" s="21" t="str">
        <f t="shared" si="20"/>
        <v>Molar Mass Of Carbon-12</v>
      </c>
      <c r="D199" s="21" t="str">
        <f t="shared" si="10"/>
        <v>Masse molaire du carbone 12</v>
      </c>
      <c r="E199" s="17" t="s">
        <v>2290</v>
      </c>
      <c r="F199" s="17" t="s">
        <v>3288</v>
      </c>
      <c r="G199" s="18" t="s">
        <v>286</v>
      </c>
      <c r="H199" s="18" t="str">
        <f t="shared" si="17"/>
        <v>kg_mol-1</v>
      </c>
      <c r="I199" s="17">
        <f>if(H199="","", countif(Units!A:A,H199))</f>
        <v>1</v>
      </c>
      <c r="J199" s="18" t="s">
        <v>945</v>
      </c>
      <c r="K199" s="28">
        <f>countif(Quantities!A:A,J199)</f>
        <v>1</v>
      </c>
      <c r="L199" s="30" t="b">
        <f t="shared" si="4"/>
        <v>1</v>
      </c>
      <c r="M199" s="17" t="s">
        <v>945</v>
      </c>
      <c r="N199" s="34" t="str">
        <f t="shared" si="5"/>
        <v>qudt</v>
      </c>
      <c r="O199" s="18" t="b">
        <f t="shared" si="6"/>
        <v>1</v>
      </c>
      <c r="P199" s="39"/>
      <c r="Q199" s="39"/>
      <c r="R199" s="39" t="str">
        <f t="shared" si="7"/>
        <v/>
      </c>
      <c r="S199" s="43">
        <f t="shared" si="8"/>
        <v>7</v>
      </c>
      <c r="T199" s="21">
        <f>countif('v2022'!E:E,A199)</f>
        <v>1</v>
      </c>
      <c r="U199" s="21">
        <f>countif('v2018'!E:E,A199)</f>
        <v>1</v>
      </c>
      <c r="V199" s="21">
        <f>countif('v2014'!E:E,A199)</f>
        <v>1</v>
      </c>
      <c r="W199" s="21">
        <f>countif('v2010'!E:E,A199)</f>
        <v>1</v>
      </c>
      <c r="X199" s="21">
        <f>countif('v2006'!E:E,A199)</f>
        <v>1</v>
      </c>
      <c r="Y199" s="21">
        <f>countif('v2002'!E:E,A199)</f>
        <v>1</v>
      </c>
      <c r="Z199" s="21">
        <f>countif('v1998'!E:E,A199)</f>
        <v>1</v>
      </c>
    </row>
    <row r="200">
      <c r="A200" s="17" t="s">
        <v>3298</v>
      </c>
      <c r="B200" s="18" t="s">
        <v>948</v>
      </c>
      <c r="C200" s="21" t="str">
        <f t="shared" si="20"/>
        <v>Molar Planck Constant</v>
      </c>
      <c r="D200" s="21" t="str">
        <f t="shared" si="10"/>
        <v>Constante de Planck molaire</v>
      </c>
      <c r="E200" s="17" t="s">
        <v>2295</v>
      </c>
      <c r="F200" s="17" t="s">
        <v>3299</v>
      </c>
      <c r="G200" s="18" t="s">
        <v>2297</v>
      </c>
      <c r="H200" s="18" t="str">
        <f t="shared" si="17"/>
        <v>J_Hz-1_mol-1</v>
      </c>
      <c r="I200" s="17">
        <f>if(H200="","", countif(Units!A:A,H200))</f>
        <v>1</v>
      </c>
      <c r="J200" s="18" t="s">
        <v>948</v>
      </c>
      <c r="K200" s="28">
        <f>countif(Quantities!A:A,J200)</f>
        <v>1</v>
      </c>
      <c r="L200" s="30" t="b">
        <f t="shared" si="4"/>
        <v>1</v>
      </c>
      <c r="M200" s="17" t="s">
        <v>948</v>
      </c>
      <c r="N200" s="34" t="str">
        <f t="shared" si="5"/>
        <v>qudt</v>
      </c>
      <c r="O200" s="18" t="b">
        <f t="shared" si="6"/>
        <v>1</v>
      </c>
      <c r="P200" s="39"/>
      <c r="Q200" s="39"/>
      <c r="R200" s="39" t="str">
        <f t="shared" si="7"/>
        <v/>
      </c>
      <c r="S200" s="43">
        <f t="shared" si="8"/>
        <v>7</v>
      </c>
      <c r="T200" s="21">
        <f>countif('v2022'!E:E,A200)</f>
        <v>1</v>
      </c>
      <c r="U200" s="21">
        <f>countif('v2018'!E:E,A200)</f>
        <v>1</v>
      </c>
      <c r="V200" s="21">
        <f>countif('v2014'!E:E,A200)</f>
        <v>1</v>
      </c>
      <c r="W200" s="21">
        <f>countif('v2010'!E:E,A200)</f>
        <v>1</v>
      </c>
      <c r="X200" s="21">
        <f>countif('v2006'!E:E,A200)</f>
        <v>1</v>
      </c>
      <c r="Y200" s="21">
        <f>countif('v2002'!E:E,A200)</f>
        <v>1</v>
      </c>
      <c r="Z200" s="21">
        <f>countif('v1998'!E:E,A200)</f>
        <v>1</v>
      </c>
    </row>
    <row r="201">
      <c r="A201" s="17" t="s">
        <v>3310</v>
      </c>
      <c r="B201" s="18" t="s">
        <v>950</v>
      </c>
      <c r="C201" s="21" t="str">
        <f t="shared" si="20"/>
        <v>Molar Planck Constant Times C</v>
      </c>
      <c r="D201" s="21" t="str">
        <f t="shared" si="10"/>
        <v>Produit de la constante de Planck molaire par la vitesse de la lumière dans le vide</v>
      </c>
      <c r="E201" s="17" t="s">
        <v>3311</v>
      </c>
      <c r="F201" s="17" t="s">
        <v>3312</v>
      </c>
      <c r="G201" s="17" t="s">
        <v>3314</v>
      </c>
      <c r="H201" s="18" t="str">
        <f t="shared" si="17"/>
        <v>J_m_mol-1</v>
      </c>
      <c r="I201" s="17">
        <f>if(H201="","", countif(Units!A:A,H201))</f>
        <v>1</v>
      </c>
      <c r="J201" s="18" t="s">
        <v>950</v>
      </c>
      <c r="K201" s="28">
        <f>countif(Quantities!A:A,J201)</f>
        <v>1</v>
      </c>
      <c r="L201" s="30" t="b">
        <f t="shared" si="4"/>
        <v>1</v>
      </c>
      <c r="M201" s="17" t="s">
        <v>950</v>
      </c>
      <c r="N201" s="34" t="str">
        <f t="shared" si="5"/>
        <v>qudt</v>
      </c>
      <c r="O201" s="18" t="b">
        <f t="shared" si="6"/>
        <v>1</v>
      </c>
      <c r="P201" s="39"/>
      <c r="Q201" s="39"/>
      <c r="R201" s="39" t="str">
        <f t="shared" si="7"/>
        <v/>
      </c>
      <c r="S201" s="43">
        <f t="shared" si="8"/>
        <v>5</v>
      </c>
      <c r="T201" s="21">
        <f>countif('v2022'!E:E,A201)</f>
        <v>0</v>
      </c>
      <c r="U201" s="21">
        <f>countif('v2018'!E:E,A201)</f>
        <v>0</v>
      </c>
      <c r="V201" s="21">
        <f>countif('v2014'!E:E,A201)</f>
        <v>1</v>
      </c>
      <c r="W201" s="21">
        <f>countif('v2010'!E:E,A201)</f>
        <v>1</v>
      </c>
      <c r="X201" s="21">
        <f>countif('v2006'!E:E,A201)</f>
        <v>1</v>
      </c>
      <c r="Y201" s="21">
        <f>countif('v2002'!E:E,A201)</f>
        <v>1</v>
      </c>
      <c r="Z201" s="21">
        <f>countif('v1998'!E:E,A201)</f>
        <v>1</v>
      </c>
    </row>
    <row r="202">
      <c r="A202" s="17" t="s">
        <v>3325</v>
      </c>
      <c r="B202" s="17" t="s">
        <v>953</v>
      </c>
      <c r="C202" s="17" t="s">
        <v>954</v>
      </c>
      <c r="D202" s="21" t="str">
        <f t="shared" si="10"/>
        <v>Volume molaire d'un gaz parfait (273.15 K, 100 kPa)</v>
      </c>
      <c r="E202" s="17" t="s">
        <v>2300</v>
      </c>
      <c r="F202" s="17" t="s">
        <v>3326</v>
      </c>
      <c r="G202" s="18" t="s">
        <v>2302</v>
      </c>
      <c r="H202" s="18" t="str">
        <f t="shared" si="17"/>
        <v>m3_mol-1</v>
      </c>
      <c r="I202" s="17">
        <f>if(H202="","", countif(Units!A:A,H202))</f>
        <v>1</v>
      </c>
      <c r="J202" s="17" t="s">
        <v>953</v>
      </c>
      <c r="K202" s="28">
        <f>countif(Quantities!A:A,J202)</f>
        <v>1</v>
      </c>
      <c r="L202" s="30" t="b">
        <f t="shared" si="4"/>
        <v>1</v>
      </c>
      <c r="M202" s="17" t="s">
        <v>3330</v>
      </c>
      <c r="N202" s="34" t="str">
        <f t="shared" si="5"/>
        <v>qudt</v>
      </c>
      <c r="O202" s="18" t="b">
        <f t="shared" si="6"/>
        <v>1</v>
      </c>
      <c r="P202" s="39"/>
      <c r="Q202" s="39"/>
      <c r="R202" s="39" t="str">
        <f t="shared" si="7"/>
        <v/>
      </c>
      <c r="S202" s="43">
        <f t="shared" si="8"/>
        <v>7</v>
      </c>
      <c r="T202" s="21">
        <f>countif('v2022'!E:E,A202)</f>
        <v>1</v>
      </c>
      <c r="U202" s="21">
        <f>countif('v2018'!E:E,A202)</f>
        <v>1</v>
      </c>
      <c r="V202" s="21">
        <f>countif('v2014'!E:E,A202)</f>
        <v>1</v>
      </c>
      <c r="W202" s="21">
        <f>countif('v2010'!E:E,A202)</f>
        <v>1</v>
      </c>
      <c r="X202" s="21">
        <f>countif('v2006'!E:E,A202)</f>
        <v>1</v>
      </c>
      <c r="Y202" s="21">
        <f>countif('v2002'!E:E,A202)</f>
        <v>1</v>
      </c>
      <c r="Z202" s="21">
        <f>countif('v1998'!E:E,A202)</f>
        <v>1</v>
      </c>
    </row>
    <row r="203">
      <c r="A203" s="17" t="s">
        <v>3340</v>
      </c>
      <c r="B203" s="17" t="s">
        <v>3341</v>
      </c>
      <c r="C203" s="17" t="s">
        <v>3342</v>
      </c>
      <c r="D203" s="21" t="str">
        <f t="shared" si="10"/>
        <v>Volume molaire d'un gaz parfait (273.15 K, 101.325 kPa)</v>
      </c>
      <c r="E203" s="17" t="s">
        <v>2303</v>
      </c>
      <c r="F203" s="17" t="s">
        <v>3343</v>
      </c>
      <c r="G203" s="18" t="s">
        <v>2302</v>
      </c>
      <c r="H203" s="18" t="str">
        <f t="shared" si="17"/>
        <v>m3_mol-1</v>
      </c>
      <c r="I203" s="17">
        <f>if(H203="","", countif(Units!A:A,H203))</f>
        <v>1</v>
      </c>
      <c r="J203" s="17" t="s">
        <v>953</v>
      </c>
      <c r="K203" s="28">
        <f>countif(Quantities!A:A,J203)</f>
        <v>1</v>
      </c>
      <c r="L203" s="30" t="b">
        <f t="shared" si="4"/>
        <v>0</v>
      </c>
      <c r="M203" s="17" t="s">
        <v>3346</v>
      </c>
      <c r="N203" s="34" t="str">
        <f t="shared" si="5"/>
        <v>qudt</v>
      </c>
      <c r="O203" s="18" t="b">
        <f t="shared" si="6"/>
        <v>1</v>
      </c>
      <c r="P203" s="39"/>
      <c r="Q203" s="39"/>
      <c r="R203" s="39" t="str">
        <f t="shared" si="7"/>
        <v/>
      </c>
      <c r="S203" s="43">
        <f t="shared" si="8"/>
        <v>7</v>
      </c>
      <c r="T203" s="21">
        <f>countif('v2022'!E:E,A203)</f>
        <v>1</v>
      </c>
      <c r="U203" s="21">
        <f>countif('v2018'!E:E,A203)</f>
        <v>1</v>
      </c>
      <c r="V203" s="21">
        <f>countif('v2014'!E:E,A203)</f>
        <v>1</v>
      </c>
      <c r="W203" s="21">
        <f>countif('v2010'!E:E,A203)</f>
        <v>1</v>
      </c>
      <c r="X203" s="21">
        <f>countif('v2006'!E:E,A203)</f>
        <v>1</v>
      </c>
      <c r="Y203" s="21">
        <f>countif('v2002'!E:E,A203)</f>
        <v>1</v>
      </c>
      <c r="Z203" s="21">
        <f>countif('v1998'!E:E,A203)</f>
        <v>1</v>
      </c>
    </row>
    <row r="204">
      <c r="A204" s="17" t="s">
        <v>3355</v>
      </c>
      <c r="B204" s="18" t="s">
        <v>956</v>
      </c>
      <c r="C204" s="21" t="str">
        <f t="shared" ref="C204:C215" si="21">proper(E204)</f>
        <v>Molar Volume Of Silicon</v>
      </c>
      <c r="D204" s="21" t="str">
        <f t="shared" si="10"/>
        <v>Volume molaire du silicium</v>
      </c>
      <c r="E204" s="17" t="s">
        <v>2308</v>
      </c>
      <c r="F204" s="17" t="s">
        <v>3357</v>
      </c>
      <c r="G204" s="18" t="s">
        <v>2302</v>
      </c>
      <c r="H204" s="18" t="str">
        <f t="shared" si="17"/>
        <v>m3_mol-1</v>
      </c>
      <c r="I204" s="17">
        <f>if(H204="","", countif(Units!A:A,H204))</f>
        <v>1</v>
      </c>
      <c r="J204" s="18" t="s">
        <v>956</v>
      </c>
      <c r="K204" s="28">
        <f>countif(Quantities!A:A,J204)</f>
        <v>1</v>
      </c>
      <c r="L204" s="30" t="b">
        <f t="shared" si="4"/>
        <v>1</v>
      </c>
      <c r="M204" s="17" t="s">
        <v>956</v>
      </c>
      <c r="N204" s="34" t="str">
        <f t="shared" si="5"/>
        <v>qudt</v>
      </c>
      <c r="O204" s="18" t="b">
        <f t="shared" si="6"/>
        <v>1</v>
      </c>
      <c r="P204" s="39"/>
      <c r="Q204" s="39"/>
      <c r="R204" s="39" t="str">
        <f t="shared" si="7"/>
        <v/>
      </c>
      <c r="S204" s="43">
        <f t="shared" si="8"/>
        <v>7</v>
      </c>
      <c r="T204" s="21">
        <f>countif('v2022'!E:E,A204)</f>
        <v>1</v>
      </c>
      <c r="U204" s="21">
        <f>countif('v2018'!E:E,A204)</f>
        <v>1</v>
      </c>
      <c r="V204" s="21">
        <f>countif('v2014'!E:E,A204)</f>
        <v>1</v>
      </c>
      <c r="W204" s="21">
        <f>countif('v2010'!E:E,A204)</f>
        <v>1</v>
      </c>
      <c r="X204" s="21">
        <f>countif('v2006'!E:E,A204)</f>
        <v>1</v>
      </c>
      <c r="Y204" s="21">
        <f>countif('v2002'!E:E,A204)</f>
        <v>1</v>
      </c>
      <c r="Z204" s="21">
        <f>countif('v1998'!E:E,A204)</f>
        <v>1</v>
      </c>
    </row>
    <row r="205">
      <c r="A205" s="17" t="s">
        <v>3324</v>
      </c>
      <c r="B205" s="18" t="s">
        <v>958</v>
      </c>
      <c r="C205" s="21" t="str">
        <f t="shared" si="21"/>
        <v>Molybdenum X Unit</v>
      </c>
      <c r="D205" s="21" t="str">
        <f t="shared" si="10"/>
        <v>Unité x du Molybdène</v>
      </c>
      <c r="E205" s="17" t="s">
        <v>2313</v>
      </c>
      <c r="F205" s="17" t="s">
        <v>3360</v>
      </c>
      <c r="G205" s="18" t="s">
        <v>381</v>
      </c>
      <c r="H205" s="18" t="str">
        <f t="shared" si="17"/>
        <v>m</v>
      </c>
      <c r="I205" s="17">
        <f>if(H205="","", countif(Units!A:A,H205))</f>
        <v>1</v>
      </c>
      <c r="J205" s="18" t="s">
        <v>958</v>
      </c>
      <c r="K205" s="28">
        <f>countif(Quantities!A:A,J205)</f>
        <v>1</v>
      </c>
      <c r="L205" s="30" t="b">
        <f t="shared" si="4"/>
        <v>1</v>
      </c>
      <c r="M205" s="17" t="s">
        <v>958</v>
      </c>
      <c r="N205" s="34" t="str">
        <f t="shared" si="5"/>
        <v>qudt</v>
      </c>
      <c r="O205" s="18" t="b">
        <f t="shared" si="6"/>
        <v>1</v>
      </c>
      <c r="P205" s="39"/>
      <c r="Q205" s="39"/>
      <c r="R205" s="39" t="str">
        <f t="shared" si="7"/>
        <v/>
      </c>
      <c r="S205" s="43">
        <f t="shared" si="8"/>
        <v>7</v>
      </c>
      <c r="T205" s="21">
        <f>countif('v2022'!E:E,A205)</f>
        <v>1</v>
      </c>
      <c r="U205" s="21">
        <f>countif('v2018'!E:E,A205)</f>
        <v>1</v>
      </c>
      <c r="V205" s="21">
        <f>countif('v2014'!E:E,A205)</f>
        <v>1</v>
      </c>
      <c r="W205" s="21">
        <f>countif('v2010'!E:E,A205)</f>
        <v>1</v>
      </c>
      <c r="X205" s="21">
        <f>countif('v2006'!E:E,A205)</f>
        <v>1</v>
      </c>
      <c r="Y205" s="21">
        <f>countif('v2002'!E:E,A205)</f>
        <v>1</v>
      </c>
      <c r="Z205" s="21">
        <f>countif('v1998'!E:E,A205)</f>
        <v>1</v>
      </c>
    </row>
    <row r="206">
      <c r="A206" s="17" t="s">
        <v>3371</v>
      </c>
      <c r="B206" s="18" t="s">
        <v>965</v>
      </c>
      <c r="C206" s="21" t="str">
        <f t="shared" si="21"/>
        <v>Muon Compton Wavelength</v>
      </c>
      <c r="D206" s="21" t="str">
        <f t="shared" si="10"/>
        <v>Longueur d'onde de Compton du muon</v>
      </c>
      <c r="E206" s="17" t="s">
        <v>2318</v>
      </c>
      <c r="F206" s="17" t="s">
        <v>3374</v>
      </c>
      <c r="G206" s="18" t="s">
        <v>381</v>
      </c>
      <c r="H206" s="18" t="str">
        <f t="shared" si="17"/>
        <v>m</v>
      </c>
      <c r="I206" s="17">
        <f>if(H206="","", countif(Units!A:A,H206))</f>
        <v>1</v>
      </c>
      <c r="J206" s="18" t="s">
        <v>965</v>
      </c>
      <c r="K206" s="28">
        <f>countif(Quantities!A:A,J206)</f>
        <v>1</v>
      </c>
      <c r="L206" s="30" t="b">
        <f t="shared" si="4"/>
        <v>1</v>
      </c>
      <c r="M206" s="17" t="s">
        <v>965</v>
      </c>
      <c r="N206" s="34" t="str">
        <f t="shared" si="5"/>
        <v>qudt</v>
      </c>
      <c r="O206" s="18" t="b">
        <f t="shared" si="6"/>
        <v>1</v>
      </c>
      <c r="P206" s="39"/>
      <c r="Q206" s="39"/>
      <c r="R206" s="39" t="str">
        <f t="shared" si="7"/>
        <v/>
      </c>
      <c r="S206" s="43">
        <f t="shared" si="8"/>
        <v>7</v>
      </c>
      <c r="T206" s="21">
        <f>countif('v2022'!E:E,A206)</f>
        <v>1</v>
      </c>
      <c r="U206" s="21">
        <f>countif('v2018'!E:E,A206)</f>
        <v>1</v>
      </c>
      <c r="V206" s="21">
        <f>countif('v2014'!E:E,A206)</f>
        <v>1</v>
      </c>
      <c r="W206" s="21">
        <f>countif('v2010'!E:E,A206)</f>
        <v>1</v>
      </c>
      <c r="X206" s="21">
        <f>countif('v2006'!E:E,A206)</f>
        <v>1</v>
      </c>
      <c r="Y206" s="21">
        <f>countif('v2002'!E:E,A206)</f>
        <v>1</v>
      </c>
      <c r="Z206" s="21">
        <f>countif('v1998'!E:E,A206)</f>
        <v>1</v>
      </c>
    </row>
    <row r="207">
      <c r="A207" s="70" t="s">
        <v>3379</v>
      </c>
      <c r="B207" s="18" t="s">
        <v>1207</v>
      </c>
      <c r="C207" s="21" t="str">
        <f t="shared" si="21"/>
        <v>Reduced Muon Compton Wavelength</v>
      </c>
      <c r="D207" s="21" t="str">
        <f t="shared" si="10"/>
        <v>Longueur d'onde de Compton réduite du muon</v>
      </c>
      <c r="E207" s="70" t="s">
        <v>2735</v>
      </c>
      <c r="F207" s="70" t="s">
        <v>3380</v>
      </c>
      <c r="G207" s="71" t="s">
        <v>381</v>
      </c>
      <c r="H207" s="18" t="str">
        <f t="shared" si="17"/>
        <v>m</v>
      </c>
      <c r="I207" s="17">
        <f>if(H207="","", countif(Units!A:A,H207))</f>
        <v>1</v>
      </c>
      <c r="J207" s="71" t="s">
        <v>1207</v>
      </c>
      <c r="K207" s="72">
        <f>countif(Quantities!A:A,J207)</f>
        <v>1</v>
      </c>
      <c r="L207" s="73" t="b">
        <f t="shared" si="4"/>
        <v>1</v>
      </c>
      <c r="M207" s="17" t="s">
        <v>3385</v>
      </c>
      <c r="N207" s="34" t="str">
        <f t="shared" si="5"/>
        <v>qudt</v>
      </c>
      <c r="O207" s="71" t="b">
        <f t="shared" si="6"/>
        <v>1</v>
      </c>
      <c r="P207" s="74"/>
      <c r="Q207" s="74"/>
      <c r="R207" s="39" t="str">
        <f t="shared" si="7"/>
        <v/>
      </c>
      <c r="S207" s="43">
        <f t="shared" si="8"/>
        <v>7</v>
      </c>
      <c r="T207" s="21">
        <f>countif('v2022'!E:E,A207)</f>
        <v>1</v>
      </c>
      <c r="U207" s="21">
        <f>countif('v2018'!E:E,A207)</f>
        <v>1</v>
      </c>
      <c r="V207" s="21">
        <f>countif('v2014'!E:E,A207)</f>
        <v>1</v>
      </c>
      <c r="W207" s="21">
        <f>countif('v2010'!E:E,A207)</f>
        <v>1</v>
      </c>
      <c r="X207" s="21">
        <f>countif('v2006'!E:E,A207)</f>
        <v>1</v>
      </c>
      <c r="Y207" s="21">
        <f>countif('v2002'!E:E,A207)</f>
        <v>1</v>
      </c>
      <c r="Z207" s="21">
        <f>countif('v1998'!E:E,A207)</f>
        <v>1</v>
      </c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</row>
    <row r="208">
      <c r="A208" s="17" t="s">
        <v>3394</v>
      </c>
      <c r="B208" s="18" t="s">
        <v>968</v>
      </c>
      <c r="C208" s="21" t="str">
        <f t="shared" si="21"/>
        <v>Muon - Electron Mass Ratio</v>
      </c>
      <c r="D208" s="21" t="str">
        <f t="shared" si="10"/>
        <v>Rapport de la masse du muon à celle de l'électron</v>
      </c>
      <c r="E208" s="17" t="s">
        <v>3395</v>
      </c>
      <c r="F208" s="17" t="s">
        <v>3396</v>
      </c>
      <c r="H208" s="18" t="str">
        <f t="shared" si="17"/>
        <v/>
      </c>
      <c r="I208" s="17" t="str">
        <f>if(H208="","", countif(Units!A:A,H208))</f>
        <v/>
      </c>
      <c r="J208" s="18" t="s">
        <v>968</v>
      </c>
      <c r="K208" s="28">
        <f>countif(Quantities!A:A,J208)</f>
        <v>1</v>
      </c>
      <c r="L208" s="30" t="b">
        <f t="shared" si="4"/>
        <v>1</v>
      </c>
      <c r="M208" s="17" t="s">
        <v>968</v>
      </c>
      <c r="N208" s="34" t="str">
        <f t="shared" si="5"/>
        <v>qudt</v>
      </c>
      <c r="O208" s="18" t="b">
        <f t="shared" si="6"/>
        <v>1</v>
      </c>
      <c r="P208" s="39"/>
      <c r="Q208" s="39"/>
      <c r="R208" s="39" t="str">
        <f t="shared" si="7"/>
        <v/>
      </c>
      <c r="S208" s="43">
        <f t="shared" si="8"/>
        <v>7</v>
      </c>
      <c r="T208" s="21">
        <f>countif('v2022'!E:E,A208)</f>
        <v>1</v>
      </c>
      <c r="U208" s="21">
        <f>countif('v2018'!E:E,A208)</f>
        <v>1</v>
      </c>
      <c r="V208" s="21">
        <f>countif('v2014'!E:E,A208)</f>
        <v>1</v>
      </c>
      <c r="W208" s="21">
        <f>countif('v2010'!E:E,A208)</f>
        <v>1</v>
      </c>
      <c r="X208" s="21">
        <f>countif('v2006'!E:E,A208)</f>
        <v>1</v>
      </c>
      <c r="Y208" s="21">
        <f>countif('v2002'!E:E,A208)</f>
        <v>1</v>
      </c>
      <c r="Z208" s="21">
        <f>countif('v1998'!E:E,A208)</f>
        <v>1</v>
      </c>
    </row>
    <row r="209">
      <c r="A209" s="17" t="s">
        <v>3408</v>
      </c>
      <c r="B209" s="18" t="s">
        <v>970</v>
      </c>
      <c r="C209" s="21" t="str">
        <f t="shared" si="21"/>
        <v>Muon G Factor</v>
      </c>
      <c r="D209" s="21" t="str">
        <f t="shared" si="10"/>
        <v>Facteur de Landé du muon</v>
      </c>
      <c r="E209" s="17" t="s">
        <v>2330</v>
      </c>
      <c r="F209" s="17" t="s">
        <v>3409</v>
      </c>
      <c r="H209" s="18" t="str">
        <f t="shared" si="17"/>
        <v/>
      </c>
      <c r="I209" s="17" t="str">
        <f>if(H209="","", countif(Units!A:A,H209))</f>
        <v/>
      </c>
      <c r="J209" s="18" t="s">
        <v>970</v>
      </c>
      <c r="K209" s="28">
        <f>countif(Quantities!A:A,J209)</f>
        <v>1</v>
      </c>
      <c r="L209" s="30" t="b">
        <f t="shared" si="4"/>
        <v>1</v>
      </c>
      <c r="M209" s="17" t="s">
        <v>970</v>
      </c>
      <c r="N209" s="34" t="str">
        <f t="shared" si="5"/>
        <v>qudt</v>
      </c>
      <c r="O209" s="18" t="b">
        <f t="shared" si="6"/>
        <v>1</v>
      </c>
      <c r="P209" s="39"/>
      <c r="Q209" s="39"/>
      <c r="R209" s="39" t="str">
        <f t="shared" si="7"/>
        <v/>
      </c>
      <c r="S209" s="43">
        <f t="shared" si="8"/>
        <v>7</v>
      </c>
      <c r="T209" s="21">
        <f>countif('v2022'!E:E,A209)</f>
        <v>1</v>
      </c>
      <c r="U209" s="21">
        <f>countif('v2018'!E:E,A209)</f>
        <v>1</v>
      </c>
      <c r="V209" s="21">
        <f>countif('v2014'!E:E,A209)</f>
        <v>1</v>
      </c>
      <c r="W209" s="21">
        <f>countif('v2010'!E:E,A209)</f>
        <v>1</v>
      </c>
      <c r="X209" s="21">
        <f>countif('v2006'!E:E,A209)</f>
        <v>1</v>
      </c>
      <c r="Y209" s="21">
        <f>countif('v2002'!E:E,A209)</f>
        <v>1</v>
      </c>
      <c r="Z209" s="21">
        <f>countif('v1998'!E:E,A209)</f>
        <v>1</v>
      </c>
    </row>
    <row r="210">
      <c r="A210" s="17" t="s">
        <v>3415</v>
      </c>
      <c r="B210" s="18" t="s">
        <v>973</v>
      </c>
      <c r="C210" s="21" t="str">
        <f t="shared" si="21"/>
        <v>Muon Magnetic Moment</v>
      </c>
      <c r="D210" s="21" t="str">
        <f t="shared" si="10"/>
        <v>Moment magnétique du muon</v>
      </c>
      <c r="E210" s="17" t="s">
        <v>3416</v>
      </c>
      <c r="F210" s="17" t="s">
        <v>3417</v>
      </c>
      <c r="G210" s="18" t="s">
        <v>964</v>
      </c>
      <c r="H210" s="18" t="str">
        <f t="shared" si="17"/>
        <v>J_T-1</v>
      </c>
      <c r="I210" s="17">
        <f>if(H210="","", countif(Units!A:A,H210))</f>
        <v>1</v>
      </c>
      <c r="J210" s="18" t="s">
        <v>973</v>
      </c>
      <c r="K210" s="28">
        <f>countif(Quantities!A:A,J210)</f>
        <v>1</v>
      </c>
      <c r="L210" s="30" t="b">
        <f t="shared" si="4"/>
        <v>1</v>
      </c>
      <c r="M210" s="17" t="s">
        <v>973</v>
      </c>
      <c r="N210" s="34" t="str">
        <f t="shared" si="5"/>
        <v>qudt</v>
      </c>
      <c r="O210" s="18" t="b">
        <f t="shared" si="6"/>
        <v>1</v>
      </c>
      <c r="P210" s="39"/>
      <c r="Q210" s="39"/>
      <c r="R210" s="39" t="str">
        <f t="shared" si="7"/>
        <v/>
      </c>
      <c r="S210" s="43">
        <f t="shared" si="8"/>
        <v>7</v>
      </c>
      <c r="T210" s="21">
        <f>countif('v2022'!E:E,A210)</f>
        <v>1</v>
      </c>
      <c r="U210" s="21">
        <f>countif('v2018'!E:E,A210)</f>
        <v>1</v>
      </c>
      <c r="V210" s="21">
        <f>countif('v2014'!E:E,A210)</f>
        <v>1</v>
      </c>
      <c r="W210" s="21">
        <f>countif('v2010'!E:E,A210)</f>
        <v>1</v>
      </c>
      <c r="X210" s="21">
        <f>countif('v2006'!E:E,A210)</f>
        <v>1</v>
      </c>
      <c r="Y210" s="21">
        <f>countif('v2002'!E:E,A210)</f>
        <v>1</v>
      </c>
      <c r="Z210" s="21">
        <f>countif('v1998'!E:E,A210)</f>
        <v>1</v>
      </c>
    </row>
    <row r="211">
      <c r="A211" s="17" t="s">
        <v>3425</v>
      </c>
      <c r="B211" s="18" t="s">
        <v>976</v>
      </c>
      <c r="C211" s="21" t="str">
        <f t="shared" si="21"/>
        <v>Muon Magnetic Moment Anomaly</v>
      </c>
      <c r="D211" s="21" t="str">
        <f t="shared" si="10"/>
        <v>Moment magnétique anomal du muon</v>
      </c>
      <c r="E211" s="17" t="s">
        <v>3426</v>
      </c>
      <c r="F211" s="17" t="s">
        <v>3427</v>
      </c>
      <c r="H211" s="18" t="str">
        <f t="shared" si="17"/>
        <v/>
      </c>
      <c r="I211" s="17" t="str">
        <f>if(H211="","", countif(Units!A:A,H211))</f>
        <v/>
      </c>
      <c r="J211" s="18" t="s">
        <v>976</v>
      </c>
      <c r="K211" s="28">
        <f>countif(Quantities!A:A,J211)</f>
        <v>1</v>
      </c>
      <c r="L211" s="30" t="b">
        <f t="shared" si="4"/>
        <v>1</v>
      </c>
      <c r="M211" s="17" t="s">
        <v>976</v>
      </c>
      <c r="N211" s="34" t="str">
        <f t="shared" si="5"/>
        <v>qudt</v>
      </c>
      <c r="O211" s="18" t="b">
        <f t="shared" si="6"/>
        <v>1</v>
      </c>
      <c r="P211" s="39"/>
      <c r="Q211" s="39"/>
      <c r="R211" s="39" t="str">
        <f t="shared" si="7"/>
        <v/>
      </c>
      <c r="S211" s="43">
        <f t="shared" si="8"/>
        <v>7</v>
      </c>
      <c r="T211" s="21">
        <f>countif('v2022'!E:E,A211)</f>
        <v>1</v>
      </c>
      <c r="U211" s="21">
        <f>countif('v2018'!E:E,A211)</f>
        <v>1</v>
      </c>
      <c r="V211" s="21">
        <f>countif('v2014'!E:E,A211)</f>
        <v>1</v>
      </c>
      <c r="W211" s="21">
        <f>countif('v2010'!E:E,A211)</f>
        <v>1</v>
      </c>
      <c r="X211" s="21">
        <f>countif('v2006'!E:E,A211)</f>
        <v>1</v>
      </c>
      <c r="Y211" s="21">
        <f>countif('v2002'!E:E,A211)</f>
        <v>1</v>
      </c>
      <c r="Z211" s="21">
        <f>countif('v1998'!E:E,A211)</f>
        <v>1</v>
      </c>
    </row>
    <row r="212">
      <c r="A212" s="17" t="s">
        <v>3434</v>
      </c>
      <c r="B212" s="18" t="s">
        <v>981</v>
      </c>
      <c r="C212" s="21" t="str">
        <f t="shared" si="21"/>
        <v>Muon Magnetic Moment To Bohr Magneton Ratio</v>
      </c>
      <c r="D212" s="21" t="str">
        <f t="shared" si="10"/>
        <v>Rapport du moment magnétique du muon au magnéton de Bohr électronique</v>
      </c>
      <c r="E212" s="17" t="s">
        <v>3435</v>
      </c>
      <c r="F212" s="17" t="s">
        <v>3436</v>
      </c>
      <c r="H212" s="18" t="str">
        <f t="shared" si="17"/>
        <v/>
      </c>
      <c r="I212" s="17" t="str">
        <f>if(H212="","", countif(Units!A:A,H212))</f>
        <v/>
      </c>
      <c r="J212" s="18" t="s">
        <v>981</v>
      </c>
      <c r="K212" s="28">
        <f>countif(Quantities!A:A,J212)</f>
        <v>1</v>
      </c>
      <c r="L212" s="30" t="b">
        <f t="shared" si="4"/>
        <v>1</v>
      </c>
      <c r="M212" s="17" t="s">
        <v>981</v>
      </c>
      <c r="N212" s="34" t="str">
        <f t="shared" si="5"/>
        <v>qudt</v>
      </c>
      <c r="O212" s="18" t="b">
        <f t="shared" si="6"/>
        <v>1</v>
      </c>
      <c r="P212" s="39"/>
      <c r="Q212" s="39"/>
      <c r="R212" s="39" t="str">
        <f t="shared" si="7"/>
        <v/>
      </c>
      <c r="S212" s="43">
        <f t="shared" si="8"/>
        <v>7</v>
      </c>
      <c r="T212" s="21">
        <f>countif('v2022'!E:E,A212)</f>
        <v>1</v>
      </c>
      <c r="U212" s="21">
        <f>countif('v2018'!E:E,A212)</f>
        <v>1</v>
      </c>
      <c r="V212" s="21">
        <f>countif('v2014'!E:E,A212)</f>
        <v>1</v>
      </c>
      <c r="W212" s="21">
        <f>countif('v2010'!E:E,A212)</f>
        <v>1</v>
      </c>
      <c r="X212" s="21">
        <f>countif('v2006'!E:E,A212)</f>
        <v>1</v>
      </c>
      <c r="Y212" s="21">
        <f>countif('v2002'!E:E,A212)</f>
        <v>1</v>
      </c>
      <c r="Z212" s="21">
        <f>countif('v1998'!E:E,A212)</f>
        <v>1</v>
      </c>
    </row>
    <row r="213">
      <c r="A213" s="17" t="s">
        <v>3445</v>
      </c>
      <c r="B213" s="18" t="s">
        <v>984</v>
      </c>
      <c r="C213" s="21" t="str">
        <f t="shared" si="21"/>
        <v>Muon Magnetic Moment To Nuclear Magneton Ratio</v>
      </c>
      <c r="D213" s="21" t="str">
        <f t="shared" si="10"/>
        <v>Rapport du moment magnétique du muon au magnéton de Bohr nucléaire</v>
      </c>
      <c r="E213" s="17" t="s">
        <v>3446</v>
      </c>
      <c r="F213" s="17" t="s">
        <v>3447</v>
      </c>
      <c r="H213" s="18" t="str">
        <f t="shared" si="17"/>
        <v/>
      </c>
      <c r="I213" s="17" t="str">
        <f>if(H213="","", countif(Units!A:A,H213))</f>
        <v/>
      </c>
      <c r="J213" s="18" t="s">
        <v>984</v>
      </c>
      <c r="K213" s="28">
        <f>countif(Quantities!A:A,J213)</f>
        <v>1</v>
      </c>
      <c r="L213" s="30" t="b">
        <f t="shared" si="4"/>
        <v>1</v>
      </c>
      <c r="M213" s="17" t="s">
        <v>984</v>
      </c>
      <c r="N213" s="34" t="str">
        <f t="shared" si="5"/>
        <v>qudt</v>
      </c>
      <c r="O213" s="18" t="b">
        <f t="shared" si="6"/>
        <v>1</v>
      </c>
      <c r="P213" s="39"/>
      <c r="Q213" s="39"/>
      <c r="R213" s="39" t="str">
        <f t="shared" si="7"/>
        <v/>
      </c>
      <c r="S213" s="43">
        <f t="shared" si="8"/>
        <v>7</v>
      </c>
      <c r="T213" s="21">
        <f>countif('v2022'!E:E,A213)</f>
        <v>1</v>
      </c>
      <c r="U213" s="21">
        <f>countif('v2018'!E:E,A213)</f>
        <v>1</v>
      </c>
      <c r="V213" s="21">
        <f>countif('v2014'!E:E,A213)</f>
        <v>1</v>
      </c>
      <c r="W213" s="21">
        <f>countif('v2010'!E:E,A213)</f>
        <v>1</v>
      </c>
      <c r="X213" s="21">
        <f>countif('v2006'!E:E,A213)</f>
        <v>1</v>
      </c>
      <c r="Y213" s="21">
        <f>countif('v2002'!E:E,A213)</f>
        <v>1</v>
      </c>
      <c r="Z213" s="21">
        <f>countif('v1998'!E:E,A213)</f>
        <v>1</v>
      </c>
    </row>
    <row r="214">
      <c r="A214" s="17" t="s">
        <v>3451</v>
      </c>
      <c r="B214" s="18" t="s">
        <v>986</v>
      </c>
      <c r="C214" s="21" t="str">
        <f t="shared" si="21"/>
        <v>Muon Mass</v>
      </c>
      <c r="D214" s="21" t="str">
        <f t="shared" si="10"/>
        <v>Masse du muon</v>
      </c>
      <c r="E214" s="17" t="s">
        <v>2349</v>
      </c>
      <c r="F214" s="17" t="s">
        <v>3452</v>
      </c>
      <c r="G214" s="18" t="s">
        <v>98</v>
      </c>
      <c r="H214" s="18" t="str">
        <f t="shared" si="17"/>
        <v>kg</v>
      </c>
      <c r="I214" s="17">
        <f>if(H214="","", countif(Units!A:A,H214))</f>
        <v>1</v>
      </c>
      <c r="J214" s="18" t="s">
        <v>986</v>
      </c>
      <c r="K214" s="28">
        <f>countif(Quantities!A:A,J214)</f>
        <v>1</v>
      </c>
      <c r="L214" s="30" t="b">
        <f t="shared" si="4"/>
        <v>1</v>
      </c>
      <c r="M214" s="17" t="s">
        <v>986</v>
      </c>
      <c r="N214" s="34" t="str">
        <f t="shared" si="5"/>
        <v>qudt</v>
      </c>
      <c r="O214" s="18" t="b">
        <f t="shared" si="6"/>
        <v>1</v>
      </c>
      <c r="P214" s="39"/>
      <c r="Q214" s="39"/>
      <c r="R214" s="39" t="str">
        <f t="shared" si="7"/>
        <v/>
      </c>
      <c r="S214" s="43">
        <f t="shared" si="8"/>
        <v>7</v>
      </c>
      <c r="T214" s="21">
        <f>countif('v2022'!E:E,A214)</f>
        <v>1</v>
      </c>
      <c r="U214" s="21">
        <f>countif('v2018'!E:E,A214)</f>
        <v>1</v>
      </c>
      <c r="V214" s="21">
        <f>countif('v2014'!E:E,A214)</f>
        <v>1</v>
      </c>
      <c r="W214" s="21">
        <f>countif('v2010'!E:E,A214)</f>
        <v>1</v>
      </c>
      <c r="X214" s="21">
        <f>countif('v2006'!E:E,A214)</f>
        <v>1</v>
      </c>
      <c r="Y214" s="21">
        <f>countif('v2002'!E:E,A214)</f>
        <v>1</v>
      </c>
      <c r="Z214" s="21">
        <f>countif('v1998'!E:E,A214)</f>
        <v>1</v>
      </c>
    </row>
    <row r="215">
      <c r="A215" s="17" t="s">
        <v>3457</v>
      </c>
      <c r="B215" s="18" t="s">
        <v>989</v>
      </c>
      <c r="C215" s="21" t="str">
        <f t="shared" si="21"/>
        <v>Muon Mass Energy Equivalent</v>
      </c>
      <c r="D215" s="21" t="str">
        <f t="shared" si="10"/>
        <v>Énergie de masse du muon</v>
      </c>
      <c r="E215" s="17" t="s">
        <v>2357</v>
      </c>
      <c r="F215" s="17" t="s">
        <v>3460</v>
      </c>
      <c r="G215" s="18" t="s">
        <v>173</v>
      </c>
      <c r="H215" s="18" t="str">
        <f t="shared" si="17"/>
        <v>J</v>
      </c>
      <c r="I215" s="17">
        <f>if(H215="","", countif(Units!A:A,H215))</f>
        <v>1</v>
      </c>
      <c r="J215" s="17" t="s">
        <v>989</v>
      </c>
      <c r="K215" s="28">
        <f>countif(Quantities!A:A,J215)</f>
        <v>1</v>
      </c>
      <c r="L215" s="30" t="b">
        <f t="shared" si="4"/>
        <v>1</v>
      </c>
      <c r="M215" s="17" t="s">
        <v>989</v>
      </c>
      <c r="N215" s="34" t="str">
        <f t="shared" si="5"/>
        <v>qudt</v>
      </c>
      <c r="O215" s="18" t="b">
        <f t="shared" si="6"/>
        <v>1</v>
      </c>
      <c r="P215" s="39"/>
      <c r="Q215" s="39"/>
      <c r="R215" s="39" t="str">
        <f t="shared" si="7"/>
        <v/>
      </c>
      <c r="S215" s="43">
        <f t="shared" si="8"/>
        <v>7</v>
      </c>
      <c r="T215" s="21">
        <f>countif('v2022'!E:E,A215)</f>
        <v>1</v>
      </c>
      <c r="U215" s="21">
        <f>countif('v2018'!E:E,A215)</f>
        <v>1</v>
      </c>
      <c r="V215" s="21">
        <f>countif('v2014'!E:E,A215)</f>
        <v>1</v>
      </c>
      <c r="W215" s="21">
        <f>countif('v2010'!E:E,A215)</f>
        <v>1</v>
      </c>
      <c r="X215" s="21">
        <f>countif('v2006'!E:E,A215)</f>
        <v>1</v>
      </c>
      <c r="Y215" s="21">
        <f>countif('v2002'!E:E,A215)</f>
        <v>1</v>
      </c>
      <c r="Z215" s="21">
        <f>countif('v1998'!E:E,A215)</f>
        <v>1</v>
      </c>
    </row>
    <row r="216">
      <c r="A216" s="17" t="s">
        <v>3472</v>
      </c>
      <c r="B216" s="18" t="s">
        <v>3473</v>
      </c>
      <c r="C216" s="17" t="s">
        <v>3474</v>
      </c>
      <c r="D216" s="21" t="str">
        <f t="shared" si="10"/>
        <v>Énergie de masse du muon en MeV</v>
      </c>
      <c r="E216" s="17" t="s">
        <v>2362</v>
      </c>
      <c r="F216" s="17" t="s">
        <v>3475</v>
      </c>
      <c r="G216" s="18" t="s">
        <v>224</v>
      </c>
      <c r="H216" s="18" t="str">
        <f t="shared" si="17"/>
        <v>MeV</v>
      </c>
      <c r="I216" s="17">
        <f>if(H216="","", countif(Units!A:A,H216))</f>
        <v>1</v>
      </c>
      <c r="J216" s="18" t="s">
        <v>986</v>
      </c>
      <c r="K216" s="28">
        <f>countif(Quantities!A:A,J216)</f>
        <v>1</v>
      </c>
      <c r="L216" s="30" t="b">
        <f t="shared" si="4"/>
        <v>0</v>
      </c>
      <c r="M216" s="17" t="s">
        <v>3473</v>
      </c>
      <c r="N216" s="34" t="str">
        <f t="shared" si="5"/>
        <v>qudt</v>
      </c>
      <c r="O216" s="18" t="b">
        <f t="shared" si="6"/>
        <v>1</v>
      </c>
      <c r="P216" s="39"/>
      <c r="Q216" s="39"/>
      <c r="R216" s="39" t="str">
        <f t="shared" si="7"/>
        <v/>
      </c>
      <c r="S216" s="43">
        <f t="shared" si="8"/>
        <v>7</v>
      </c>
      <c r="T216" s="21">
        <f>countif('v2022'!E:E,A216)</f>
        <v>1</v>
      </c>
      <c r="U216" s="21">
        <f>countif('v2018'!E:E,A216)</f>
        <v>1</v>
      </c>
      <c r="V216" s="21">
        <f>countif('v2014'!E:E,A216)</f>
        <v>1</v>
      </c>
      <c r="W216" s="21">
        <f>countif('v2010'!E:E,A216)</f>
        <v>1</v>
      </c>
      <c r="X216" s="21">
        <f>countif('v2006'!E:E,A216)</f>
        <v>1</v>
      </c>
      <c r="Y216" s="21">
        <f>countif('v2002'!E:E,A216)</f>
        <v>1</v>
      </c>
      <c r="Z216" s="21">
        <f>countif('v1998'!E:E,A216)</f>
        <v>1</v>
      </c>
    </row>
    <row r="217">
      <c r="A217" s="17" t="s">
        <v>3484</v>
      </c>
      <c r="B217" s="18" t="s">
        <v>3485</v>
      </c>
      <c r="C217" s="21" t="str">
        <f t="shared" ref="C217:C223" si="22">proper(E217)</f>
        <v>Muon Mass In U</v>
      </c>
      <c r="D217" s="21" t="str">
        <f t="shared" si="10"/>
        <v>Masse du muon en u</v>
      </c>
      <c r="E217" s="17" t="s">
        <v>2367</v>
      </c>
      <c r="F217" s="17" t="s">
        <v>3487</v>
      </c>
      <c r="G217" s="18" t="s">
        <v>249</v>
      </c>
      <c r="H217" s="18" t="str">
        <f t="shared" si="17"/>
        <v>u</v>
      </c>
      <c r="I217" s="17">
        <f>if(H217="","", countif(Units!A:A,H217))</f>
        <v>1</v>
      </c>
      <c r="J217" s="18" t="s">
        <v>986</v>
      </c>
      <c r="K217" s="28">
        <f>countif(Quantities!A:A,J217)</f>
        <v>1</v>
      </c>
      <c r="L217" s="30" t="b">
        <f t="shared" si="4"/>
        <v>0</v>
      </c>
      <c r="M217" s="17" t="s">
        <v>3485</v>
      </c>
      <c r="N217" s="34" t="str">
        <f t="shared" si="5"/>
        <v>qudt</v>
      </c>
      <c r="O217" s="18" t="b">
        <f t="shared" si="6"/>
        <v>1</v>
      </c>
      <c r="P217" s="39"/>
      <c r="Q217" s="39"/>
      <c r="R217" s="39" t="str">
        <f t="shared" si="7"/>
        <v/>
      </c>
      <c r="S217" s="43">
        <f t="shared" si="8"/>
        <v>7</v>
      </c>
      <c r="T217" s="21">
        <f>countif('v2022'!E:E,A217)</f>
        <v>1</v>
      </c>
      <c r="U217" s="21">
        <f>countif('v2018'!E:E,A217)</f>
        <v>1</v>
      </c>
      <c r="V217" s="21">
        <f>countif('v2014'!E:E,A217)</f>
        <v>1</v>
      </c>
      <c r="W217" s="21">
        <f>countif('v2010'!E:E,A217)</f>
        <v>1</v>
      </c>
      <c r="X217" s="21">
        <f>countif('v2006'!E:E,A217)</f>
        <v>1</v>
      </c>
      <c r="Y217" s="21">
        <f>countif('v2002'!E:E,A217)</f>
        <v>1</v>
      </c>
      <c r="Z217" s="21">
        <f>countif('v1998'!E:E,A217)</f>
        <v>1</v>
      </c>
    </row>
    <row r="218">
      <c r="A218" s="17" t="s">
        <v>3495</v>
      </c>
      <c r="B218" s="18" t="s">
        <v>992</v>
      </c>
      <c r="C218" s="21" t="str">
        <f t="shared" si="22"/>
        <v>Muon Molar Mass</v>
      </c>
      <c r="D218" s="21" t="str">
        <f t="shared" si="10"/>
        <v>Masse molaire du muon</v>
      </c>
      <c r="E218" s="17" t="s">
        <v>2372</v>
      </c>
      <c r="F218" s="17" t="s">
        <v>3496</v>
      </c>
      <c r="G218" s="18" t="s">
        <v>286</v>
      </c>
      <c r="H218" s="18" t="str">
        <f t="shared" si="17"/>
        <v>kg_mol-1</v>
      </c>
      <c r="I218" s="17">
        <f>if(H218="","", countif(Units!A:A,H218))</f>
        <v>1</v>
      </c>
      <c r="J218" s="18" t="s">
        <v>992</v>
      </c>
      <c r="K218" s="28">
        <f>countif(Quantities!A:A,J218)</f>
        <v>1</v>
      </c>
      <c r="L218" s="30" t="b">
        <f t="shared" si="4"/>
        <v>1</v>
      </c>
      <c r="M218" s="17" t="s">
        <v>992</v>
      </c>
      <c r="N218" s="34" t="str">
        <f t="shared" si="5"/>
        <v>qudt</v>
      </c>
      <c r="O218" s="18" t="b">
        <f t="shared" si="6"/>
        <v>1</v>
      </c>
      <c r="P218" s="39"/>
      <c r="Q218" s="39"/>
      <c r="R218" s="39" t="str">
        <f t="shared" si="7"/>
        <v/>
      </c>
      <c r="S218" s="43">
        <f t="shared" si="8"/>
        <v>7</v>
      </c>
      <c r="T218" s="21">
        <f>countif('v2022'!E:E,A218)</f>
        <v>1</v>
      </c>
      <c r="U218" s="21">
        <f>countif('v2018'!E:E,A218)</f>
        <v>1</v>
      </c>
      <c r="V218" s="21">
        <f>countif('v2014'!E:E,A218)</f>
        <v>1</v>
      </c>
      <c r="W218" s="21">
        <f>countif('v2010'!E:E,A218)</f>
        <v>1</v>
      </c>
      <c r="X218" s="21">
        <f>countif('v2006'!E:E,A218)</f>
        <v>1</v>
      </c>
      <c r="Y218" s="21">
        <f>countif('v2002'!E:E,A218)</f>
        <v>1</v>
      </c>
      <c r="Z218" s="21">
        <f>countif('v1998'!E:E,A218)</f>
        <v>1</v>
      </c>
    </row>
    <row r="219">
      <c r="A219" s="17" t="s">
        <v>3503</v>
      </c>
      <c r="B219" s="18" t="s">
        <v>995</v>
      </c>
      <c r="C219" s="21" t="str">
        <f t="shared" si="22"/>
        <v>Muon - Neutron Mass Ratio</v>
      </c>
      <c r="D219" s="21" t="str">
        <f t="shared" si="10"/>
        <v>Rapport de la masse du muon à celle du neutron</v>
      </c>
      <c r="E219" s="17" t="s">
        <v>3505</v>
      </c>
      <c r="F219" s="17" t="s">
        <v>3506</v>
      </c>
      <c r="H219" s="18" t="str">
        <f t="shared" si="17"/>
        <v/>
      </c>
      <c r="I219" s="17" t="str">
        <f>if(H219="","", countif(Units!A:A,H219))</f>
        <v/>
      </c>
      <c r="J219" s="18" t="s">
        <v>995</v>
      </c>
      <c r="K219" s="28">
        <f>countif(Quantities!A:A,J219)</f>
        <v>1</v>
      </c>
      <c r="L219" s="30" t="b">
        <f t="shared" si="4"/>
        <v>1</v>
      </c>
      <c r="M219" s="17" t="s">
        <v>995</v>
      </c>
      <c r="N219" s="34" t="str">
        <f t="shared" si="5"/>
        <v>qudt</v>
      </c>
      <c r="O219" s="18" t="b">
        <f t="shared" si="6"/>
        <v>1</v>
      </c>
      <c r="P219" s="39"/>
      <c r="Q219" s="39"/>
      <c r="R219" s="39" t="str">
        <f t="shared" si="7"/>
        <v/>
      </c>
      <c r="S219" s="43">
        <f t="shared" si="8"/>
        <v>7</v>
      </c>
      <c r="T219" s="21">
        <f>countif('v2022'!E:E,A219)</f>
        <v>1</v>
      </c>
      <c r="U219" s="21">
        <f>countif('v2018'!E:E,A219)</f>
        <v>1</v>
      </c>
      <c r="V219" s="21">
        <f>countif('v2014'!E:E,A219)</f>
        <v>1</v>
      </c>
      <c r="W219" s="21">
        <f>countif('v2010'!E:E,A219)</f>
        <v>1</v>
      </c>
      <c r="X219" s="21">
        <f>countif('v2006'!E:E,A219)</f>
        <v>1</v>
      </c>
      <c r="Y219" s="21">
        <f>countif('v2002'!E:E,A219)</f>
        <v>1</v>
      </c>
      <c r="Z219" s="21">
        <f>countif('v1998'!E:E,A219)</f>
        <v>1</v>
      </c>
    </row>
    <row r="220">
      <c r="A220" s="17" t="s">
        <v>3512</v>
      </c>
      <c r="B220" s="18" t="s">
        <v>1001</v>
      </c>
      <c r="C220" s="21" t="str">
        <f t="shared" si="22"/>
        <v>Muon - Proton Magnetic Moment Ratio</v>
      </c>
      <c r="D220" s="21" t="str">
        <f t="shared" si="10"/>
        <v>Rapport du moment magnétique du muon à celui du proton</v>
      </c>
      <c r="E220" s="17" t="s">
        <v>3514</v>
      </c>
      <c r="F220" s="17" t="s">
        <v>3515</v>
      </c>
      <c r="H220" s="18" t="str">
        <f t="shared" si="17"/>
        <v/>
      </c>
      <c r="I220" s="17" t="str">
        <f>if(H220="","", countif(Units!A:A,H220))</f>
        <v/>
      </c>
      <c r="J220" s="18" t="s">
        <v>1001</v>
      </c>
      <c r="K220" s="28">
        <f>countif(Quantities!A:A,J220)</f>
        <v>1</v>
      </c>
      <c r="L220" s="30" t="b">
        <f t="shared" si="4"/>
        <v>1</v>
      </c>
      <c r="M220" s="17" t="s">
        <v>1001</v>
      </c>
      <c r="N220" s="34" t="str">
        <f t="shared" si="5"/>
        <v>qudt</v>
      </c>
      <c r="O220" s="18" t="b">
        <f t="shared" si="6"/>
        <v>1</v>
      </c>
      <c r="P220" s="39"/>
      <c r="Q220" s="39"/>
      <c r="R220" s="39" t="str">
        <f t="shared" si="7"/>
        <v/>
      </c>
      <c r="S220" s="43">
        <f t="shared" si="8"/>
        <v>7</v>
      </c>
      <c r="T220" s="21">
        <f>countif('v2022'!E:E,A220)</f>
        <v>1</v>
      </c>
      <c r="U220" s="21">
        <f>countif('v2018'!E:E,A220)</f>
        <v>1</v>
      </c>
      <c r="V220" s="21">
        <f>countif('v2014'!E:E,A220)</f>
        <v>1</v>
      </c>
      <c r="W220" s="21">
        <f>countif('v2010'!E:E,A220)</f>
        <v>1</v>
      </c>
      <c r="X220" s="21">
        <f>countif('v2006'!E:E,A220)</f>
        <v>1</v>
      </c>
      <c r="Y220" s="21">
        <f>countif('v2002'!E:E,A220)</f>
        <v>1</v>
      </c>
      <c r="Z220" s="21">
        <f>countif('v1998'!E:E,A220)</f>
        <v>1</v>
      </c>
    </row>
    <row r="221">
      <c r="A221" s="17" t="s">
        <v>3523</v>
      </c>
      <c r="B221" s="18" t="s">
        <v>1003</v>
      </c>
      <c r="C221" s="21" t="str">
        <f t="shared" si="22"/>
        <v>Muon - Proton Mass Ratio</v>
      </c>
      <c r="D221" s="21" t="str">
        <f t="shared" si="10"/>
        <v>Rapport de la masse du muon à celle du proton</v>
      </c>
      <c r="E221" s="17" t="s">
        <v>3524</v>
      </c>
      <c r="F221" s="17" t="s">
        <v>3525</v>
      </c>
      <c r="H221" s="18" t="str">
        <f t="shared" si="17"/>
        <v/>
      </c>
      <c r="I221" s="17" t="str">
        <f>if(H221="","", countif(Units!A:A,H221))</f>
        <v/>
      </c>
      <c r="J221" s="18" t="s">
        <v>1003</v>
      </c>
      <c r="K221" s="28">
        <f>countif(Quantities!A:A,J221)</f>
        <v>1</v>
      </c>
      <c r="L221" s="30" t="b">
        <f t="shared" si="4"/>
        <v>1</v>
      </c>
      <c r="M221" s="17" t="s">
        <v>1003</v>
      </c>
      <c r="N221" s="34" t="str">
        <f t="shared" si="5"/>
        <v>qudt</v>
      </c>
      <c r="O221" s="18" t="b">
        <f t="shared" si="6"/>
        <v>1</v>
      </c>
      <c r="P221" s="39"/>
      <c r="Q221" s="39"/>
      <c r="R221" s="39" t="str">
        <f t="shared" si="7"/>
        <v/>
      </c>
      <c r="S221" s="43">
        <f t="shared" si="8"/>
        <v>7</v>
      </c>
      <c r="T221" s="21">
        <f>countif('v2022'!E:E,A221)</f>
        <v>1</v>
      </c>
      <c r="U221" s="21">
        <f>countif('v2018'!E:E,A221)</f>
        <v>1</v>
      </c>
      <c r="V221" s="21">
        <f>countif('v2014'!E:E,A221)</f>
        <v>1</v>
      </c>
      <c r="W221" s="21">
        <f>countif('v2010'!E:E,A221)</f>
        <v>1</v>
      </c>
      <c r="X221" s="21">
        <f>countif('v2006'!E:E,A221)</f>
        <v>1</v>
      </c>
      <c r="Y221" s="21">
        <f>countif('v2002'!E:E,A221)</f>
        <v>1</v>
      </c>
      <c r="Z221" s="21">
        <f>countif('v1998'!E:E,A221)</f>
        <v>1</v>
      </c>
    </row>
    <row r="222">
      <c r="A222" s="17" t="s">
        <v>3530</v>
      </c>
      <c r="B222" s="18" t="s">
        <v>1006</v>
      </c>
      <c r="C222" s="21" t="str">
        <f t="shared" si="22"/>
        <v>Muon - Tau Mass Ratio</v>
      </c>
      <c r="D222" s="21" t="str">
        <f t="shared" si="10"/>
        <v>Rapport de la masse du muon à celle du tau</v>
      </c>
      <c r="E222" s="17" t="s">
        <v>3531</v>
      </c>
      <c r="F222" s="17" t="s">
        <v>3532</v>
      </c>
      <c r="H222" s="18" t="str">
        <f t="shared" si="17"/>
        <v/>
      </c>
      <c r="I222" s="17" t="str">
        <f>if(H222="","", countif(Units!A:A,H222))</f>
        <v/>
      </c>
      <c r="J222" s="18" t="s">
        <v>1006</v>
      </c>
      <c r="K222" s="28">
        <f>countif(Quantities!A:A,J222)</f>
        <v>1</v>
      </c>
      <c r="L222" s="30" t="b">
        <f t="shared" si="4"/>
        <v>1</v>
      </c>
      <c r="M222" s="17" t="s">
        <v>1006</v>
      </c>
      <c r="N222" s="34" t="str">
        <f t="shared" si="5"/>
        <v>qudt</v>
      </c>
      <c r="O222" s="18" t="b">
        <f t="shared" si="6"/>
        <v>1</v>
      </c>
      <c r="P222" s="39"/>
      <c r="Q222" s="39"/>
      <c r="R222" s="39" t="str">
        <f t="shared" si="7"/>
        <v/>
      </c>
      <c r="S222" s="43">
        <f t="shared" si="8"/>
        <v>7</v>
      </c>
      <c r="T222" s="21">
        <f>countif('v2022'!E:E,A222)</f>
        <v>1</v>
      </c>
      <c r="U222" s="21">
        <f>countif('v2018'!E:E,A222)</f>
        <v>1</v>
      </c>
      <c r="V222" s="21">
        <f>countif('v2014'!E:E,A222)</f>
        <v>1</v>
      </c>
      <c r="W222" s="21">
        <f>countif('v2010'!E:E,A222)</f>
        <v>1</v>
      </c>
      <c r="X222" s="21">
        <f>countif('v2006'!E:E,A222)</f>
        <v>1</v>
      </c>
      <c r="Y222" s="21">
        <f>countif('v2002'!E:E,A222)</f>
        <v>1</v>
      </c>
      <c r="Z222" s="21">
        <f>countif('v1998'!E:E,A222)</f>
        <v>1</v>
      </c>
    </row>
    <row r="223">
      <c r="A223" s="17" t="s">
        <v>3542</v>
      </c>
      <c r="B223" s="18" t="s">
        <v>1009</v>
      </c>
      <c r="C223" s="21" t="str">
        <f t="shared" si="22"/>
        <v>Natural Unit Of Action</v>
      </c>
      <c r="D223" s="21" t="str">
        <f t="shared" si="10"/>
        <v>Unité naturelle d'action</v>
      </c>
      <c r="E223" s="17" t="s">
        <v>2399</v>
      </c>
      <c r="F223" s="17" t="s">
        <v>3543</v>
      </c>
      <c r="G223" s="18" t="s">
        <v>714</v>
      </c>
      <c r="H223" s="18" t="str">
        <f t="shared" si="17"/>
        <v>J_s</v>
      </c>
      <c r="I223" s="17">
        <f>if(H223="","", countif(Units!A:A,H223))</f>
        <v>1</v>
      </c>
      <c r="J223" s="18" t="s">
        <v>1009</v>
      </c>
      <c r="K223" s="28">
        <f>countif(Quantities!A:A,J223)</f>
        <v>1</v>
      </c>
      <c r="L223" s="30" t="b">
        <f t="shared" si="4"/>
        <v>1</v>
      </c>
      <c r="M223" s="17" t="s">
        <v>1009</v>
      </c>
      <c r="N223" s="34" t="str">
        <f t="shared" si="5"/>
        <v>qudt</v>
      </c>
      <c r="O223" s="18" t="b">
        <f t="shared" si="6"/>
        <v>1</v>
      </c>
      <c r="P223" s="39"/>
      <c r="Q223" s="39"/>
      <c r="R223" s="39" t="str">
        <f t="shared" si="7"/>
        <v/>
      </c>
      <c r="S223" s="43">
        <f t="shared" si="8"/>
        <v>7</v>
      </c>
      <c r="T223" s="21">
        <f>countif('v2022'!E:E,A223)</f>
        <v>1</v>
      </c>
      <c r="U223" s="21">
        <f>countif('v2018'!E:E,A223)</f>
        <v>1</v>
      </c>
      <c r="V223" s="21">
        <f>countif('v2014'!E:E,A223)</f>
        <v>1</v>
      </c>
      <c r="W223" s="21">
        <f>countif('v2010'!E:E,A223)</f>
        <v>1</v>
      </c>
      <c r="X223" s="21">
        <f>countif('v2006'!E:E,A223)</f>
        <v>1</v>
      </c>
      <c r="Y223" s="21">
        <f>countif('v2002'!E:E,A223)</f>
        <v>1</v>
      </c>
      <c r="Z223" s="21">
        <f>countif('v1998'!E:E,A223)</f>
        <v>1</v>
      </c>
    </row>
    <row r="224">
      <c r="A224" s="17" t="s">
        <v>3554</v>
      </c>
      <c r="B224" s="18" t="s">
        <v>3555</v>
      </c>
      <c r="C224" s="17" t="s">
        <v>3556</v>
      </c>
      <c r="D224" s="21" t="str">
        <f t="shared" si="10"/>
        <v>Unité naturelle d'action en eV s</v>
      </c>
      <c r="E224" s="17" t="s">
        <v>2400</v>
      </c>
      <c r="F224" s="17" t="s">
        <v>3557</v>
      </c>
      <c r="G224" s="18" t="s">
        <v>2402</v>
      </c>
      <c r="H224" s="18" t="str">
        <f t="shared" si="17"/>
        <v>eV_s</v>
      </c>
      <c r="I224" s="17">
        <f>if(H224="","", countif(Units!A:A,H224))</f>
        <v>1</v>
      </c>
      <c r="J224" s="17" t="s">
        <v>1009</v>
      </c>
      <c r="K224" s="28">
        <f>countif(Quantities!A:A,J224)</f>
        <v>1</v>
      </c>
      <c r="L224" s="30" t="b">
        <f t="shared" si="4"/>
        <v>0</v>
      </c>
      <c r="M224" s="17" t="s">
        <v>3555</v>
      </c>
      <c r="N224" s="34" t="str">
        <f t="shared" si="5"/>
        <v>qudt</v>
      </c>
      <c r="O224" s="18" t="b">
        <f t="shared" si="6"/>
        <v>1</v>
      </c>
      <c r="P224" s="39"/>
      <c r="Q224" s="39"/>
      <c r="R224" s="39" t="str">
        <f t="shared" si="7"/>
        <v/>
      </c>
      <c r="S224" s="43">
        <f t="shared" si="8"/>
        <v>7</v>
      </c>
      <c r="T224" s="21">
        <f>countif('v2022'!E:E,A224)</f>
        <v>1</v>
      </c>
      <c r="U224" s="21">
        <f>countif('v2018'!E:E,A224)</f>
        <v>1</v>
      </c>
      <c r="V224" s="21">
        <f>countif('v2014'!E:E,A224)</f>
        <v>1</v>
      </c>
      <c r="W224" s="21">
        <f>countif('v2010'!E:E,A224)</f>
        <v>1</v>
      </c>
      <c r="X224" s="21">
        <f>countif('v2006'!E:E,A224)</f>
        <v>1</v>
      </c>
      <c r="Y224" s="21">
        <f>countif('v2002'!E:E,A224)</f>
        <v>1</v>
      </c>
      <c r="Z224" s="21">
        <f>countif('v1998'!E:E,A224)</f>
        <v>1</v>
      </c>
    </row>
    <row r="225">
      <c r="A225" s="17" t="s">
        <v>3566</v>
      </c>
      <c r="B225" s="18" t="s">
        <v>1011</v>
      </c>
      <c r="C225" s="21" t="str">
        <f>proper(E225)</f>
        <v>Natural Unit Of Energy</v>
      </c>
      <c r="D225" s="21" t="str">
        <f t="shared" si="10"/>
        <v>Unité naturelle d'énergie</v>
      </c>
      <c r="E225" s="17" t="s">
        <v>2405</v>
      </c>
      <c r="F225" s="17" t="s">
        <v>3569</v>
      </c>
      <c r="G225" s="18" t="s">
        <v>173</v>
      </c>
      <c r="H225" s="18" t="str">
        <f t="shared" si="17"/>
        <v>J</v>
      </c>
      <c r="I225" s="17">
        <f>if(H225="","", countif(Units!A:A,H225))</f>
        <v>1</v>
      </c>
      <c r="J225" s="18" t="s">
        <v>1011</v>
      </c>
      <c r="K225" s="28">
        <f>countif(Quantities!A:A,J225)</f>
        <v>1</v>
      </c>
      <c r="L225" s="30" t="b">
        <f t="shared" si="4"/>
        <v>1</v>
      </c>
      <c r="M225" s="17" t="s">
        <v>1011</v>
      </c>
      <c r="N225" s="34" t="str">
        <f t="shared" si="5"/>
        <v>qudt</v>
      </c>
      <c r="O225" s="18" t="b">
        <f t="shared" si="6"/>
        <v>1</v>
      </c>
      <c r="P225" s="39"/>
      <c r="Q225" s="39"/>
      <c r="R225" s="39" t="str">
        <f t="shared" si="7"/>
        <v/>
      </c>
      <c r="S225" s="43">
        <f t="shared" si="8"/>
        <v>7</v>
      </c>
      <c r="T225" s="21">
        <f>countif('v2022'!E:E,A225)</f>
        <v>1</v>
      </c>
      <c r="U225" s="21">
        <f>countif('v2018'!E:E,A225)</f>
        <v>1</v>
      </c>
      <c r="V225" s="21">
        <f>countif('v2014'!E:E,A225)</f>
        <v>1</v>
      </c>
      <c r="W225" s="21">
        <f>countif('v2010'!E:E,A225)</f>
        <v>1</v>
      </c>
      <c r="X225" s="21">
        <f>countif('v2006'!E:E,A225)</f>
        <v>1</v>
      </c>
      <c r="Y225" s="21">
        <f>countif('v2002'!E:E,A225)</f>
        <v>1</v>
      </c>
      <c r="Z225" s="21">
        <f>countif('v1998'!E:E,A225)</f>
        <v>1</v>
      </c>
    </row>
    <row r="226">
      <c r="A226" s="17" t="s">
        <v>3579</v>
      </c>
      <c r="B226" s="18" t="s">
        <v>3580</v>
      </c>
      <c r="C226" s="17" t="s">
        <v>3581</v>
      </c>
      <c r="D226" s="21" t="str">
        <f t="shared" si="10"/>
        <v>Unité naturelle d'énergie en MeV</v>
      </c>
      <c r="E226" s="17" t="s">
        <v>2409</v>
      </c>
      <c r="F226" s="17" t="s">
        <v>3584</v>
      </c>
      <c r="G226" s="18" t="s">
        <v>224</v>
      </c>
      <c r="H226" s="18" t="str">
        <f t="shared" si="17"/>
        <v>MeV</v>
      </c>
      <c r="I226" s="17">
        <f>if(H226="","", countif(Units!A:A,H226))</f>
        <v>1</v>
      </c>
      <c r="J226" s="17" t="s">
        <v>1011</v>
      </c>
      <c r="K226" s="28">
        <f>countif(Quantities!A:A,J226)</f>
        <v>1</v>
      </c>
      <c r="L226" s="30" t="b">
        <f t="shared" si="4"/>
        <v>0</v>
      </c>
      <c r="M226" s="17" t="s">
        <v>3580</v>
      </c>
      <c r="N226" s="34" t="str">
        <f t="shared" si="5"/>
        <v>qudt</v>
      </c>
      <c r="O226" s="18" t="b">
        <f t="shared" si="6"/>
        <v>1</v>
      </c>
      <c r="P226" s="39"/>
      <c r="Q226" s="39"/>
      <c r="R226" s="39" t="str">
        <f t="shared" si="7"/>
        <v/>
      </c>
      <c r="S226" s="43">
        <f t="shared" si="8"/>
        <v>7</v>
      </c>
      <c r="T226" s="21">
        <f>countif('v2022'!E:E,A226)</f>
        <v>1</v>
      </c>
      <c r="U226" s="21">
        <f>countif('v2018'!E:E,A226)</f>
        <v>1</v>
      </c>
      <c r="V226" s="21">
        <f>countif('v2014'!E:E,A226)</f>
        <v>1</v>
      </c>
      <c r="W226" s="21">
        <f>countif('v2010'!E:E,A226)</f>
        <v>1</v>
      </c>
      <c r="X226" s="21">
        <f>countif('v2006'!E:E,A226)</f>
        <v>1</v>
      </c>
      <c r="Y226" s="21">
        <f>countif('v2002'!E:E,A226)</f>
        <v>1</v>
      </c>
      <c r="Z226" s="21">
        <f>countif('v1998'!E:E,A226)</f>
        <v>1</v>
      </c>
    </row>
    <row r="227">
      <c r="A227" s="17" t="s">
        <v>3592</v>
      </c>
      <c r="B227" s="18" t="s">
        <v>1016</v>
      </c>
      <c r="C227" s="21" t="str">
        <f t="shared" ref="C227:C229" si="23">proper(E227)</f>
        <v>Natural Unit Of Length</v>
      </c>
      <c r="D227" s="21" t="str">
        <f t="shared" si="10"/>
        <v>Unité naturelle de longueur</v>
      </c>
      <c r="E227" s="17" t="s">
        <v>2410</v>
      </c>
      <c r="F227" s="17" t="s">
        <v>3596</v>
      </c>
      <c r="G227" s="18" t="s">
        <v>381</v>
      </c>
      <c r="H227" s="18" t="str">
        <f t="shared" si="17"/>
        <v>m</v>
      </c>
      <c r="I227" s="17">
        <f>if(H227="","", countif(Units!A:A,H227))</f>
        <v>1</v>
      </c>
      <c r="J227" s="18" t="s">
        <v>1016</v>
      </c>
      <c r="K227" s="28">
        <f>countif(Quantities!A:A,J227)</f>
        <v>1</v>
      </c>
      <c r="L227" s="30" t="b">
        <f t="shared" si="4"/>
        <v>1</v>
      </c>
      <c r="M227" s="17" t="s">
        <v>1016</v>
      </c>
      <c r="N227" s="34" t="str">
        <f t="shared" si="5"/>
        <v>qudt</v>
      </c>
      <c r="O227" s="18" t="b">
        <f t="shared" si="6"/>
        <v>1</v>
      </c>
      <c r="P227" s="39"/>
      <c r="Q227" s="39"/>
      <c r="R227" s="39" t="str">
        <f t="shared" si="7"/>
        <v/>
      </c>
      <c r="S227" s="43">
        <f t="shared" si="8"/>
        <v>7</v>
      </c>
      <c r="T227" s="21">
        <f>countif('v2022'!E:E,A227)</f>
        <v>1</v>
      </c>
      <c r="U227" s="21">
        <f>countif('v2018'!E:E,A227)</f>
        <v>1</v>
      </c>
      <c r="V227" s="21">
        <f>countif('v2014'!E:E,A227)</f>
        <v>1</v>
      </c>
      <c r="W227" s="21">
        <f>countif('v2010'!E:E,A227)</f>
        <v>1</v>
      </c>
      <c r="X227" s="21">
        <f>countif('v2006'!E:E,A227)</f>
        <v>1</v>
      </c>
      <c r="Y227" s="21">
        <f>countif('v2002'!E:E,A227)</f>
        <v>1</v>
      </c>
      <c r="Z227" s="21">
        <f>countif('v1998'!E:E,A227)</f>
        <v>1</v>
      </c>
    </row>
    <row r="228">
      <c r="A228" s="17" t="s">
        <v>3609</v>
      </c>
      <c r="B228" s="18" t="s">
        <v>1020</v>
      </c>
      <c r="C228" s="21" t="str">
        <f t="shared" si="23"/>
        <v>Natural Unit Of Mass</v>
      </c>
      <c r="D228" s="21" t="str">
        <f t="shared" si="10"/>
        <v>Unité naturelle de masse</v>
      </c>
      <c r="E228" s="17" t="s">
        <v>2414</v>
      </c>
      <c r="F228" s="17" t="s">
        <v>3610</v>
      </c>
      <c r="G228" s="18" t="s">
        <v>98</v>
      </c>
      <c r="H228" s="18" t="str">
        <f t="shared" si="17"/>
        <v>kg</v>
      </c>
      <c r="I228" s="17">
        <f>if(H228="","", countif(Units!A:A,H228))</f>
        <v>1</v>
      </c>
      <c r="J228" s="18" t="s">
        <v>1020</v>
      </c>
      <c r="K228" s="28">
        <f>countif(Quantities!A:A,J228)</f>
        <v>1</v>
      </c>
      <c r="L228" s="30" t="b">
        <f t="shared" si="4"/>
        <v>1</v>
      </c>
      <c r="M228" s="17" t="s">
        <v>1020</v>
      </c>
      <c r="N228" s="34" t="str">
        <f t="shared" si="5"/>
        <v>qudt</v>
      </c>
      <c r="O228" s="18" t="b">
        <f t="shared" si="6"/>
        <v>1</v>
      </c>
      <c r="P228" s="39"/>
      <c r="Q228" s="39"/>
      <c r="R228" s="39" t="str">
        <f t="shared" si="7"/>
        <v/>
      </c>
      <c r="S228" s="43">
        <f t="shared" si="8"/>
        <v>7</v>
      </c>
      <c r="T228" s="21">
        <f>countif('v2022'!E:E,A228)</f>
        <v>1</v>
      </c>
      <c r="U228" s="21">
        <f>countif('v2018'!E:E,A228)</f>
        <v>1</v>
      </c>
      <c r="V228" s="21">
        <f>countif('v2014'!E:E,A228)</f>
        <v>1</v>
      </c>
      <c r="W228" s="21">
        <f>countif('v2010'!E:E,A228)</f>
        <v>1</v>
      </c>
      <c r="X228" s="21">
        <f>countif('v2006'!E:E,A228)</f>
        <v>1</v>
      </c>
      <c r="Y228" s="21">
        <f>countif('v2002'!E:E,A228)</f>
        <v>1</v>
      </c>
      <c r="Z228" s="21">
        <f>countif('v1998'!E:E,A228)</f>
        <v>1</v>
      </c>
    </row>
    <row r="229">
      <c r="A229" s="17" t="s">
        <v>3620</v>
      </c>
      <c r="B229" s="18" t="s">
        <v>1027</v>
      </c>
      <c r="C229" s="21" t="str">
        <f t="shared" si="23"/>
        <v>Natural Unit Of Momentum</v>
      </c>
      <c r="D229" s="21" t="str">
        <f t="shared" si="10"/>
        <v>Unité naturelle d'impulsion</v>
      </c>
      <c r="E229" s="17" t="s">
        <v>2417</v>
      </c>
      <c r="F229" s="17" t="s">
        <v>3622</v>
      </c>
      <c r="G229" s="18" t="s">
        <v>1058</v>
      </c>
      <c r="H229" s="18" t="str">
        <f t="shared" si="17"/>
        <v>kg_m_s-1</v>
      </c>
      <c r="I229" s="17">
        <f>if(H229="","", countif(Units!A:A,H229))</f>
        <v>1</v>
      </c>
      <c r="J229" s="18" t="s">
        <v>1027</v>
      </c>
      <c r="K229" s="28">
        <f>countif(Quantities!A:A,J229)</f>
        <v>1</v>
      </c>
      <c r="L229" s="30" t="b">
        <f t="shared" si="4"/>
        <v>1</v>
      </c>
      <c r="M229" s="17" t="s">
        <v>1027</v>
      </c>
      <c r="N229" s="34" t="str">
        <f t="shared" si="5"/>
        <v>qudt</v>
      </c>
      <c r="O229" s="18" t="b">
        <f t="shared" si="6"/>
        <v>1</v>
      </c>
      <c r="P229" s="39"/>
      <c r="Q229" s="39"/>
      <c r="R229" s="39" t="str">
        <f t="shared" si="7"/>
        <v/>
      </c>
      <c r="S229" s="43">
        <f t="shared" si="8"/>
        <v>7</v>
      </c>
      <c r="T229" s="21">
        <f>countif('v2022'!E:E,A229)</f>
        <v>1</v>
      </c>
      <c r="U229" s="21">
        <f>countif('v2018'!E:E,A229)</f>
        <v>1</v>
      </c>
      <c r="V229" s="21">
        <f>countif('v2014'!E:E,A229)</f>
        <v>1</v>
      </c>
      <c r="W229" s="21">
        <f>countif('v2010'!E:E,A229)</f>
        <v>1</v>
      </c>
      <c r="X229" s="21">
        <f>countif('v2006'!E:E,A229)</f>
        <v>1</v>
      </c>
      <c r="Y229" s="21">
        <f>countif('v2002'!E:E,A229)</f>
        <v>1</v>
      </c>
      <c r="Z229" s="21">
        <f>countif('v1998'!E:E,A229)</f>
        <v>1</v>
      </c>
    </row>
    <row r="230">
      <c r="A230" s="17" t="s">
        <v>3634</v>
      </c>
      <c r="B230" s="17" t="s">
        <v>3635</v>
      </c>
      <c r="C230" s="17" t="s">
        <v>3636</v>
      </c>
      <c r="D230" s="21" t="str">
        <f t="shared" si="10"/>
        <v>Unité naturelle d'impulsion en  MeV/c</v>
      </c>
      <c r="E230" s="17" t="s">
        <v>2424</v>
      </c>
      <c r="F230" s="17" t="s">
        <v>3637</v>
      </c>
      <c r="G230" s="18" t="s">
        <v>2425</v>
      </c>
      <c r="H230" s="44" t="s">
        <v>463</v>
      </c>
      <c r="I230" s="17">
        <f>if(H230="","", countif(Units!A:A,H230))</f>
        <v>1</v>
      </c>
      <c r="J230" s="17" t="s">
        <v>1027</v>
      </c>
      <c r="K230" s="28">
        <f>countif(Quantities!A:A,J230)</f>
        <v>1</v>
      </c>
      <c r="L230" s="30" t="b">
        <f t="shared" si="4"/>
        <v>0</v>
      </c>
      <c r="M230" s="17" t="s">
        <v>3650</v>
      </c>
      <c r="N230" s="34" t="str">
        <f t="shared" si="5"/>
        <v>qudt</v>
      </c>
      <c r="O230" s="18" t="b">
        <f t="shared" si="6"/>
        <v>1</v>
      </c>
      <c r="P230" s="39"/>
      <c r="Q230" s="39"/>
      <c r="R230" s="39" t="str">
        <f t="shared" si="7"/>
        <v/>
      </c>
      <c r="S230" s="43">
        <f t="shared" si="8"/>
        <v>7</v>
      </c>
      <c r="T230" s="21">
        <f>countif('v2022'!E:E,A230)</f>
        <v>1</v>
      </c>
      <c r="U230" s="21">
        <f>countif('v2018'!E:E,A230)</f>
        <v>1</v>
      </c>
      <c r="V230" s="21">
        <f>countif('v2014'!E:E,A230)</f>
        <v>1</v>
      </c>
      <c r="W230" s="21">
        <f>countif('v2010'!E:E,A230)</f>
        <v>1</v>
      </c>
      <c r="X230" s="21">
        <f>countif('v2006'!E:E,A230)</f>
        <v>1</v>
      </c>
      <c r="Y230" s="21">
        <f>countif('v2002'!E:E,A230)</f>
        <v>1</v>
      </c>
      <c r="Z230" s="21">
        <f>countif('v1998'!E:E,A230)</f>
        <v>1</v>
      </c>
    </row>
    <row r="231">
      <c r="A231" s="17" t="s">
        <v>3655</v>
      </c>
      <c r="B231" s="18" t="s">
        <v>1030</v>
      </c>
      <c r="C231" s="21" t="str">
        <f t="shared" ref="C231:C243" si="24">proper(E231)</f>
        <v>Natural Unit Of Time</v>
      </c>
      <c r="D231" s="21" t="str">
        <f t="shared" si="10"/>
        <v>Untié naturelle de temps</v>
      </c>
      <c r="E231" s="17" t="s">
        <v>2427</v>
      </c>
      <c r="F231" s="17" t="s">
        <v>3664</v>
      </c>
      <c r="G231" s="18" t="s">
        <v>520</v>
      </c>
      <c r="H231" s="18" t="str">
        <f t="shared" ref="H231:H257" si="25">if(ISBLANK(G231),"",SUBSTITUTE(SUBSTITUTE(G231,"^","")," ","_"))</f>
        <v>s</v>
      </c>
      <c r="I231" s="17">
        <f>if(H231="","", countif(Units!A:A,H231))</f>
        <v>2</v>
      </c>
      <c r="J231" s="18" t="s">
        <v>1030</v>
      </c>
      <c r="K231" s="28">
        <f>countif(Quantities!A:A,J231)</f>
        <v>1</v>
      </c>
      <c r="L231" s="30" t="b">
        <f t="shared" si="4"/>
        <v>1</v>
      </c>
      <c r="M231" s="17" t="s">
        <v>1030</v>
      </c>
      <c r="N231" s="34" t="str">
        <f t="shared" si="5"/>
        <v>qudt</v>
      </c>
      <c r="O231" s="18" t="b">
        <f t="shared" si="6"/>
        <v>1</v>
      </c>
      <c r="P231" s="39"/>
      <c r="Q231" s="39"/>
      <c r="R231" s="39" t="str">
        <f t="shared" si="7"/>
        <v/>
      </c>
      <c r="S231" s="43">
        <f t="shared" si="8"/>
        <v>7</v>
      </c>
      <c r="T231" s="21">
        <f>countif('v2022'!E:E,A231)</f>
        <v>1</v>
      </c>
      <c r="U231" s="21">
        <f>countif('v2018'!E:E,A231)</f>
        <v>1</v>
      </c>
      <c r="V231" s="21">
        <f>countif('v2014'!E:E,A231)</f>
        <v>1</v>
      </c>
      <c r="W231" s="21">
        <f>countif('v2010'!E:E,A231)</f>
        <v>1</v>
      </c>
      <c r="X231" s="21">
        <f>countif('v2006'!E:E,A231)</f>
        <v>1</v>
      </c>
      <c r="Y231" s="21">
        <f>countif('v2002'!E:E,A231)</f>
        <v>1</v>
      </c>
      <c r="Z231" s="21">
        <f>countif('v1998'!E:E,A231)</f>
        <v>1</v>
      </c>
    </row>
    <row r="232">
      <c r="A232" s="17" t="s">
        <v>3662</v>
      </c>
      <c r="B232" s="18" t="s">
        <v>1034</v>
      </c>
      <c r="C232" s="21" t="str">
        <f t="shared" si="24"/>
        <v>Natural Unit Of Velocity</v>
      </c>
      <c r="D232" s="21" t="str">
        <f t="shared" si="10"/>
        <v>Unité naturelle de vitesse</v>
      </c>
      <c r="E232" s="17" t="s">
        <v>2433</v>
      </c>
      <c r="F232" s="17" t="s">
        <v>3676</v>
      </c>
      <c r="G232" s="18" t="s">
        <v>1109</v>
      </c>
      <c r="H232" s="18" t="str">
        <f t="shared" si="25"/>
        <v>m_s-1</v>
      </c>
      <c r="I232" s="17">
        <f>if(H232="","", countif(Units!A:A,H232))</f>
        <v>1</v>
      </c>
      <c r="J232" s="18" t="s">
        <v>1034</v>
      </c>
      <c r="K232" s="28">
        <f>countif(Quantities!A:A,J232)</f>
        <v>1</v>
      </c>
      <c r="L232" s="30" t="b">
        <f t="shared" si="4"/>
        <v>1</v>
      </c>
      <c r="M232" s="17" t="s">
        <v>1034</v>
      </c>
      <c r="N232" s="34" t="str">
        <f t="shared" si="5"/>
        <v>qudt</v>
      </c>
      <c r="O232" s="18" t="b">
        <f t="shared" si="6"/>
        <v>1</v>
      </c>
      <c r="P232" s="39"/>
      <c r="Q232" s="39"/>
      <c r="R232" s="39" t="str">
        <f t="shared" si="7"/>
        <v/>
      </c>
      <c r="S232" s="43">
        <f t="shared" si="8"/>
        <v>7</v>
      </c>
      <c r="T232" s="21">
        <f>countif('v2022'!E:E,A232)</f>
        <v>1</v>
      </c>
      <c r="U232" s="21">
        <f>countif('v2018'!E:E,A232)</f>
        <v>1</v>
      </c>
      <c r="V232" s="21">
        <f>countif('v2014'!E:E,A232)</f>
        <v>1</v>
      </c>
      <c r="W232" s="21">
        <f>countif('v2010'!E:E,A232)</f>
        <v>1</v>
      </c>
      <c r="X232" s="21">
        <f>countif('v2006'!E:E,A232)</f>
        <v>1</v>
      </c>
      <c r="Y232" s="21">
        <f>countif('v2002'!E:E,A232)</f>
        <v>1</v>
      </c>
      <c r="Z232" s="21">
        <f>countif('v1998'!E:E,A232)</f>
        <v>1</v>
      </c>
    </row>
    <row r="233">
      <c r="A233" s="17" t="s">
        <v>3666</v>
      </c>
      <c r="B233" s="18" t="s">
        <v>1037</v>
      </c>
      <c r="C233" s="21" t="str">
        <f t="shared" si="24"/>
        <v>Neutron Compton Wavelength</v>
      </c>
      <c r="D233" s="21" t="str">
        <f t="shared" si="10"/>
        <v>Longueur d'onde de Compton du neutron</v>
      </c>
      <c r="E233" s="17" t="s">
        <v>2439</v>
      </c>
      <c r="F233" s="17" t="s">
        <v>3684</v>
      </c>
      <c r="G233" s="18" t="s">
        <v>381</v>
      </c>
      <c r="H233" s="18" t="str">
        <f t="shared" si="25"/>
        <v>m</v>
      </c>
      <c r="I233" s="17">
        <f>if(H233="","", countif(Units!A:A,H233))</f>
        <v>1</v>
      </c>
      <c r="J233" s="18" t="s">
        <v>1037</v>
      </c>
      <c r="K233" s="28">
        <f>countif(Quantities!A:A,J233)</f>
        <v>1</v>
      </c>
      <c r="L233" s="30" t="b">
        <f t="shared" si="4"/>
        <v>1</v>
      </c>
      <c r="M233" s="17" t="s">
        <v>1037</v>
      </c>
      <c r="N233" s="34" t="str">
        <f t="shared" si="5"/>
        <v>qudt</v>
      </c>
      <c r="O233" s="18" t="b">
        <f t="shared" si="6"/>
        <v>1</v>
      </c>
      <c r="P233" s="39"/>
      <c r="Q233" s="39"/>
      <c r="R233" s="39" t="str">
        <f t="shared" si="7"/>
        <v/>
      </c>
      <c r="S233" s="43">
        <f t="shared" si="8"/>
        <v>7</v>
      </c>
      <c r="T233" s="21">
        <f>countif('v2022'!E:E,A233)</f>
        <v>1</v>
      </c>
      <c r="U233" s="21">
        <f>countif('v2018'!E:E,A233)</f>
        <v>1</v>
      </c>
      <c r="V233" s="21">
        <f>countif('v2014'!E:E,A233)</f>
        <v>1</v>
      </c>
      <c r="W233" s="21">
        <f>countif('v2010'!E:E,A233)</f>
        <v>1</v>
      </c>
      <c r="X233" s="21">
        <f>countif('v2006'!E:E,A233)</f>
        <v>1</v>
      </c>
      <c r="Y233" s="21">
        <f>countif('v2002'!E:E,A233)</f>
        <v>1</v>
      </c>
      <c r="Z233" s="21">
        <f>countif('v1998'!E:E,A233)</f>
        <v>1</v>
      </c>
    </row>
    <row r="234">
      <c r="A234" s="17" t="s">
        <v>3694</v>
      </c>
      <c r="B234" s="18" t="s">
        <v>1040</v>
      </c>
      <c r="C234" s="21" t="str">
        <f t="shared" si="24"/>
        <v>Neutron - Electron Magnetic Moment Ratio</v>
      </c>
      <c r="D234" s="21" t="str">
        <f t="shared" si="10"/>
        <v>Rapport du moment magnétique du neutron à celui de l'électron</v>
      </c>
      <c r="E234" s="17" t="s">
        <v>3697</v>
      </c>
      <c r="F234" s="17" t="s">
        <v>3698</v>
      </c>
      <c r="H234" s="18" t="str">
        <f t="shared" si="25"/>
        <v/>
      </c>
      <c r="I234" s="17" t="str">
        <f>if(H234="","", countif(Units!A:A,H234))</f>
        <v/>
      </c>
      <c r="J234" s="18" t="s">
        <v>1040</v>
      </c>
      <c r="K234" s="28">
        <f>countif(Quantities!A:A,J234)</f>
        <v>1</v>
      </c>
      <c r="L234" s="30" t="b">
        <f t="shared" si="4"/>
        <v>1</v>
      </c>
      <c r="M234" s="17" t="s">
        <v>1040</v>
      </c>
      <c r="N234" s="34" t="str">
        <f t="shared" si="5"/>
        <v>qudt</v>
      </c>
      <c r="O234" s="18" t="b">
        <f t="shared" si="6"/>
        <v>1</v>
      </c>
      <c r="P234" s="39"/>
      <c r="Q234" s="39"/>
      <c r="R234" s="39" t="str">
        <f t="shared" si="7"/>
        <v/>
      </c>
      <c r="S234" s="43">
        <f t="shared" si="8"/>
        <v>7</v>
      </c>
      <c r="T234" s="21">
        <f>countif('v2022'!E:E,A234)</f>
        <v>1</v>
      </c>
      <c r="U234" s="21">
        <f>countif('v2018'!E:E,A234)</f>
        <v>1</v>
      </c>
      <c r="V234" s="21">
        <f>countif('v2014'!E:E,A234)</f>
        <v>1</v>
      </c>
      <c r="W234" s="21">
        <f>countif('v2010'!E:E,A234)</f>
        <v>1</v>
      </c>
      <c r="X234" s="21">
        <f>countif('v2006'!E:E,A234)</f>
        <v>1</v>
      </c>
      <c r="Y234" s="21">
        <f>countif('v2002'!E:E,A234)</f>
        <v>1</v>
      </c>
      <c r="Z234" s="21">
        <f>countif('v1998'!E:E,A234)</f>
        <v>1</v>
      </c>
    </row>
    <row r="235">
      <c r="A235" s="17" t="s">
        <v>3708</v>
      </c>
      <c r="B235" s="18" t="s">
        <v>1042</v>
      </c>
      <c r="C235" s="21" t="str">
        <f t="shared" si="24"/>
        <v>Neutron - Electron Mass Ratio</v>
      </c>
      <c r="D235" s="21" t="str">
        <f t="shared" si="10"/>
        <v>Rapport de la masse du neutron à celle de l'électron</v>
      </c>
      <c r="E235" s="17" t="s">
        <v>3709</v>
      </c>
      <c r="F235" s="17" t="s">
        <v>3710</v>
      </c>
      <c r="H235" s="18" t="str">
        <f t="shared" si="25"/>
        <v/>
      </c>
      <c r="I235" s="17" t="str">
        <f>if(H235="","", countif(Units!A:A,H235))</f>
        <v/>
      </c>
      <c r="J235" s="18" t="s">
        <v>1042</v>
      </c>
      <c r="K235" s="28">
        <f>countif(Quantities!A:A,J235)</f>
        <v>1</v>
      </c>
      <c r="L235" s="30" t="b">
        <f t="shared" si="4"/>
        <v>1</v>
      </c>
      <c r="M235" s="17" t="s">
        <v>1042</v>
      </c>
      <c r="N235" s="34" t="str">
        <f t="shared" si="5"/>
        <v>qudt</v>
      </c>
      <c r="O235" s="18" t="b">
        <f t="shared" si="6"/>
        <v>1</v>
      </c>
      <c r="P235" s="39"/>
      <c r="Q235" s="39"/>
      <c r="R235" s="39" t="str">
        <f t="shared" si="7"/>
        <v/>
      </c>
      <c r="S235" s="43">
        <f t="shared" si="8"/>
        <v>7</v>
      </c>
      <c r="T235" s="21">
        <f>countif('v2022'!E:E,A235)</f>
        <v>1</v>
      </c>
      <c r="U235" s="21">
        <f>countif('v2018'!E:E,A235)</f>
        <v>1</v>
      </c>
      <c r="V235" s="21">
        <f>countif('v2014'!E:E,A235)</f>
        <v>1</v>
      </c>
      <c r="W235" s="21">
        <f>countif('v2010'!E:E,A235)</f>
        <v>1</v>
      </c>
      <c r="X235" s="21">
        <f>countif('v2006'!E:E,A235)</f>
        <v>1</v>
      </c>
      <c r="Y235" s="21">
        <f>countif('v2002'!E:E,A235)</f>
        <v>1</v>
      </c>
      <c r="Z235" s="21">
        <f>countif('v1998'!E:E,A235)</f>
        <v>1</v>
      </c>
    </row>
    <row r="236">
      <c r="A236" s="17" t="s">
        <v>3679</v>
      </c>
      <c r="B236" s="18" t="s">
        <v>1044</v>
      </c>
      <c r="C236" s="21" t="str">
        <f t="shared" si="24"/>
        <v>Neutron G Factor</v>
      </c>
      <c r="D236" s="21" t="str">
        <f t="shared" si="10"/>
        <v>Facteur de Landé du neutron</v>
      </c>
      <c r="E236" s="17" t="s">
        <v>2454</v>
      </c>
      <c r="F236" s="17" t="s">
        <v>3720</v>
      </c>
      <c r="H236" s="18" t="str">
        <f t="shared" si="25"/>
        <v/>
      </c>
      <c r="I236" s="17" t="str">
        <f>if(H236="","", countif(Units!A:A,H236))</f>
        <v/>
      </c>
      <c r="J236" s="18" t="s">
        <v>1044</v>
      </c>
      <c r="K236" s="28">
        <f>countif(Quantities!A:A,J236)</f>
        <v>1</v>
      </c>
      <c r="L236" s="30" t="b">
        <f t="shared" si="4"/>
        <v>1</v>
      </c>
      <c r="M236" s="17" t="s">
        <v>1044</v>
      </c>
      <c r="N236" s="34" t="str">
        <f t="shared" si="5"/>
        <v>qudt</v>
      </c>
      <c r="O236" s="18" t="b">
        <f t="shared" si="6"/>
        <v>1</v>
      </c>
      <c r="P236" s="39"/>
      <c r="Q236" s="39"/>
      <c r="R236" s="39" t="str">
        <f t="shared" si="7"/>
        <v/>
      </c>
      <c r="S236" s="43">
        <f t="shared" si="8"/>
        <v>7</v>
      </c>
      <c r="T236" s="21">
        <f>countif('v2022'!E:E,A236)</f>
        <v>1</v>
      </c>
      <c r="U236" s="21">
        <f>countif('v2018'!E:E,A236)</f>
        <v>1</v>
      </c>
      <c r="V236" s="21">
        <f>countif('v2014'!E:E,A236)</f>
        <v>1</v>
      </c>
      <c r="W236" s="21">
        <f>countif('v2010'!E:E,A236)</f>
        <v>1</v>
      </c>
      <c r="X236" s="21">
        <f>countif('v2006'!E:E,A236)</f>
        <v>1</v>
      </c>
      <c r="Y236" s="21">
        <f>countif('v2002'!E:E,A236)</f>
        <v>1</v>
      </c>
      <c r="Z236" s="21">
        <f>countif('v1998'!E:E,A236)</f>
        <v>1</v>
      </c>
    </row>
    <row r="237">
      <c r="A237" s="17" t="s">
        <v>3685</v>
      </c>
      <c r="B237" s="18" t="s">
        <v>1046</v>
      </c>
      <c r="C237" s="21" t="str">
        <f t="shared" si="24"/>
        <v>Neutron Gyromagnetic Ratio</v>
      </c>
      <c r="D237" s="21" t="str">
        <f t="shared" si="10"/>
        <v>Rapport gyromagnétique du neutron</v>
      </c>
      <c r="E237" s="17" t="s">
        <v>3700</v>
      </c>
      <c r="F237" s="17" t="s">
        <v>3729</v>
      </c>
      <c r="G237" s="18" t="s">
        <v>1717</v>
      </c>
      <c r="H237" s="18" t="str">
        <f t="shared" si="25"/>
        <v>s-1_T-1</v>
      </c>
      <c r="I237" s="17">
        <f>if(H237="","", countif(Units!A:A,H237))</f>
        <v>1</v>
      </c>
      <c r="J237" s="18" t="s">
        <v>1046</v>
      </c>
      <c r="K237" s="28">
        <f>countif(Quantities!A:A,J237)</f>
        <v>1</v>
      </c>
      <c r="L237" s="30" t="b">
        <f t="shared" si="4"/>
        <v>1</v>
      </c>
      <c r="M237" s="17" t="s">
        <v>1046</v>
      </c>
      <c r="N237" s="34" t="str">
        <f t="shared" si="5"/>
        <v>qudt</v>
      </c>
      <c r="O237" s="18" t="b">
        <f t="shared" si="6"/>
        <v>1</v>
      </c>
      <c r="P237" s="39"/>
      <c r="Q237" s="39"/>
      <c r="R237" s="39" t="str">
        <f t="shared" si="7"/>
        <v/>
      </c>
      <c r="S237" s="43">
        <f t="shared" si="8"/>
        <v>7</v>
      </c>
      <c r="T237" s="21">
        <f>countif('v2022'!E:E,A237)</f>
        <v>1</v>
      </c>
      <c r="U237" s="21">
        <f>countif('v2018'!E:E,A237)</f>
        <v>1</v>
      </c>
      <c r="V237" s="21">
        <f>countif('v2014'!E:E,A237)</f>
        <v>1</v>
      </c>
      <c r="W237" s="21">
        <f>countif('v2010'!E:E,A237)</f>
        <v>1</v>
      </c>
      <c r="X237" s="21">
        <f>countif('v2006'!E:E,A237)</f>
        <v>1</v>
      </c>
      <c r="Y237" s="21">
        <f>countif('v2002'!E:E,A237)</f>
        <v>1</v>
      </c>
      <c r="Z237" s="21">
        <f>countif('v1998'!E:E,A237)</f>
        <v>1</v>
      </c>
    </row>
    <row r="238">
      <c r="A238" s="17" t="s">
        <v>3705</v>
      </c>
      <c r="B238" s="18" t="s">
        <v>3740</v>
      </c>
      <c r="C238" s="21" t="str">
        <f t="shared" si="24"/>
        <v>Neutron Gyromagnetic Ratio Over 2 Pi</v>
      </c>
      <c r="D238" s="21" t="str">
        <f t="shared" si="10"/>
        <v>Rapport gyromagnétique réduit du neutron</v>
      </c>
      <c r="E238" s="17" t="s">
        <v>3723</v>
      </c>
      <c r="F238" s="17" t="s">
        <v>3741</v>
      </c>
      <c r="G238" s="18" t="s">
        <v>1733</v>
      </c>
      <c r="H238" s="18" t="str">
        <f t="shared" si="25"/>
        <v>MHz_T-1</v>
      </c>
      <c r="I238" s="17">
        <f>if(H238="","", countif(Units!A:A,H238))</f>
        <v>1</v>
      </c>
      <c r="J238" s="17" t="s">
        <v>1046</v>
      </c>
      <c r="K238" s="28">
        <f>countif(Quantities!A:A,J238)</f>
        <v>1</v>
      </c>
      <c r="L238" s="30" t="b">
        <f t="shared" si="4"/>
        <v>0</v>
      </c>
      <c r="M238" s="17" t="s">
        <v>3740</v>
      </c>
      <c r="N238" s="34" t="str">
        <f t="shared" si="5"/>
        <v>qudt</v>
      </c>
      <c r="O238" s="18" t="b">
        <f t="shared" si="6"/>
        <v>1</v>
      </c>
      <c r="P238" s="39"/>
      <c r="Q238" s="39"/>
      <c r="R238" s="39" t="str">
        <f t="shared" si="7"/>
        <v/>
      </c>
      <c r="S238" s="43">
        <f t="shared" si="8"/>
        <v>7</v>
      </c>
      <c r="T238" s="21">
        <f>countif('v2022'!E:E,A238)</f>
        <v>1</v>
      </c>
      <c r="U238" s="21">
        <f>countif('v2018'!E:E,A238)</f>
        <v>1</v>
      </c>
      <c r="V238" s="21">
        <f>countif('v2014'!E:E,A238)</f>
        <v>1</v>
      </c>
      <c r="W238" s="21">
        <f>countif('v2010'!E:E,A238)</f>
        <v>1</v>
      </c>
      <c r="X238" s="21">
        <f>countif('v2006'!E:E,A238)</f>
        <v>1</v>
      </c>
      <c r="Y238" s="21">
        <f>countif('v2002'!E:E,A238)</f>
        <v>1</v>
      </c>
      <c r="Z238" s="21">
        <f>countif('v1998'!E:E,A238)</f>
        <v>1</v>
      </c>
    </row>
    <row r="239">
      <c r="A239" s="17" t="s">
        <v>3730</v>
      </c>
      <c r="B239" s="18" t="s">
        <v>1050</v>
      </c>
      <c r="C239" s="21" t="str">
        <f t="shared" si="24"/>
        <v>Neutron Magnetic Moment</v>
      </c>
      <c r="D239" s="21" t="str">
        <f t="shared" si="10"/>
        <v>Moment magnétique du neutron</v>
      </c>
      <c r="E239" s="17" t="s">
        <v>3738</v>
      </c>
      <c r="F239" s="17" t="s">
        <v>3754</v>
      </c>
      <c r="G239" s="18" t="s">
        <v>964</v>
      </c>
      <c r="H239" s="18" t="str">
        <f t="shared" si="25"/>
        <v>J_T-1</v>
      </c>
      <c r="I239" s="17">
        <f>if(H239="","", countif(Units!A:A,H239))</f>
        <v>1</v>
      </c>
      <c r="J239" s="18" t="s">
        <v>1050</v>
      </c>
      <c r="K239" s="28">
        <f>countif(Quantities!A:A,J239)</f>
        <v>1</v>
      </c>
      <c r="L239" s="30" t="b">
        <f t="shared" si="4"/>
        <v>1</v>
      </c>
      <c r="M239" s="17" t="s">
        <v>1050</v>
      </c>
      <c r="N239" s="34" t="str">
        <f t="shared" si="5"/>
        <v>qudt</v>
      </c>
      <c r="O239" s="18" t="b">
        <f t="shared" si="6"/>
        <v>1</v>
      </c>
      <c r="P239" s="39"/>
      <c r="Q239" s="39"/>
      <c r="R239" s="39" t="str">
        <f t="shared" si="7"/>
        <v/>
      </c>
      <c r="S239" s="43">
        <f t="shared" si="8"/>
        <v>7</v>
      </c>
      <c r="T239" s="21">
        <f>countif('v2022'!E:E,A239)</f>
        <v>1</v>
      </c>
      <c r="U239" s="21">
        <f>countif('v2018'!E:E,A239)</f>
        <v>1</v>
      </c>
      <c r="V239" s="21">
        <f>countif('v2014'!E:E,A239)</f>
        <v>1</v>
      </c>
      <c r="W239" s="21">
        <f>countif('v2010'!E:E,A239)</f>
        <v>1</v>
      </c>
      <c r="X239" s="21">
        <f>countif('v2006'!E:E,A239)</f>
        <v>1</v>
      </c>
      <c r="Y239" s="21">
        <f>countif('v2002'!E:E,A239)</f>
        <v>1</v>
      </c>
      <c r="Z239" s="21">
        <f>countif('v1998'!E:E,A239)</f>
        <v>1</v>
      </c>
    </row>
    <row r="240">
      <c r="A240" s="17" t="s">
        <v>3746</v>
      </c>
      <c r="B240" s="18" t="s">
        <v>1054</v>
      </c>
      <c r="C240" s="21" t="str">
        <f t="shared" si="24"/>
        <v>Neutron Magnetic Moment To Bohr Magneton Ratio</v>
      </c>
      <c r="D240" s="21" t="str">
        <f t="shared" si="10"/>
        <v>Rapport du moment magnétique du neutron au magnéton de Bohr électronique</v>
      </c>
      <c r="E240" s="17" t="s">
        <v>3757</v>
      </c>
      <c r="F240" s="17" t="s">
        <v>3764</v>
      </c>
      <c r="H240" s="18" t="str">
        <f t="shared" si="25"/>
        <v/>
      </c>
      <c r="I240" s="17" t="str">
        <f>if(H240="","", countif(Units!A:A,H240))</f>
        <v/>
      </c>
      <c r="J240" s="18" t="s">
        <v>1054</v>
      </c>
      <c r="K240" s="28">
        <f>countif(Quantities!A:A,J240)</f>
        <v>1</v>
      </c>
      <c r="L240" s="30" t="b">
        <f t="shared" si="4"/>
        <v>1</v>
      </c>
      <c r="M240" s="17" t="s">
        <v>1054</v>
      </c>
      <c r="N240" s="34" t="str">
        <f t="shared" si="5"/>
        <v>qudt</v>
      </c>
      <c r="O240" s="18" t="b">
        <f t="shared" si="6"/>
        <v>1</v>
      </c>
      <c r="P240" s="39"/>
      <c r="Q240" s="39"/>
      <c r="R240" s="39" t="str">
        <f t="shared" si="7"/>
        <v/>
      </c>
      <c r="S240" s="43">
        <f t="shared" si="8"/>
        <v>7</v>
      </c>
      <c r="T240" s="21">
        <f>countif('v2022'!E:E,A240)</f>
        <v>1</v>
      </c>
      <c r="U240" s="21">
        <f>countif('v2018'!E:E,A240)</f>
        <v>1</v>
      </c>
      <c r="V240" s="21">
        <f>countif('v2014'!E:E,A240)</f>
        <v>1</v>
      </c>
      <c r="W240" s="21">
        <f>countif('v2010'!E:E,A240)</f>
        <v>1</v>
      </c>
      <c r="X240" s="21">
        <f>countif('v2006'!E:E,A240)</f>
        <v>1</v>
      </c>
      <c r="Y240" s="21">
        <f>countif('v2002'!E:E,A240)</f>
        <v>1</v>
      </c>
      <c r="Z240" s="21">
        <f>countif('v1998'!E:E,A240)</f>
        <v>1</v>
      </c>
    </row>
    <row r="241">
      <c r="A241" s="17" t="s">
        <v>3763</v>
      </c>
      <c r="B241" s="18" t="s">
        <v>1059</v>
      </c>
      <c r="C241" s="21" t="str">
        <f t="shared" si="24"/>
        <v>Neutron Magnetic Moment To Nuclear Magneton Ratio</v>
      </c>
      <c r="D241" s="21" t="str">
        <f t="shared" si="10"/>
        <v>Rapport du moment magnétique du neutron au magnéton de Bohr nucléaire</v>
      </c>
      <c r="E241" s="17" t="s">
        <v>3767</v>
      </c>
      <c r="F241" s="17" t="s">
        <v>3770</v>
      </c>
      <c r="H241" s="18" t="str">
        <f t="shared" si="25"/>
        <v/>
      </c>
      <c r="I241" s="17" t="str">
        <f>if(H241="","", countif(Units!A:A,H241))</f>
        <v/>
      </c>
      <c r="J241" s="18" t="s">
        <v>1059</v>
      </c>
      <c r="K241" s="28">
        <f>countif(Quantities!A:A,J241)</f>
        <v>1</v>
      </c>
      <c r="L241" s="30" t="b">
        <f t="shared" si="4"/>
        <v>1</v>
      </c>
      <c r="M241" s="17" t="s">
        <v>1059</v>
      </c>
      <c r="N241" s="34" t="str">
        <f t="shared" si="5"/>
        <v>qudt</v>
      </c>
      <c r="O241" s="18" t="b">
        <f t="shared" si="6"/>
        <v>1</v>
      </c>
      <c r="P241" s="39"/>
      <c r="Q241" s="39"/>
      <c r="R241" s="39" t="str">
        <f t="shared" si="7"/>
        <v/>
      </c>
      <c r="S241" s="43">
        <f t="shared" si="8"/>
        <v>7</v>
      </c>
      <c r="T241" s="21">
        <f>countif('v2022'!E:E,A241)</f>
        <v>1</v>
      </c>
      <c r="U241" s="21">
        <f>countif('v2018'!E:E,A241)</f>
        <v>1</v>
      </c>
      <c r="V241" s="21">
        <f>countif('v2014'!E:E,A241)</f>
        <v>1</v>
      </c>
      <c r="W241" s="21">
        <f>countif('v2010'!E:E,A241)</f>
        <v>1</v>
      </c>
      <c r="X241" s="21">
        <f>countif('v2006'!E:E,A241)</f>
        <v>1</v>
      </c>
      <c r="Y241" s="21">
        <f>countif('v2002'!E:E,A241)</f>
        <v>1</v>
      </c>
      <c r="Z241" s="21">
        <f>countif('v1998'!E:E,A241)</f>
        <v>1</v>
      </c>
    </row>
    <row r="242">
      <c r="A242" s="17" t="s">
        <v>3771</v>
      </c>
      <c r="B242" s="18" t="s">
        <v>1062</v>
      </c>
      <c r="C242" s="21" t="str">
        <f t="shared" si="24"/>
        <v>Neutron Mass</v>
      </c>
      <c r="D242" s="21" t="str">
        <f t="shared" si="10"/>
        <v>Neutron mass</v>
      </c>
      <c r="E242" s="17" t="s">
        <v>2483</v>
      </c>
      <c r="F242" s="17" t="s">
        <v>2483</v>
      </c>
      <c r="G242" s="18" t="s">
        <v>98</v>
      </c>
      <c r="H242" s="18" t="str">
        <f t="shared" si="25"/>
        <v>kg</v>
      </c>
      <c r="I242" s="17">
        <f>if(H242="","", countif(Units!A:A,H242))</f>
        <v>1</v>
      </c>
      <c r="J242" s="18" t="s">
        <v>1062</v>
      </c>
      <c r="K242" s="28">
        <f>countif(Quantities!A:A,J242)</f>
        <v>1</v>
      </c>
      <c r="L242" s="30" t="b">
        <f t="shared" si="4"/>
        <v>1</v>
      </c>
      <c r="M242" s="17" t="s">
        <v>1062</v>
      </c>
      <c r="N242" s="34" t="str">
        <f t="shared" si="5"/>
        <v>qudt</v>
      </c>
      <c r="O242" s="18" t="b">
        <f t="shared" si="6"/>
        <v>1</v>
      </c>
      <c r="P242" s="39"/>
      <c r="Q242" s="39"/>
      <c r="R242" s="39" t="str">
        <f t="shared" si="7"/>
        <v/>
      </c>
      <c r="S242" s="43">
        <f t="shared" si="8"/>
        <v>7</v>
      </c>
      <c r="T242" s="21">
        <f>countif('v2022'!E:E,A242)</f>
        <v>1</v>
      </c>
      <c r="U242" s="21">
        <f>countif('v2018'!E:E,A242)</f>
        <v>1</v>
      </c>
      <c r="V242" s="21">
        <f>countif('v2014'!E:E,A242)</f>
        <v>1</v>
      </c>
      <c r="W242" s="21">
        <f>countif('v2010'!E:E,A242)</f>
        <v>1</v>
      </c>
      <c r="X242" s="21">
        <f>countif('v2006'!E:E,A242)</f>
        <v>1</v>
      </c>
      <c r="Y242" s="21">
        <f>countif('v2002'!E:E,A242)</f>
        <v>1</v>
      </c>
      <c r="Z242" s="21">
        <f>countif('v1998'!E:E,A242)</f>
        <v>1</v>
      </c>
    </row>
    <row r="243">
      <c r="A243" s="17" t="s">
        <v>3773</v>
      </c>
      <c r="B243" s="18" t="s">
        <v>1066</v>
      </c>
      <c r="C243" s="21" t="str">
        <f t="shared" si="24"/>
        <v>Neutron Mass Energy Equivalent</v>
      </c>
      <c r="D243" s="21" t="str">
        <f t="shared" si="10"/>
        <v>Énergie de masse du neutron</v>
      </c>
      <c r="E243" s="17" t="s">
        <v>2490</v>
      </c>
      <c r="F243" s="17" t="s">
        <v>3783</v>
      </c>
      <c r="G243" s="18" t="s">
        <v>173</v>
      </c>
      <c r="H243" s="18" t="str">
        <f t="shared" si="25"/>
        <v>J</v>
      </c>
      <c r="I243" s="17">
        <f>if(H243="","", countif(Units!A:A,H243))</f>
        <v>1</v>
      </c>
      <c r="J243" s="17" t="s">
        <v>1066</v>
      </c>
      <c r="K243" s="28">
        <f>countif(Quantities!A:A,J243)</f>
        <v>1</v>
      </c>
      <c r="L243" s="30" t="b">
        <f t="shared" si="4"/>
        <v>1</v>
      </c>
      <c r="M243" s="17" t="s">
        <v>1066</v>
      </c>
      <c r="N243" s="34" t="str">
        <f t="shared" si="5"/>
        <v>qudt</v>
      </c>
      <c r="O243" s="18" t="b">
        <f t="shared" si="6"/>
        <v>1</v>
      </c>
      <c r="P243" s="39"/>
      <c r="Q243" s="39"/>
      <c r="R243" s="39" t="str">
        <f t="shared" si="7"/>
        <v/>
      </c>
      <c r="S243" s="43">
        <f t="shared" si="8"/>
        <v>7</v>
      </c>
      <c r="T243" s="21">
        <f>countif('v2022'!E:E,A243)</f>
        <v>1</v>
      </c>
      <c r="U243" s="21">
        <f>countif('v2018'!E:E,A243)</f>
        <v>1</v>
      </c>
      <c r="V243" s="21">
        <f>countif('v2014'!E:E,A243)</f>
        <v>1</v>
      </c>
      <c r="W243" s="21">
        <f>countif('v2010'!E:E,A243)</f>
        <v>1</v>
      </c>
      <c r="X243" s="21">
        <f>countif('v2006'!E:E,A243)</f>
        <v>1</v>
      </c>
      <c r="Y243" s="21">
        <f>countif('v2002'!E:E,A243)</f>
        <v>1</v>
      </c>
      <c r="Z243" s="21">
        <f>countif('v1998'!E:E,A243)</f>
        <v>1</v>
      </c>
    </row>
    <row r="244">
      <c r="A244" s="17" t="s">
        <v>3776</v>
      </c>
      <c r="B244" s="18" t="s">
        <v>3797</v>
      </c>
      <c r="C244" s="17" t="s">
        <v>3798</v>
      </c>
      <c r="D244" s="21" t="str">
        <f t="shared" si="10"/>
        <v>Énergie de masse du neutron en MeV</v>
      </c>
      <c r="E244" s="17" t="s">
        <v>2495</v>
      </c>
      <c r="F244" s="17" t="s">
        <v>3800</v>
      </c>
      <c r="G244" s="18" t="s">
        <v>224</v>
      </c>
      <c r="H244" s="18" t="str">
        <f t="shared" si="25"/>
        <v>MeV</v>
      </c>
      <c r="I244" s="17">
        <f>if(H244="","", countif(Units!A:A,H244))</f>
        <v>1</v>
      </c>
      <c r="J244" s="18" t="s">
        <v>1062</v>
      </c>
      <c r="K244" s="28">
        <f>countif(Quantities!A:A,J244)</f>
        <v>1</v>
      </c>
      <c r="L244" s="30" t="b">
        <f t="shared" si="4"/>
        <v>0</v>
      </c>
      <c r="M244" s="17" t="s">
        <v>3797</v>
      </c>
      <c r="N244" s="34" t="str">
        <f t="shared" si="5"/>
        <v>qudt</v>
      </c>
      <c r="O244" s="18" t="b">
        <f t="shared" si="6"/>
        <v>1</v>
      </c>
      <c r="P244" s="39"/>
      <c r="Q244" s="39"/>
      <c r="R244" s="39" t="str">
        <f t="shared" si="7"/>
        <v/>
      </c>
      <c r="S244" s="43">
        <f t="shared" si="8"/>
        <v>7</v>
      </c>
      <c r="T244" s="21">
        <f>countif('v2022'!E:E,A244)</f>
        <v>1</v>
      </c>
      <c r="U244" s="21">
        <f>countif('v2018'!E:E,A244)</f>
        <v>1</v>
      </c>
      <c r="V244" s="21">
        <f>countif('v2014'!E:E,A244)</f>
        <v>1</v>
      </c>
      <c r="W244" s="21">
        <f>countif('v2010'!E:E,A244)</f>
        <v>1</v>
      </c>
      <c r="X244" s="21">
        <f>countif('v2006'!E:E,A244)</f>
        <v>1</v>
      </c>
      <c r="Y244" s="21">
        <f>countif('v2002'!E:E,A244)</f>
        <v>1</v>
      </c>
      <c r="Z244" s="21">
        <f>countif('v1998'!E:E,A244)</f>
        <v>1</v>
      </c>
    </row>
    <row r="245">
      <c r="A245" s="17" t="s">
        <v>3781</v>
      </c>
      <c r="B245" s="18" t="s">
        <v>3809</v>
      </c>
      <c r="C245" s="21" t="str">
        <f t="shared" ref="C245:C250" si="26">proper(E245)</f>
        <v>Neutron Mass In U</v>
      </c>
      <c r="D245" s="21" t="str">
        <f t="shared" si="10"/>
        <v>Masse du neutron en u</v>
      </c>
      <c r="E245" s="17" t="s">
        <v>2504</v>
      </c>
      <c r="F245" s="17" t="s">
        <v>3810</v>
      </c>
      <c r="G245" s="18" t="s">
        <v>249</v>
      </c>
      <c r="H245" s="18" t="str">
        <f t="shared" si="25"/>
        <v>u</v>
      </c>
      <c r="I245" s="17">
        <f>if(H245="","", countif(Units!A:A,H245))</f>
        <v>1</v>
      </c>
      <c r="J245" s="18" t="s">
        <v>1062</v>
      </c>
      <c r="K245" s="28">
        <f>countif(Quantities!A:A,J245)</f>
        <v>1</v>
      </c>
      <c r="L245" s="30" t="b">
        <f t="shared" si="4"/>
        <v>0</v>
      </c>
      <c r="M245" s="17" t="s">
        <v>3809</v>
      </c>
      <c r="N245" s="34" t="str">
        <f t="shared" si="5"/>
        <v>qudt</v>
      </c>
      <c r="O245" s="18" t="b">
        <f t="shared" si="6"/>
        <v>1</v>
      </c>
      <c r="P245" s="39"/>
      <c r="Q245" s="39"/>
      <c r="R245" s="39" t="str">
        <f t="shared" si="7"/>
        <v/>
      </c>
      <c r="S245" s="43">
        <f t="shared" si="8"/>
        <v>7</v>
      </c>
      <c r="T245" s="21">
        <f>countif('v2022'!E:E,A245)</f>
        <v>1</v>
      </c>
      <c r="U245" s="21">
        <f>countif('v2018'!E:E,A245)</f>
        <v>1</v>
      </c>
      <c r="V245" s="21">
        <f>countif('v2014'!E:E,A245)</f>
        <v>1</v>
      </c>
      <c r="W245" s="21">
        <f>countif('v2010'!E:E,A245)</f>
        <v>1</v>
      </c>
      <c r="X245" s="21">
        <f>countif('v2006'!E:E,A245)</f>
        <v>1</v>
      </c>
      <c r="Y245" s="21">
        <f>countif('v2002'!E:E,A245)</f>
        <v>1</v>
      </c>
      <c r="Z245" s="21">
        <f>countif('v1998'!E:E,A245)</f>
        <v>1</v>
      </c>
    </row>
    <row r="246">
      <c r="A246" s="17" t="s">
        <v>3789</v>
      </c>
      <c r="B246" s="18" t="s">
        <v>1068</v>
      </c>
      <c r="C246" s="21" t="str">
        <f t="shared" si="26"/>
        <v>Neutron Molar Mass</v>
      </c>
      <c r="D246" s="21" t="str">
        <f t="shared" si="10"/>
        <v>Masse molaire du neutron</v>
      </c>
      <c r="E246" s="17" t="s">
        <v>2508</v>
      </c>
      <c r="F246" s="17" t="s">
        <v>3819</v>
      </c>
      <c r="G246" s="18" t="s">
        <v>286</v>
      </c>
      <c r="H246" s="18" t="str">
        <f t="shared" si="25"/>
        <v>kg_mol-1</v>
      </c>
      <c r="I246" s="17">
        <f>if(H246="","", countif(Units!A:A,H246))</f>
        <v>1</v>
      </c>
      <c r="J246" s="18" t="s">
        <v>1068</v>
      </c>
      <c r="K246" s="28">
        <f>countif(Quantities!A:A,J246)</f>
        <v>1</v>
      </c>
      <c r="L246" s="30" t="b">
        <f t="shared" si="4"/>
        <v>1</v>
      </c>
      <c r="M246" s="17" t="s">
        <v>1068</v>
      </c>
      <c r="N246" s="34" t="str">
        <f t="shared" si="5"/>
        <v>qudt</v>
      </c>
      <c r="O246" s="18" t="b">
        <f t="shared" si="6"/>
        <v>1</v>
      </c>
      <c r="P246" s="39"/>
      <c r="Q246" s="39"/>
      <c r="R246" s="39" t="str">
        <f t="shared" si="7"/>
        <v/>
      </c>
      <c r="S246" s="43">
        <f t="shared" si="8"/>
        <v>7</v>
      </c>
      <c r="T246" s="21">
        <f>countif('v2022'!E:E,A246)</f>
        <v>1</v>
      </c>
      <c r="U246" s="21">
        <f>countif('v2018'!E:E,A246)</f>
        <v>1</v>
      </c>
      <c r="V246" s="21">
        <f>countif('v2014'!E:E,A246)</f>
        <v>1</v>
      </c>
      <c r="W246" s="21">
        <f>countif('v2010'!E:E,A246)</f>
        <v>1</v>
      </c>
      <c r="X246" s="21">
        <f>countif('v2006'!E:E,A246)</f>
        <v>1</v>
      </c>
      <c r="Y246" s="21">
        <f>countif('v2002'!E:E,A246)</f>
        <v>1</v>
      </c>
      <c r="Z246" s="21">
        <f>countif('v1998'!E:E,A246)</f>
        <v>1</v>
      </c>
    </row>
    <row r="247">
      <c r="A247" s="17" t="s">
        <v>3826</v>
      </c>
      <c r="B247" s="18" t="s">
        <v>1070</v>
      </c>
      <c r="C247" s="21" t="str">
        <f t="shared" si="26"/>
        <v>Neutron - Muon Mass Ratio</v>
      </c>
      <c r="D247" s="21" t="str">
        <f t="shared" si="10"/>
        <v>Rapport de la masse du neutron à celle du muon</v>
      </c>
      <c r="E247" s="17" t="s">
        <v>3827</v>
      </c>
      <c r="F247" s="17" t="s">
        <v>3828</v>
      </c>
      <c r="H247" s="18" t="str">
        <f t="shared" si="25"/>
        <v/>
      </c>
      <c r="I247" s="17" t="str">
        <f>if(H247="","", countif(Units!A:A,H247))</f>
        <v/>
      </c>
      <c r="J247" s="18" t="s">
        <v>1070</v>
      </c>
      <c r="K247" s="28">
        <f>countif(Quantities!A:A,J247)</f>
        <v>1</v>
      </c>
      <c r="L247" s="30" t="b">
        <f t="shared" si="4"/>
        <v>1</v>
      </c>
      <c r="M247" s="17" t="s">
        <v>1070</v>
      </c>
      <c r="N247" s="34" t="str">
        <f t="shared" si="5"/>
        <v>qudt</v>
      </c>
      <c r="O247" s="18" t="b">
        <f t="shared" si="6"/>
        <v>1</v>
      </c>
      <c r="P247" s="39"/>
      <c r="Q247" s="39"/>
      <c r="R247" s="39" t="str">
        <f t="shared" si="7"/>
        <v/>
      </c>
      <c r="S247" s="43">
        <f t="shared" si="8"/>
        <v>7</v>
      </c>
      <c r="T247" s="21">
        <f>countif('v2022'!E:E,A247)</f>
        <v>1</v>
      </c>
      <c r="U247" s="21">
        <f>countif('v2018'!E:E,A247)</f>
        <v>1</v>
      </c>
      <c r="V247" s="21">
        <f>countif('v2014'!E:E,A247)</f>
        <v>1</v>
      </c>
      <c r="W247" s="21">
        <f>countif('v2010'!E:E,A247)</f>
        <v>1</v>
      </c>
      <c r="X247" s="21">
        <f>countif('v2006'!E:E,A247)</f>
        <v>1</v>
      </c>
      <c r="Y247" s="21">
        <f>countif('v2002'!E:E,A247)</f>
        <v>1</v>
      </c>
      <c r="Z247" s="21">
        <f>countif('v1998'!E:E,A247)</f>
        <v>1</v>
      </c>
    </row>
    <row r="248">
      <c r="A248" s="17" t="s">
        <v>3840</v>
      </c>
      <c r="B248" s="18" t="s">
        <v>1074</v>
      </c>
      <c r="C248" s="21" t="str">
        <f t="shared" si="26"/>
        <v>Neutron - Proton Magnetic Moment Ratio</v>
      </c>
      <c r="D248" s="21" t="str">
        <f t="shared" si="10"/>
        <v>Rapport du moment magnétique du neutron à celui du proton</v>
      </c>
      <c r="E248" s="17" t="s">
        <v>3841</v>
      </c>
      <c r="F248" s="17" t="s">
        <v>3842</v>
      </c>
      <c r="H248" s="18" t="str">
        <f t="shared" si="25"/>
        <v/>
      </c>
      <c r="I248" s="17" t="str">
        <f>if(H248="","", countif(Units!A:A,H248))</f>
        <v/>
      </c>
      <c r="J248" s="18" t="s">
        <v>1074</v>
      </c>
      <c r="K248" s="28">
        <f>countif(Quantities!A:A,J248)</f>
        <v>1</v>
      </c>
      <c r="L248" s="30" t="b">
        <f t="shared" si="4"/>
        <v>1</v>
      </c>
      <c r="M248" s="17" t="s">
        <v>1074</v>
      </c>
      <c r="N248" s="34" t="str">
        <f t="shared" si="5"/>
        <v>qudt</v>
      </c>
      <c r="O248" s="18" t="b">
        <f t="shared" si="6"/>
        <v>1</v>
      </c>
      <c r="P248" s="39"/>
      <c r="Q248" s="39"/>
      <c r="R248" s="39" t="str">
        <f t="shared" si="7"/>
        <v/>
      </c>
      <c r="S248" s="43">
        <f t="shared" si="8"/>
        <v>7</v>
      </c>
      <c r="T248" s="21">
        <f>countif('v2022'!E:E,A248)</f>
        <v>1</v>
      </c>
      <c r="U248" s="21">
        <f>countif('v2018'!E:E,A248)</f>
        <v>1</v>
      </c>
      <c r="V248" s="21">
        <f>countif('v2014'!E:E,A248)</f>
        <v>1</v>
      </c>
      <c r="W248" s="21">
        <f>countif('v2010'!E:E,A248)</f>
        <v>1</v>
      </c>
      <c r="X248" s="21">
        <f>countif('v2006'!E:E,A248)</f>
        <v>1</v>
      </c>
      <c r="Y248" s="21">
        <f>countif('v2002'!E:E,A248)</f>
        <v>1</v>
      </c>
      <c r="Z248" s="21">
        <f>countif('v1998'!E:E,A248)</f>
        <v>1</v>
      </c>
    </row>
    <row r="249">
      <c r="A249" s="17" t="s">
        <v>3853</v>
      </c>
      <c r="B249" s="17" t="s">
        <v>1079</v>
      </c>
      <c r="C249" s="21" t="str">
        <f t="shared" si="26"/>
        <v>Neutron - Proton Mass Difference</v>
      </c>
      <c r="D249" s="21" t="str">
        <f t="shared" si="10"/>
        <v>Différence des masses du neutron et du proton</v>
      </c>
      <c r="E249" s="17" t="s">
        <v>3854</v>
      </c>
      <c r="F249" s="17" t="s">
        <v>3855</v>
      </c>
      <c r="G249" s="18" t="s">
        <v>98</v>
      </c>
      <c r="H249" s="18" t="str">
        <f t="shared" si="25"/>
        <v>kg</v>
      </c>
      <c r="I249" s="17">
        <f>if(H249="","", countif(Units!A:A,H249))</f>
        <v>1</v>
      </c>
      <c r="J249" s="17" t="s">
        <v>1079</v>
      </c>
      <c r="K249" s="28">
        <f>countif(Quantities!A:A,J249)</f>
        <v>1</v>
      </c>
      <c r="L249" s="30" t="b">
        <f t="shared" si="4"/>
        <v>1</v>
      </c>
      <c r="N249" s="39" t="str">
        <f t="shared" si="5"/>
        <v/>
      </c>
      <c r="O249" s="18" t="b">
        <f t="shared" si="6"/>
        <v>0</v>
      </c>
      <c r="P249" s="39"/>
      <c r="Q249" s="39"/>
      <c r="R249" s="39" t="str">
        <f t="shared" si="7"/>
        <v/>
      </c>
      <c r="S249" s="43">
        <f t="shared" si="8"/>
        <v>4</v>
      </c>
      <c r="T249" s="21">
        <f>countif('v2022'!E:E,A249)</f>
        <v>1</v>
      </c>
      <c r="U249" s="21">
        <f>countif('v2018'!E:E,A249)</f>
        <v>1</v>
      </c>
      <c r="V249" s="21">
        <f>countif('v2014'!E:E,A249)</f>
        <v>1</v>
      </c>
      <c r="W249" s="21">
        <f>countif('v2010'!E:E,A249)</f>
        <v>1</v>
      </c>
      <c r="X249" s="21">
        <f>countif('v2006'!E:E,A249)</f>
        <v>0</v>
      </c>
      <c r="Y249" s="21">
        <f>countif('v2002'!E:E,A249)</f>
        <v>0</v>
      </c>
      <c r="Z249" s="21">
        <f>countif('v1998'!E:E,A249)</f>
        <v>0</v>
      </c>
    </row>
    <row r="250">
      <c r="A250" s="17" t="s">
        <v>3863</v>
      </c>
      <c r="B250" s="17" t="s">
        <v>1081</v>
      </c>
      <c r="C250" s="21" t="str">
        <f t="shared" si="26"/>
        <v>Neutron - Proton Mass Difference Energy Equivalent</v>
      </c>
      <c r="D250" s="21" t="str">
        <f t="shared" si="10"/>
        <v>Énergie de la différence des masses du neutron et du proton</v>
      </c>
      <c r="E250" s="17" t="s">
        <v>3864</v>
      </c>
      <c r="F250" s="17" t="s">
        <v>3865</v>
      </c>
      <c r="G250" s="18" t="s">
        <v>173</v>
      </c>
      <c r="H250" s="18" t="str">
        <f t="shared" si="25"/>
        <v>J</v>
      </c>
      <c r="I250" s="17">
        <f>if(H250="","", countif(Units!A:A,H250))</f>
        <v>1</v>
      </c>
      <c r="J250" s="17" t="s">
        <v>1081</v>
      </c>
      <c r="K250" s="28">
        <f>countif(Quantities!A:A,J250)</f>
        <v>1</v>
      </c>
      <c r="L250" s="30" t="b">
        <f t="shared" si="4"/>
        <v>1</v>
      </c>
      <c r="N250" s="39" t="str">
        <f t="shared" si="5"/>
        <v/>
      </c>
      <c r="O250" s="18" t="b">
        <f t="shared" si="6"/>
        <v>0</v>
      </c>
      <c r="P250" s="39"/>
      <c r="Q250" s="39"/>
      <c r="R250" s="39" t="str">
        <f t="shared" si="7"/>
        <v/>
      </c>
      <c r="S250" s="43">
        <f t="shared" si="8"/>
        <v>4</v>
      </c>
      <c r="T250" s="21">
        <f>countif('v2022'!E:E,A250)</f>
        <v>1</v>
      </c>
      <c r="U250" s="21">
        <f>countif('v2018'!E:E,A250)</f>
        <v>1</v>
      </c>
      <c r="V250" s="21">
        <f>countif('v2014'!E:E,A250)</f>
        <v>1</v>
      </c>
      <c r="W250" s="21">
        <f>countif('v2010'!E:E,A250)</f>
        <v>1</v>
      </c>
      <c r="X250" s="21">
        <f>countif('v2006'!E:E,A250)</f>
        <v>0</v>
      </c>
      <c r="Y250" s="21">
        <f>countif('v2002'!E:E,A250)</f>
        <v>0</v>
      </c>
      <c r="Z250" s="21">
        <f>countif('v1998'!E:E,A250)</f>
        <v>0</v>
      </c>
    </row>
    <row r="251">
      <c r="A251" s="17" t="s">
        <v>3875</v>
      </c>
      <c r="B251" s="17" t="s">
        <v>3876</v>
      </c>
      <c r="C251" s="17" t="s">
        <v>3877</v>
      </c>
      <c r="D251" s="21" t="str">
        <f t="shared" si="10"/>
        <v>Énergie de la différence des masses du neutron et du proton</v>
      </c>
      <c r="E251" s="17" t="s">
        <v>3878</v>
      </c>
      <c r="F251" s="17" t="s">
        <v>3865</v>
      </c>
      <c r="G251" s="18" t="s">
        <v>224</v>
      </c>
      <c r="H251" s="18" t="str">
        <f t="shared" si="25"/>
        <v>MeV</v>
      </c>
      <c r="I251" s="17">
        <f>if(H251="","", countif(Units!A:A,H251))</f>
        <v>1</v>
      </c>
      <c r="J251" s="17" t="s">
        <v>1079</v>
      </c>
      <c r="K251" s="28">
        <f>countif(Quantities!A:A,J251)</f>
        <v>1</v>
      </c>
      <c r="L251" s="30" t="b">
        <f t="shared" si="4"/>
        <v>0</v>
      </c>
      <c r="N251" s="39" t="str">
        <f t="shared" si="5"/>
        <v/>
      </c>
      <c r="O251" s="18" t="b">
        <f t="shared" si="6"/>
        <v>0</v>
      </c>
      <c r="P251" s="39"/>
      <c r="Q251" s="39"/>
      <c r="R251" s="39" t="str">
        <f t="shared" si="7"/>
        <v/>
      </c>
      <c r="S251" s="43">
        <f t="shared" si="8"/>
        <v>4</v>
      </c>
      <c r="T251" s="21">
        <f>countif('v2022'!E:E,A251)</f>
        <v>1</v>
      </c>
      <c r="U251" s="21">
        <f>countif('v2018'!E:E,A251)</f>
        <v>1</v>
      </c>
      <c r="V251" s="21">
        <f>countif('v2014'!E:E,A251)</f>
        <v>1</v>
      </c>
      <c r="W251" s="21">
        <f>countif('v2010'!E:E,A251)</f>
        <v>1</v>
      </c>
      <c r="X251" s="21">
        <f>countif('v2006'!E:E,A251)</f>
        <v>0</v>
      </c>
      <c r="Y251" s="21">
        <f>countif('v2002'!E:E,A251)</f>
        <v>0</v>
      </c>
      <c r="Z251" s="21">
        <f>countif('v1998'!E:E,A251)</f>
        <v>0</v>
      </c>
    </row>
    <row r="252">
      <c r="A252" s="17" t="s">
        <v>3886</v>
      </c>
      <c r="B252" s="17" t="s">
        <v>3888</v>
      </c>
      <c r="C252" s="21" t="str">
        <f t="shared" ref="C252:C259" si="27">proper(E252)</f>
        <v>Neutron - Muon Mass Ratio In U</v>
      </c>
      <c r="D252" s="21" t="str">
        <f t="shared" si="10"/>
        <v>Différence des masses du neutron et du proton en u</v>
      </c>
      <c r="E252" s="17" t="s">
        <v>3889</v>
      </c>
      <c r="F252" s="17" t="s">
        <v>3890</v>
      </c>
      <c r="G252" s="18" t="s">
        <v>249</v>
      </c>
      <c r="H252" s="18" t="str">
        <f t="shared" si="25"/>
        <v>u</v>
      </c>
      <c r="I252" s="17">
        <f>if(H252="","", countif(Units!A:A,H252))</f>
        <v>1</v>
      </c>
      <c r="J252" s="17" t="s">
        <v>1079</v>
      </c>
      <c r="K252" s="28">
        <f>countif(Quantities!A:A,J252)</f>
        <v>1</v>
      </c>
      <c r="L252" s="30" t="b">
        <f t="shared" si="4"/>
        <v>0</v>
      </c>
      <c r="N252" s="39" t="str">
        <f t="shared" si="5"/>
        <v/>
      </c>
      <c r="O252" s="18" t="b">
        <f t="shared" si="6"/>
        <v>0</v>
      </c>
      <c r="P252" s="39"/>
      <c r="Q252" s="39"/>
      <c r="R252" s="39" t="str">
        <f t="shared" si="7"/>
        <v/>
      </c>
      <c r="S252" s="43">
        <f t="shared" si="8"/>
        <v>4</v>
      </c>
      <c r="T252" s="21">
        <f>countif('v2022'!E:E,A252)</f>
        <v>1</v>
      </c>
      <c r="U252" s="21">
        <f>countif('v2018'!E:E,A252)</f>
        <v>1</v>
      </c>
      <c r="V252" s="21">
        <f>countif('v2014'!E:E,A252)</f>
        <v>1</v>
      </c>
      <c r="W252" s="21">
        <f>countif('v2010'!E:E,A252)</f>
        <v>1</v>
      </c>
      <c r="X252" s="21">
        <f>countif('v2006'!E:E,A252)</f>
        <v>0</v>
      </c>
      <c r="Y252" s="21">
        <f>countif('v2002'!E:E,A252)</f>
        <v>0</v>
      </c>
      <c r="Z252" s="21">
        <f>countif('v1998'!E:E,A252)</f>
        <v>0</v>
      </c>
    </row>
    <row r="253">
      <c r="A253" s="17" t="s">
        <v>3902</v>
      </c>
      <c r="B253" s="18" t="s">
        <v>1083</v>
      </c>
      <c r="C253" s="21" t="str">
        <f t="shared" si="27"/>
        <v>Neutron - Proton Mass Ratio</v>
      </c>
      <c r="D253" s="21" t="str">
        <f t="shared" si="10"/>
        <v>Rapport de la masse du neutron à celle du proton</v>
      </c>
      <c r="E253" s="17" t="s">
        <v>3903</v>
      </c>
      <c r="F253" s="17" t="s">
        <v>3904</v>
      </c>
      <c r="H253" s="18" t="str">
        <f t="shared" si="25"/>
        <v/>
      </c>
      <c r="I253" s="17" t="str">
        <f>if(H253="","", countif(Units!A:A,H253))</f>
        <v/>
      </c>
      <c r="J253" s="18" t="s">
        <v>1083</v>
      </c>
      <c r="K253" s="28">
        <f>countif(Quantities!A:A,J253)</f>
        <v>1</v>
      </c>
      <c r="L253" s="30" t="b">
        <f t="shared" si="4"/>
        <v>1</v>
      </c>
      <c r="M253" s="17" t="s">
        <v>1083</v>
      </c>
      <c r="N253" s="34" t="str">
        <f t="shared" si="5"/>
        <v>qudt</v>
      </c>
      <c r="O253" s="18" t="b">
        <f t="shared" si="6"/>
        <v>1</v>
      </c>
      <c r="P253" s="39"/>
      <c r="Q253" s="39"/>
      <c r="R253" s="39" t="str">
        <f t="shared" si="7"/>
        <v/>
      </c>
      <c r="S253" s="43">
        <f t="shared" si="8"/>
        <v>7</v>
      </c>
      <c r="T253" s="21">
        <f>countif('v2022'!E:E,A253)</f>
        <v>1</v>
      </c>
      <c r="U253" s="21">
        <f>countif('v2018'!E:E,A253)</f>
        <v>1</v>
      </c>
      <c r="V253" s="21">
        <f>countif('v2014'!E:E,A253)</f>
        <v>1</v>
      </c>
      <c r="W253" s="21">
        <f>countif('v2010'!E:E,A253)</f>
        <v>1</v>
      </c>
      <c r="X253" s="21">
        <f>countif('v2006'!E:E,A253)</f>
        <v>1</v>
      </c>
      <c r="Y253" s="21">
        <f>countif('v2002'!E:E,A253)</f>
        <v>1</v>
      </c>
      <c r="Z253" s="21">
        <f>countif('v1998'!E:E,A253)</f>
        <v>1</v>
      </c>
    </row>
    <row r="254">
      <c r="A254" s="17" t="s">
        <v>3799</v>
      </c>
      <c r="B254" s="18" t="s">
        <v>1085</v>
      </c>
      <c r="C254" s="21" t="str">
        <f t="shared" si="27"/>
        <v>Neutron Relative Atomic Mass</v>
      </c>
      <c r="D254" s="21" t="str">
        <f t="shared" si="10"/>
        <v>Masse atomique relative du neutron</v>
      </c>
      <c r="E254" s="17" t="s">
        <v>2546</v>
      </c>
      <c r="F254" s="17" t="s">
        <v>3914</v>
      </c>
      <c r="H254" s="18" t="str">
        <f t="shared" si="25"/>
        <v/>
      </c>
      <c r="I254" s="17" t="str">
        <f>if(H254="","", countif(Units!A:A,H254))</f>
        <v/>
      </c>
      <c r="J254" s="18" t="s">
        <v>1085</v>
      </c>
      <c r="K254" s="28">
        <f>countif(Quantities!A:A,J254)</f>
        <v>1</v>
      </c>
      <c r="L254" s="30" t="b">
        <f t="shared" si="4"/>
        <v>1</v>
      </c>
      <c r="N254" s="39" t="str">
        <f t="shared" si="5"/>
        <v/>
      </c>
      <c r="O254" s="18" t="b">
        <f t="shared" si="6"/>
        <v>0</v>
      </c>
      <c r="P254" s="23"/>
      <c r="Q254" s="23"/>
      <c r="R254" s="39" t="str">
        <f t="shared" si="7"/>
        <v/>
      </c>
      <c r="S254" s="43">
        <f t="shared" si="8"/>
        <v>2</v>
      </c>
      <c r="T254" s="21">
        <f>countif('v2022'!E:E,A254)</f>
        <v>1</v>
      </c>
      <c r="U254" s="21">
        <f>countif('v2018'!E:E,A254)</f>
        <v>1</v>
      </c>
      <c r="V254" s="21">
        <f>countif('v2014'!E:E,A254)</f>
        <v>0</v>
      </c>
      <c r="W254" s="21">
        <f>countif('v2010'!E:E,A254)</f>
        <v>0</v>
      </c>
      <c r="X254" s="21">
        <f>countif('v2006'!E:E,A254)</f>
        <v>0</v>
      </c>
      <c r="Y254" s="21">
        <f>countif('v2002'!E:E,A254)</f>
        <v>0</v>
      </c>
      <c r="Z254" s="21">
        <f>countif('v1998'!E:E,A254)</f>
        <v>0</v>
      </c>
    </row>
    <row r="255">
      <c r="A255" s="17" t="s">
        <v>3919</v>
      </c>
      <c r="B255" s="18" t="s">
        <v>1088</v>
      </c>
      <c r="C255" s="21" t="str">
        <f t="shared" si="27"/>
        <v>Neutron - Tau Mass Ratio</v>
      </c>
      <c r="D255" s="21" t="str">
        <f t="shared" si="10"/>
        <v>Rapport de la masse du neutron à celle du tau</v>
      </c>
      <c r="E255" s="17" t="s">
        <v>3923</v>
      </c>
      <c r="F255" s="17" t="s">
        <v>3924</v>
      </c>
      <c r="H255" s="18" t="str">
        <f t="shared" si="25"/>
        <v/>
      </c>
      <c r="I255" s="17" t="str">
        <f>if(H255="","", countif(Units!A:A,H255))</f>
        <v/>
      </c>
      <c r="J255" s="18" t="s">
        <v>1088</v>
      </c>
      <c r="K255" s="28">
        <f>countif(Quantities!A:A,J255)</f>
        <v>1</v>
      </c>
      <c r="L255" s="30" t="b">
        <f t="shared" si="4"/>
        <v>1</v>
      </c>
      <c r="M255" s="17" t="s">
        <v>1088</v>
      </c>
      <c r="N255" s="34" t="str">
        <f t="shared" si="5"/>
        <v>qudt</v>
      </c>
      <c r="O255" s="18" t="b">
        <f t="shared" si="6"/>
        <v>1</v>
      </c>
      <c r="P255" s="39"/>
      <c r="Q255" s="39"/>
      <c r="R255" s="39" t="str">
        <f t="shared" si="7"/>
        <v/>
      </c>
      <c r="S255" s="43">
        <f t="shared" si="8"/>
        <v>7</v>
      </c>
      <c r="T255" s="21">
        <f>countif('v2022'!E:E,A255)</f>
        <v>1</v>
      </c>
      <c r="U255" s="21">
        <f>countif('v2018'!E:E,A255)</f>
        <v>1</v>
      </c>
      <c r="V255" s="21">
        <f>countif('v2014'!E:E,A255)</f>
        <v>1</v>
      </c>
      <c r="W255" s="21">
        <f>countif('v2010'!E:E,A255)</f>
        <v>1</v>
      </c>
      <c r="X255" s="21">
        <f>countif('v2006'!E:E,A255)</f>
        <v>1</v>
      </c>
      <c r="Y255" s="21">
        <f>countif('v2002'!E:E,A255)</f>
        <v>1</v>
      </c>
      <c r="Z255" s="21">
        <f>countif('v1998'!E:E,A255)</f>
        <v>1</v>
      </c>
    </row>
    <row r="256">
      <c r="A256" s="17" t="s">
        <v>3805</v>
      </c>
      <c r="B256" s="18" t="s">
        <v>1092</v>
      </c>
      <c r="C256" s="21" t="str">
        <f t="shared" si="27"/>
        <v>Neutron To Shielded Proton Magnetic Moment Ratio</v>
      </c>
      <c r="D256" s="21" t="str">
        <f t="shared" si="10"/>
        <v>Rapport du moment magnétique du neutron à celui du proton écranté</v>
      </c>
      <c r="E256" s="17" t="s">
        <v>3817</v>
      </c>
      <c r="F256" s="17" t="s">
        <v>3937</v>
      </c>
      <c r="H256" s="18" t="str">
        <f t="shared" si="25"/>
        <v/>
      </c>
      <c r="I256" s="17" t="str">
        <f>if(H256="","", countif(Units!A:A,H256))</f>
        <v/>
      </c>
      <c r="J256" s="18" t="s">
        <v>1092</v>
      </c>
      <c r="K256" s="28">
        <f>countif(Quantities!A:A,J256)</f>
        <v>1</v>
      </c>
      <c r="L256" s="30" t="b">
        <f t="shared" si="4"/>
        <v>1</v>
      </c>
      <c r="M256" s="17" t="s">
        <v>1092</v>
      </c>
      <c r="N256" s="34" t="str">
        <f t="shared" si="5"/>
        <v>qudt</v>
      </c>
      <c r="O256" s="18" t="b">
        <f t="shared" si="6"/>
        <v>1</v>
      </c>
      <c r="P256" s="39"/>
      <c r="Q256" s="39"/>
      <c r="R256" s="39" t="str">
        <f t="shared" si="7"/>
        <v/>
      </c>
      <c r="S256" s="43">
        <f t="shared" si="8"/>
        <v>7</v>
      </c>
      <c r="T256" s="21">
        <f>countif('v2022'!E:E,A256)</f>
        <v>1</v>
      </c>
      <c r="U256" s="21">
        <f>countif('v2018'!E:E,A256)</f>
        <v>1</v>
      </c>
      <c r="V256" s="21">
        <f>countif('v2014'!E:E,A256)</f>
        <v>1</v>
      </c>
      <c r="W256" s="21">
        <f>countif('v2010'!E:E,A256)</f>
        <v>1</v>
      </c>
      <c r="X256" s="21">
        <f>countif('v2006'!E:E,A256)</f>
        <v>1</v>
      </c>
      <c r="Y256" s="21">
        <f>countif('v2002'!E:E,A256)</f>
        <v>1</v>
      </c>
      <c r="Z256" s="21">
        <f>countif('v1998'!E:E,A256)</f>
        <v>1</v>
      </c>
    </row>
    <row r="257">
      <c r="A257" s="17" t="s">
        <v>3925</v>
      </c>
      <c r="B257" s="18" t="s">
        <v>1094</v>
      </c>
      <c r="C257" s="21" t="str">
        <f t="shared" si="27"/>
        <v>Newtonian Constant Of Gravitation</v>
      </c>
      <c r="D257" s="21" t="str">
        <f t="shared" si="10"/>
        <v>Constante de la gravitation universelle</v>
      </c>
      <c r="E257" s="17" t="s">
        <v>2558</v>
      </c>
      <c r="F257" s="17" t="s">
        <v>3948</v>
      </c>
      <c r="G257" s="18" t="s">
        <v>2561</v>
      </c>
      <c r="H257" s="18" t="str">
        <f t="shared" si="25"/>
        <v>m3_kg-1_s-2</v>
      </c>
      <c r="I257" s="17">
        <f>if(H257="","", countif(Units!A:A,H257))</f>
        <v>1</v>
      </c>
      <c r="J257" s="18" t="s">
        <v>1094</v>
      </c>
      <c r="K257" s="28">
        <f>countif(Quantities!A:A,J257)</f>
        <v>1</v>
      </c>
      <c r="L257" s="30" t="b">
        <f t="shared" si="4"/>
        <v>1</v>
      </c>
      <c r="M257" s="17" t="s">
        <v>1094</v>
      </c>
      <c r="N257" s="34" t="str">
        <f t="shared" si="5"/>
        <v>qudt</v>
      </c>
      <c r="O257" s="18" t="b">
        <f t="shared" si="6"/>
        <v>1</v>
      </c>
      <c r="P257" s="39" t="s">
        <v>3952</v>
      </c>
      <c r="Q257" s="39"/>
      <c r="R257" s="39" t="str">
        <f t="shared" si="7"/>
        <v/>
      </c>
      <c r="S257" s="43">
        <f t="shared" si="8"/>
        <v>7</v>
      </c>
      <c r="T257" s="21">
        <f>countif('v2022'!E:E,A257)</f>
        <v>1</v>
      </c>
      <c r="U257" s="21">
        <f>countif('v2018'!E:E,A257)</f>
        <v>1</v>
      </c>
      <c r="V257" s="21">
        <f>countif('v2014'!E:E,A257)</f>
        <v>1</v>
      </c>
      <c r="W257" s="21">
        <f>countif('v2010'!E:E,A257)</f>
        <v>1</v>
      </c>
      <c r="X257" s="21">
        <f>countif('v2006'!E:E,A257)</f>
        <v>1</v>
      </c>
      <c r="Y257" s="21">
        <f>countif('v2002'!E:E,A257)</f>
        <v>1</v>
      </c>
      <c r="Z257" s="21">
        <f>countif('v1998'!E:E,A257)</f>
        <v>1</v>
      </c>
    </row>
    <row r="258">
      <c r="A258" s="17" t="s">
        <v>3932</v>
      </c>
      <c r="B258" s="17" t="s">
        <v>3958</v>
      </c>
      <c r="C258" s="21" t="str">
        <f t="shared" si="27"/>
        <v>Newtonian Constant Of Gravitation Over H-Bar C</v>
      </c>
      <c r="D258" s="21" t="str">
        <f t="shared" si="10"/>
        <v>Rapport de la constante fondamentale de la gravitation et du produit de la constante de Planck réduite par la vitesse de la lumière dans le vide</v>
      </c>
      <c r="E258" s="17" t="s">
        <v>2566</v>
      </c>
      <c r="F258" s="17" t="s">
        <v>3959</v>
      </c>
      <c r="G258" s="18" t="s">
        <v>2569</v>
      </c>
      <c r="H258" s="76" t="s">
        <v>430</v>
      </c>
      <c r="I258" s="17">
        <f>if(H258="","", countif(Units!A:A,H258))</f>
        <v>1</v>
      </c>
      <c r="J258" s="17" t="s">
        <v>1094</v>
      </c>
      <c r="K258" s="28">
        <f>countif(Quantities!A:A,J258)</f>
        <v>1</v>
      </c>
      <c r="L258" s="30" t="b">
        <f t="shared" si="4"/>
        <v>0</v>
      </c>
      <c r="N258" s="39" t="str">
        <f t="shared" si="5"/>
        <v/>
      </c>
      <c r="O258" s="18" t="b">
        <f t="shared" si="6"/>
        <v>0</v>
      </c>
      <c r="P258" s="39"/>
      <c r="Q258" s="39"/>
      <c r="R258" s="39" t="str">
        <f t="shared" si="7"/>
        <v/>
      </c>
      <c r="S258" s="43">
        <f t="shared" si="8"/>
        <v>7</v>
      </c>
      <c r="T258" s="21">
        <f>countif('v2022'!E:E,A258)</f>
        <v>1</v>
      </c>
      <c r="U258" s="21">
        <f>countif('v2018'!E:E,A258)</f>
        <v>1</v>
      </c>
      <c r="V258" s="21">
        <f>countif('v2014'!E:E,A258)</f>
        <v>1</v>
      </c>
      <c r="W258" s="21">
        <f>countif('v2010'!E:E,A258)</f>
        <v>1</v>
      </c>
      <c r="X258" s="21">
        <f>countif('v2006'!E:E,A258)</f>
        <v>1</v>
      </c>
      <c r="Y258" s="21">
        <f>countif('v2002'!E:E,A258)</f>
        <v>1</v>
      </c>
      <c r="Z258" s="21">
        <f>countif('v1998'!E:E,A258)</f>
        <v>1</v>
      </c>
    </row>
    <row r="259">
      <c r="A259" s="17" t="s">
        <v>3943</v>
      </c>
      <c r="B259" s="18" t="s">
        <v>1098</v>
      </c>
      <c r="C259" s="21" t="str">
        <f t="shared" si="27"/>
        <v>Nuclear Magneton</v>
      </c>
      <c r="D259" s="21" t="str">
        <f t="shared" si="10"/>
        <v>Magnéton de Bohr nucléaire</v>
      </c>
      <c r="E259" s="17" t="s">
        <v>2572</v>
      </c>
      <c r="F259" s="17" t="s">
        <v>3970</v>
      </c>
      <c r="G259" s="18" t="s">
        <v>964</v>
      </c>
      <c r="H259" s="18" t="str">
        <f t="shared" ref="H259:H360" si="28">if(ISBLANK(G259),"",SUBSTITUTE(SUBSTITUTE(G259,"^","")," ","_"))</f>
        <v>J_T-1</v>
      </c>
      <c r="I259" s="17">
        <f>if(H259="","", countif(Units!A:A,H259))</f>
        <v>1</v>
      </c>
      <c r="J259" s="18" t="s">
        <v>1098</v>
      </c>
      <c r="K259" s="28">
        <f>countif(Quantities!A:A,J259)</f>
        <v>1</v>
      </c>
      <c r="L259" s="30" t="b">
        <f t="shared" si="4"/>
        <v>1</v>
      </c>
      <c r="M259" s="17" t="s">
        <v>1098</v>
      </c>
      <c r="N259" s="34" t="str">
        <f t="shared" si="5"/>
        <v>qudt</v>
      </c>
      <c r="O259" s="18" t="b">
        <f t="shared" si="6"/>
        <v>1</v>
      </c>
      <c r="P259" s="39"/>
      <c r="Q259" s="39"/>
      <c r="R259" s="39" t="str">
        <f t="shared" si="7"/>
        <v/>
      </c>
      <c r="S259" s="43">
        <f t="shared" si="8"/>
        <v>7</v>
      </c>
      <c r="T259" s="21">
        <f>countif('v2022'!E:E,A259)</f>
        <v>1</v>
      </c>
      <c r="U259" s="21">
        <f>countif('v2018'!E:E,A259)</f>
        <v>1</v>
      </c>
      <c r="V259" s="21">
        <f>countif('v2014'!E:E,A259)</f>
        <v>1</v>
      </c>
      <c r="W259" s="21">
        <f>countif('v2010'!E:E,A259)</f>
        <v>1</v>
      </c>
      <c r="X259" s="21">
        <f>countif('v2006'!E:E,A259)</f>
        <v>1</v>
      </c>
      <c r="Y259" s="21">
        <f>countif('v2002'!E:E,A259)</f>
        <v>1</v>
      </c>
      <c r="Z259" s="21">
        <f>countif('v1998'!E:E,A259)</f>
        <v>1</v>
      </c>
    </row>
    <row r="260">
      <c r="A260" s="17" t="s">
        <v>3953</v>
      </c>
      <c r="B260" s="18" t="s">
        <v>3987</v>
      </c>
      <c r="C260" s="17" t="s">
        <v>3988</v>
      </c>
      <c r="D260" s="21" t="str">
        <f t="shared" si="10"/>
        <v>Magnéton de Bohr nucléaire en eV/T</v>
      </c>
      <c r="E260" s="17" t="s">
        <v>2578</v>
      </c>
      <c r="F260" s="17" t="s">
        <v>3991</v>
      </c>
      <c r="G260" s="18" t="s">
        <v>1165</v>
      </c>
      <c r="H260" s="18" t="str">
        <f t="shared" si="28"/>
        <v>eV_T-1</v>
      </c>
      <c r="I260" s="17">
        <f>if(H260="","", countif(Units!A:A,H260))</f>
        <v>1</v>
      </c>
      <c r="J260" s="17" t="s">
        <v>1098</v>
      </c>
      <c r="K260" s="28">
        <f>countif(Quantities!A:A,J260)</f>
        <v>1</v>
      </c>
      <c r="L260" s="30" t="b">
        <f t="shared" si="4"/>
        <v>0</v>
      </c>
      <c r="M260" s="17" t="s">
        <v>3987</v>
      </c>
      <c r="N260" s="34" t="str">
        <f t="shared" si="5"/>
        <v>qudt</v>
      </c>
      <c r="O260" s="18" t="b">
        <f t="shared" si="6"/>
        <v>1</v>
      </c>
      <c r="P260" s="39"/>
      <c r="Q260" s="39"/>
      <c r="R260" s="39" t="str">
        <f t="shared" si="7"/>
        <v/>
      </c>
      <c r="S260" s="43">
        <f t="shared" si="8"/>
        <v>7</v>
      </c>
      <c r="T260" s="21">
        <f>countif('v2022'!E:E,A260)</f>
        <v>1</v>
      </c>
      <c r="U260" s="21">
        <f>countif('v2018'!E:E,A260)</f>
        <v>1</v>
      </c>
      <c r="V260" s="21">
        <f>countif('v2014'!E:E,A260)</f>
        <v>1</v>
      </c>
      <c r="W260" s="21">
        <f>countif('v2010'!E:E,A260)</f>
        <v>1</v>
      </c>
      <c r="X260" s="21">
        <f>countif('v2006'!E:E,A260)</f>
        <v>1</v>
      </c>
      <c r="Y260" s="21">
        <f>countif('v2002'!E:E,A260)</f>
        <v>1</v>
      </c>
      <c r="Z260" s="21">
        <f>countif('v1998'!E:E,A260)</f>
        <v>1</v>
      </c>
    </row>
    <row r="261">
      <c r="A261" s="17" t="s">
        <v>3962</v>
      </c>
      <c r="B261" s="18" t="s">
        <v>4026</v>
      </c>
      <c r="C261" s="21" t="str">
        <f t="shared" ref="C261:C262" si="29">proper(E261)</f>
        <v>Nuclear Magneton In Inverse Meter Per Tesla</v>
      </c>
      <c r="D261" s="21" t="str">
        <f t="shared" si="10"/>
        <v>Magnéton de Bohr nucléaire en en mètre inverse par tesla</v>
      </c>
      <c r="E261" s="17" t="s">
        <v>2582</v>
      </c>
      <c r="F261" s="17" t="s">
        <v>4030</v>
      </c>
      <c r="G261" s="18" t="s">
        <v>1205</v>
      </c>
      <c r="H261" s="18" t="str">
        <f t="shared" si="28"/>
        <v>m-1_T-1</v>
      </c>
      <c r="I261" s="17">
        <f>if(H261="","", countif(Units!A:A,H261))</f>
        <v>1</v>
      </c>
      <c r="J261" s="17" t="s">
        <v>1098</v>
      </c>
      <c r="K261" s="28">
        <f>countif(Quantities!A:A,J261)</f>
        <v>1</v>
      </c>
      <c r="L261" s="30" t="b">
        <f t="shared" si="4"/>
        <v>0</v>
      </c>
      <c r="M261" s="17" t="s">
        <v>4026</v>
      </c>
      <c r="N261" s="34" t="str">
        <f t="shared" si="5"/>
        <v>qudt</v>
      </c>
      <c r="O261" s="18" t="b">
        <f t="shared" si="6"/>
        <v>1</v>
      </c>
      <c r="P261" s="39"/>
      <c r="Q261" s="39"/>
      <c r="R261" s="39" t="str">
        <f t="shared" si="7"/>
        <v/>
      </c>
      <c r="S261" s="43">
        <f t="shared" si="8"/>
        <v>7</v>
      </c>
      <c r="T261" s="21">
        <f>countif('v2022'!E:E,A261)</f>
        <v>1</v>
      </c>
      <c r="U261" s="21">
        <f>countif('v2018'!E:E,A261)</f>
        <v>1</v>
      </c>
      <c r="V261" s="21">
        <f>countif('v2014'!E:E,A261)</f>
        <v>1</v>
      </c>
      <c r="W261" s="21">
        <f>countif('v2010'!E:E,A261)</f>
        <v>1</v>
      </c>
      <c r="X261" s="21">
        <f>countif('v2006'!E:E,A261)</f>
        <v>1</v>
      </c>
      <c r="Y261" s="21">
        <f>countif('v2002'!E:E,A261)</f>
        <v>1</v>
      </c>
      <c r="Z261" s="21">
        <f>countif('v1998'!E:E,A261)</f>
        <v>1</v>
      </c>
    </row>
    <row r="262">
      <c r="A262" s="17" t="s">
        <v>3977</v>
      </c>
      <c r="B262" s="18" t="s">
        <v>4053</v>
      </c>
      <c r="C262" s="21" t="str">
        <f t="shared" si="29"/>
        <v>Nuclear Magneton In K/T</v>
      </c>
      <c r="D262" s="21" t="str">
        <f t="shared" si="10"/>
        <v>Magnéton de Bohr nucléaire en K/T</v>
      </c>
      <c r="E262" s="17" t="s">
        <v>2586</v>
      </c>
      <c r="F262" s="17" t="s">
        <v>4054</v>
      </c>
      <c r="G262" s="18" t="s">
        <v>1226</v>
      </c>
      <c r="H262" s="18" t="str">
        <f t="shared" si="28"/>
        <v>K_T-1</v>
      </c>
      <c r="I262" s="17">
        <f>if(H262="","", countif(Units!A:A,H262))</f>
        <v>1</v>
      </c>
      <c r="J262" s="18" t="s">
        <v>1098</v>
      </c>
      <c r="K262" s="28">
        <f>countif(Quantities!A:A,J262)</f>
        <v>1</v>
      </c>
      <c r="L262" s="30" t="b">
        <f t="shared" si="4"/>
        <v>0</v>
      </c>
      <c r="M262" s="17" t="s">
        <v>4053</v>
      </c>
      <c r="N262" s="34" t="str">
        <f t="shared" si="5"/>
        <v>qudt</v>
      </c>
      <c r="O262" s="18" t="b">
        <f t="shared" si="6"/>
        <v>1</v>
      </c>
      <c r="P262" s="39"/>
      <c r="Q262" s="39"/>
      <c r="R262" s="39" t="str">
        <f t="shared" si="7"/>
        <v/>
      </c>
      <c r="S262" s="43">
        <f t="shared" si="8"/>
        <v>7</v>
      </c>
      <c r="T262" s="21">
        <f>countif('v2022'!E:E,A262)</f>
        <v>1</v>
      </c>
      <c r="U262" s="21">
        <f>countif('v2018'!E:E,A262)</f>
        <v>1</v>
      </c>
      <c r="V262" s="21">
        <f>countif('v2014'!E:E,A262)</f>
        <v>1</v>
      </c>
      <c r="W262" s="21">
        <f>countif('v2010'!E:E,A262)</f>
        <v>1</v>
      </c>
      <c r="X262" s="21">
        <f>countif('v2006'!E:E,A262)</f>
        <v>1</v>
      </c>
      <c r="Y262" s="21">
        <f>countif('v2002'!E:E,A262)</f>
        <v>1</v>
      </c>
      <c r="Z262" s="21">
        <f>countif('v1998'!E:E,A262)</f>
        <v>1</v>
      </c>
    </row>
    <row r="263">
      <c r="A263" s="17" t="s">
        <v>3986</v>
      </c>
      <c r="B263" s="18" t="s">
        <v>4065</v>
      </c>
      <c r="C263" s="17" t="s">
        <v>4066</v>
      </c>
      <c r="D263" s="21" t="str">
        <f t="shared" si="10"/>
        <v>Magnéton de Bohr nucléaire en MHz/T</v>
      </c>
      <c r="E263" s="17" t="s">
        <v>2589</v>
      </c>
      <c r="F263" s="17" t="s">
        <v>4067</v>
      </c>
      <c r="G263" s="18" t="s">
        <v>1733</v>
      </c>
      <c r="H263" s="18" t="str">
        <f t="shared" si="28"/>
        <v>MHz_T-1</v>
      </c>
      <c r="I263" s="17">
        <f>if(H263="","", countif(Units!A:A,H263))</f>
        <v>1</v>
      </c>
      <c r="J263" s="18" t="s">
        <v>1098</v>
      </c>
      <c r="K263" s="28">
        <f>countif(Quantities!A:A,J263)</f>
        <v>1</v>
      </c>
      <c r="L263" s="30" t="b">
        <f t="shared" si="4"/>
        <v>0</v>
      </c>
      <c r="M263" s="17" t="s">
        <v>4065</v>
      </c>
      <c r="N263" s="34" t="str">
        <f t="shared" si="5"/>
        <v>qudt</v>
      </c>
      <c r="O263" s="18" t="b">
        <f t="shared" si="6"/>
        <v>1</v>
      </c>
      <c r="P263" s="39"/>
      <c r="Q263" s="39"/>
      <c r="R263" s="39" t="str">
        <f t="shared" si="7"/>
        <v/>
      </c>
      <c r="S263" s="43">
        <f t="shared" si="8"/>
        <v>7</v>
      </c>
      <c r="T263" s="21">
        <f>countif('v2022'!E:E,A263)</f>
        <v>1</v>
      </c>
      <c r="U263" s="21">
        <f>countif('v2018'!E:E,A263)</f>
        <v>1</v>
      </c>
      <c r="V263" s="21">
        <f>countif('v2014'!E:E,A263)</f>
        <v>1</v>
      </c>
      <c r="W263" s="21">
        <f>countif('v2010'!E:E,A263)</f>
        <v>1</v>
      </c>
      <c r="X263" s="21">
        <f>countif('v2006'!E:E,A263)</f>
        <v>1</v>
      </c>
      <c r="Y263" s="21">
        <f>countif('v2002'!E:E,A263)</f>
        <v>1</v>
      </c>
      <c r="Z263" s="21">
        <f>countif('v1998'!E:E,A263)</f>
        <v>1</v>
      </c>
    </row>
    <row r="264">
      <c r="A264" s="17" t="s">
        <v>3996</v>
      </c>
      <c r="B264" s="18" t="s">
        <v>1105</v>
      </c>
      <c r="C264" s="21" t="str">
        <f>proper(E264)</f>
        <v>Planck Constant</v>
      </c>
      <c r="D264" s="21" t="str">
        <f t="shared" si="10"/>
        <v>Constante de Planck</v>
      </c>
      <c r="E264" s="17" t="s">
        <v>2595</v>
      </c>
      <c r="F264" s="17" t="s">
        <v>4086</v>
      </c>
      <c r="G264" s="18" t="s">
        <v>2597</v>
      </c>
      <c r="H264" s="18" t="str">
        <f t="shared" si="28"/>
        <v>J_Hz-1</v>
      </c>
      <c r="I264" s="17">
        <f>if(H264="","", countif(Units!A:A,H264))</f>
        <v>1</v>
      </c>
      <c r="J264" s="18" t="s">
        <v>1105</v>
      </c>
      <c r="K264" s="28">
        <f>countif(Quantities!A:A,J264)</f>
        <v>1</v>
      </c>
      <c r="L264" s="30" t="b">
        <f t="shared" si="4"/>
        <v>1</v>
      </c>
      <c r="M264" s="17" t="s">
        <v>1105</v>
      </c>
      <c r="N264" s="34" t="str">
        <f t="shared" si="5"/>
        <v>qudt</v>
      </c>
      <c r="O264" s="18" t="b">
        <f t="shared" si="6"/>
        <v>1</v>
      </c>
      <c r="P264" s="39"/>
      <c r="Q264" s="39" t="s">
        <v>1105</v>
      </c>
      <c r="R264" s="34" t="str">
        <f t="shared" si="7"/>
        <v>SI</v>
      </c>
      <c r="S264" s="43">
        <f t="shared" si="8"/>
        <v>7</v>
      </c>
      <c r="T264" s="21">
        <f>countif('v2022'!E:E,A264)</f>
        <v>1</v>
      </c>
      <c r="U264" s="21">
        <f>countif('v2018'!E:E,A264)</f>
        <v>1</v>
      </c>
      <c r="V264" s="21">
        <f>countif('v2014'!E:E,A264)</f>
        <v>1</v>
      </c>
      <c r="W264" s="21">
        <f>countif('v2010'!E:E,A264)</f>
        <v>1</v>
      </c>
      <c r="X264" s="21">
        <f>countif('v2006'!E:E,A264)</f>
        <v>1</v>
      </c>
      <c r="Y264" s="21">
        <f>countif('v2002'!E:E,A264)</f>
        <v>1</v>
      </c>
      <c r="Z264" s="21">
        <f>countif('v1998'!E:E,A264)</f>
        <v>1</v>
      </c>
    </row>
    <row r="265">
      <c r="A265" s="17" t="s">
        <v>4000</v>
      </c>
      <c r="B265" s="17" t="s">
        <v>4097</v>
      </c>
      <c r="C265" s="17" t="s">
        <v>4098</v>
      </c>
      <c r="D265" s="21" t="str">
        <f t="shared" si="10"/>
        <v>Constante de Planck en eV/Hz</v>
      </c>
      <c r="E265" s="17" t="s">
        <v>2599</v>
      </c>
      <c r="F265" s="17" t="s">
        <v>4099</v>
      </c>
      <c r="G265" s="18" t="s">
        <v>2602</v>
      </c>
      <c r="H265" s="18" t="str">
        <f t="shared" si="28"/>
        <v>eV_Hz-1</v>
      </c>
      <c r="I265" s="17">
        <f>if(H265="","", countif(Units!A:A,H265))</f>
        <v>1</v>
      </c>
      <c r="J265" s="17" t="s">
        <v>1105</v>
      </c>
      <c r="K265" s="28">
        <f>countif(Quantities!A:A,J265)</f>
        <v>1</v>
      </c>
      <c r="L265" s="30" t="b">
        <f t="shared" si="4"/>
        <v>0</v>
      </c>
      <c r="M265" s="17" t="s">
        <v>4097</v>
      </c>
      <c r="N265" s="34" t="str">
        <f t="shared" si="5"/>
        <v>qudt</v>
      </c>
      <c r="O265" s="18" t="b">
        <f t="shared" si="6"/>
        <v>1</v>
      </c>
      <c r="P265" s="39"/>
      <c r="Q265" s="39"/>
      <c r="R265" s="39" t="str">
        <f t="shared" si="7"/>
        <v/>
      </c>
      <c r="S265" s="43">
        <f t="shared" si="8"/>
        <v>7</v>
      </c>
      <c r="T265" s="21">
        <f>countif('v2022'!E:E,A265)</f>
        <v>1</v>
      </c>
      <c r="U265" s="21">
        <f>countif('v2018'!E:E,A265)</f>
        <v>1</v>
      </c>
      <c r="V265" s="21">
        <f>countif('v2014'!E:E,A265)</f>
        <v>1</v>
      </c>
      <c r="W265" s="21">
        <f>countif('v2010'!E:E,A265)</f>
        <v>1</v>
      </c>
      <c r="X265" s="21">
        <f>countif('v2006'!E:E,A265)</f>
        <v>1</v>
      </c>
      <c r="Y265" s="21">
        <f>countif('v2002'!E:E,A265)</f>
        <v>1</v>
      </c>
      <c r="Z265" s="21">
        <f>countif('v1998'!E:E,A265)</f>
        <v>1</v>
      </c>
    </row>
    <row r="266">
      <c r="A266" s="17" t="s">
        <v>4055</v>
      </c>
      <c r="B266" s="18" t="s">
        <v>1112</v>
      </c>
      <c r="C266" s="21" t="str">
        <f t="shared" ref="C266:C267" si="30">proper(E266)</f>
        <v>Planck Length</v>
      </c>
      <c r="D266" s="21" t="str">
        <f t="shared" si="10"/>
        <v>Longueur de Planck</v>
      </c>
      <c r="E266" s="17" t="s">
        <v>2605</v>
      </c>
      <c r="F266" s="17" t="s">
        <v>4106</v>
      </c>
      <c r="G266" s="18" t="s">
        <v>381</v>
      </c>
      <c r="H266" s="18" t="str">
        <f t="shared" si="28"/>
        <v>m</v>
      </c>
      <c r="I266" s="17">
        <f>if(H266="","", countif(Units!A:A,H266))</f>
        <v>1</v>
      </c>
      <c r="J266" s="18" t="s">
        <v>1112</v>
      </c>
      <c r="K266" s="28">
        <f>countif(Quantities!A:A,J266)</f>
        <v>1</v>
      </c>
      <c r="L266" s="30" t="b">
        <f t="shared" si="4"/>
        <v>1</v>
      </c>
      <c r="M266" s="17" t="s">
        <v>1112</v>
      </c>
      <c r="N266" s="34" t="str">
        <f t="shared" si="5"/>
        <v>qudt</v>
      </c>
      <c r="O266" s="18" t="b">
        <f t="shared" si="6"/>
        <v>1</v>
      </c>
      <c r="P266" s="39"/>
      <c r="Q266" s="39"/>
      <c r="R266" s="39" t="str">
        <f t="shared" si="7"/>
        <v/>
      </c>
      <c r="S266" s="43">
        <f t="shared" si="8"/>
        <v>7</v>
      </c>
      <c r="T266" s="21">
        <f>countif('v2022'!E:E,A266)</f>
        <v>1</v>
      </c>
      <c r="U266" s="21">
        <f>countif('v2018'!E:E,A266)</f>
        <v>1</v>
      </c>
      <c r="V266" s="21">
        <f>countif('v2014'!E:E,A266)</f>
        <v>1</v>
      </c>
      <c r="W266" s="21">
        <f>countif('v2010'!E:E,A266)</f>
        <v>1</v>
      </c>
      <c r="X266" s="21">
        <f>countif('v2006'!E:E,A266)</f>
        <v>1</v>
      </c>
      <c r="Y266" s="21">
        <f>countif('v2002'!E:E,A266)</f>
        <v>1</v>
      </c>
      <c r="Z266" s="21">
        <f>countif('v1998'!E:E,A266)</f>
        <v>1</v>
      </c>
    </row>
    <row r="267">
      <c r="A267" s="17" t="s">
        <v>4064</v>
      </c>
      <c r="B267" s="18" t="s">
        <v>1115</v>
      </c>
      <c r="C267" s="21" t="str">
        <f t="shared" si="30"/>
        <v>Planck Mass</v>
      </c>
      <c r="D267" s="21" t="str">
        <f t="shared" si="10"/>
        <v>Masse de planck</v>
      </c>
      <c r="E267" s="17" t="s">
        <v>2608</v>
      </c>
      <c r="F267" s="17" t="s">
        <v>4119</v>
      </c>
      <c r="G267" s="18" t="s">
        <v>98</v>
      </c>
      <c r="H267" s="18" t="str">
        <f t="shared" si="28"/>
        <v>kg</v>
      </c>
      <c r="I267" s="17">
        <f>if(H267="","", countif(Units!A:A,H267))</f>
        <v>1</v>
      </c>
      <c r="J267" s="18" t="s">
        <v>1115</v>
      </c>
      <c r="K267" s="28">
        <f>countif(Quantities!A:A,J267)</f>
        <v>1</v>
      </c>
      <c r="L267" s="30" t="b">
        <f t="shared" si="4"/>
        <v>1</v>
      </c>
      <c r="M267" s="17" t="s">
        <v>1115</v>
      </c>
      <c r="N267" s="34" t="str">
        <f t="shared" si="5"/>
        <v>qudt</v>
      </c>
      <c r="O267" s="18" t="b">
        <f t="shared" si="6"/>
        <v>1</v>
      </c>
      <c r="P267" s="39"/>
      <c r="Q267" s="39"/>
      <c r="R267" s="39" t="str">
        <f t="shared" si="7"/>
        <v/>
      </c>
      <c r="S267" s="43">
        <f t="shared" si="8"/>
        <v>7</v>
      </c>
      <c r="T267" s="21">
        <f>countif('v2022'!E:E,A267)</f>
        <v>1</v>
      </c>
      <c r="U267" s="21">
        <f>countif('v2018'!E:E,A267)</f>
        <v>1</v>
      </c>
      <c r="V267" s="21">
        <f>countif('v2014'!E:E,A267)</f>
        <v>1</v>
      </c>
      <c r="W267" s="21">
        <f>countif('v2010'!E:E,A267)</f>
        <v>1</v>
      </c>
      <c r="X267" s="21">
        <f>countif('v2006'!E:E,A267)</f>
        <v>1</v>
      </c>
      <c r="Y267" s="21">
        <f>countif('v2002'!E:E,A267)</f>
        <v>1</v>
      </c>
      <c r="Z267" s="21">
        <f>countif('v1998'!E:E,A267)</f>
        <v>1</v>
      </c>
    </row>
    <row r="268">
      <c r="A268" s="17" t="s">
        <v>4072</v>
      </c>
      <c r="B268" s="18" t="s">
        <v>4125</v>
      </c>
      <c r="C268" s="78" t="s">
        <v>4126</v>
      </c>
      <c r="D268" s="21" t="str">
        <f t="shared" si="10"/>
        <v>Énergie de masse de Planck</v>
      </c>
      <c r="E268" s="17" t="s">
        <v>2614</v>
      </c>
      <c r="F268" s="17" t="s">
        <v>4129</v>
      </c>
      <c r="G268" s="18" t="s">
        <v>234</v>
      </c>
      <c r="H268" s="18" t="str">
        <f t="shared" si="28"/>
        <v>GeV</v>
      </c>
      <c r="I268" s="17">
        <f>if(H268="","", countif(Units!A:A,H268))</f>
        <v>1</v>
      </c>
      <c r="J268" s="17" t="s">
        <v>1115</v>
      </c>
      <c r="K268" s="28">
        <f>countif(Quantities!A:A,J268)</f>
        <v>1</v>
      </c>
      <c r="L268" s="30" t="b">
        <f t="shared" si="4"/>
        <v>0</v>
      </c>
      <c r="M268" s="17" t="s">
        <v>4125</v>
      </c>
      <c r="N268" s="34" t="str">
        <f t="shared" si="5"/>
        <v>qudt</v>
      </c>
      <c r="O268" s="18" t="b">
        <f t="shared" si="6"/>
        <v>1</v>
      </c>
      <c r="P268" s="39"/>
      <c r="Q268" s="39"/>
      <c r="R268" s="39" t="str">
        <f t="shared" si="7"/>
        <v/>
      </c>
      <c r="S268" s="43">
        <f t="shared" si="8"/>
        <v>5</v>
      </c>
      <c r="T268" s="21">
        <f>countif('v2022'!E:E,A268)</f>
        <v>1</v>
      </c>
      <c r="U268" s="21">
        <f>countif('v2018'!E:E,A268)</f>
        <v>1</v>
      </c>
      <c r="V268" s="21">
        <f>countif('v2014'!E:E,A268)</f>
        <v>1</v>
      </c>
      <c r="W268" s="21">
        <f>countif('v2010'!E:E,A268)</f>
        <v>1</v>
      </c>
      <c r="X268" s="21">
        <f>countif('v2006'!E:E,A268)</f>
        <v>1</v>
      </c>
      <c r="Y268" s="21">
        <f>countif('v2002'!E:E,A268)</f>
        <v>0</v>
      </c>
      <c r="Z268" s="21">
        <f>countif('v1998'!E:E,A268)</f>
        <v>0</v>
      </c>
    </row>
    <row r="269">
      <c r="A269" s="17" t="s">
        <v>4077</v>
      </c>
      <c r="B269" s="18" t="s">
        <v>1118</v>
      </c>
      <c r="C269" s="21" t="str">
        <f t="shared" ref="C269:C282" si="31">proper(E269)</f>
        <v>Planck Temperature</v>
      </c>
      <c r="D269" s="21" t="str">
        <f t="shared" si="10"/>
        <v>Température de Planck</v>
      </c>
      <c r="E269" s="17" t="s">
        <v>2619</v>
      </c>
      <c r="F269" s="17" t="s">
        <v>4134</v>
      </c>
      <c r="G269" s="18" t="s">
        <v>345</v>
      </c>
      <c r="H269" s="18" t="str">
        <f t="shared" si="28"/>
        <v>K</v>
      </c>
      <c r="I269" s="17">
        <f>if(H269="","", countif(Units!A:A,H269))</f>
        <v>1</v>
      </c>
      <c r="J269" s="18" t="s">
        <v>1118</v>
      </c>
      <c r="K269" s="28">
        <f>countif(Quantities!A:A,J269)</f>
        <v>1</v>
      </c>
      <c r="L269" s="30" t="b">
        <f t="shared" si="4"/>
        <v>1</v>
      </c>
      <c r="M269" s="17" t="s">
        <v>1118</v>
      </c>
      <c r="N269" s="34" t="str">
        <f t="shared" si="5"/>
        <v>qudt</v>
      </c>
      <c r="O269" s="18" t="b">
        <f t="shared" si="6"/>
        <v>1</v>
      </c>
      <c r="P269" s="39"/>
      <c r="Q269" s="39"/>
      <c r="R269" s="39" t="str">
        <f t="shared" si="7"/>
        <v/>
      </c>
      <c r="S269" s="43">
        <f t="shared" si="8"/>
        <v>6</v>
      </c>
      <c r="T269" s="21">
        <f>countif('v2022'!E:E,A269)</f>
        <v>1</v>
      </c>
      <c r="U269" s="21">
        <f>countif('v2018'!E:E,A269)</f>
        <v>1</v>
      </c>
      <c r="V269" s="21">
        <f>countif('v2014'!E:E,A269)</f>
        <v>1</v>
      </c>
      <c r="W269" s="21">
        <f>countif('v2010'!E:E,A269)</f>
        <v>1</v>
      </c>
      <c r="X269" s="21">
        <f>countif('v2006'!E:E,A269)</f>
        <v>1</v>
      </c>
      <c r="Y269" s="21">
        <f>countif('v2002'!E:E,A269)</f>
        <v>1</v>
      </c>
      <c r="Z269" s="21">
        <f>countif('v1998'!E:E,A269)</f>
        <v>0</v>
      </c>
    </row>
    <row r="270">
      <c r="A270" s="17" t="s">
        <v>4082</v>
      </c>
      <c r="B270" s="18" t="s">
        <v>1121</v>
      </c>
      <c r="C270" s="21" t="str">
        <f t="shared" si="31"/>
        <v>Planck Time</v>
      </c>
      <c r="D270" s="21" t="str">
        <f t="shared" si="10"/>
        <v>Temps de Planck</v>
      </c>
      <c r="E270" s="17" t="s">
        <v>2623</v>
      </c>
      <c r="F270" s="17" t="s">
        <v>4146</v>
      </c>
      <c r="G270" s="18" t="s">
        <v>520</v>
      </c>
      <c r="H270" s="18" t="str">
        <f t="shared" si="28"/>
        <v>s</v>
      </c>
      <c r="I270" s="17">
        <f>if(H270="","", countif(Units!A:A,H270))</f>
        <v>2</v>
      </c>
      <c r="J270" s="18" t="s">
        <v>1121</v>
      </c>
      <c r="K270" s="28">
        <f>countif(Quantities!A:A,J270)</f>
        <v>1</v>
      </c>
      <c r="L270" s="30" t="b">
        <f t="shared" si="4"/>
        <v>1</v>
      </c>
      <c r="M270" s="17" t="s">
        <v>1121</v>
      </c>
      <c r="N270" s="34" t="str">
        <f t="shared" si="5"/>
        <v>qudt</v>
      </c>
      <c r="O270" s="18" t="b">
        <f t="shared" si="6"/>
        <v>1</v>
      </c>
      <c r="P270" s="39"/>
      <c r="Q270" s="39"/>
      <c r="R270" s="39" t="str">
        <f t="shared" si="7"/>
        <v/>
      </c>
      <c r="S270" s="43">
        <f t="shared" si="8"/>
        <v>7</v>
      </c>
      <c r="T270" s="21">
        <f>countif('v2022'!E:E,A270)</f>
        <v>1</v>
      </c>
      <c r="U270" s="21">
        <f>countif('v2018'!E:E,A270)</f>
        <v>1</v>
      </c>
      <c r="V270" s="21">
        <f>countif('v2014'!E:E,A270)</f>
        <v>1</v>
      </c>
      <c r="W270" s="21">
        <f>countif('v2010'!E:E,A270)</f>
        <v>1</v>
      </c>
      <c r="X270" s="21">
        <f>countif('v2006'!E:E,A270)</f>
        <v>1</v>
      </c>
      <c r="Y270" s="21">
        <f>countif('v2002'!E:E,A270)</f>
        <v>1</v>
      </c>
      <c r="Z270" s="21">
        <f>countif('v1998'!E:E,A270)</f>
        <v>1</v>
      </c>
    </row>
    <row r="271">
      <c r="A271" s="17" t="s">
        <v>4094</v>
      </c>
      <c r="B271" s="18" t="s">
        <v>1128</v>
      </c>
      <c r="C271" s="21" t="str">
        <f t="shared" si="31"/>
        <v>Proton Charge To Mass Quotient</v>
      </c>
      <c r="D271" s="21" t="str">
        <f t="shared" si="10"/>
        <v>Rapport de la charge à la masse du proton</v>
      </c>
      <c r="E271" s="17" t="s">
        <v>2628</v>
      </c>
      <c r="F271" s="17" t="s">
        <v>4154</v>
      </c>
      <c r="G271" s="18" t="s">
        <v>1689</v>
      </c>
      <c r="H271" s="18" t="str">
        <f t="shared" si="28"/>
        <v>C_kg-1</v>
      </c>
      <c r="I271" s="17">
        <f>if(H271="","", countif(Units!A:A,H271))</f>
        <v>1</v>
      </c>
      <c r="J271" s="18" t="s">
        <v>1128</v>
      </c>
      <c r="K271" s="28">
        <f>countif(Quantities!A:A,J271)</f>
        <v>1</v>
      </c>
      <c r="L271" s="30" t="b">
        <f t="shared" si="4"/>
        <v>1</v>
      </c>
      <c r="M271" s="17" t="s">
        <v>1128</v>
      </c>
      <c r="N271" s="34" t="str">
        <f t="shared" si="5"/>
        <v>qudt</v>
      </c>
      <c r="O271" s="18" t="b">
        <f t="shared" si="6"/>
        <v>1</v>
      </c>
      <c r="P271" s="39"/>
      <c r="Q271" s="39"/>
      <c r="R271" s="39" t="str">
        <f t="shared" si="7"/>
        <v/>
      </c>
      <c r="S271" s="43">
        <f t="shared" si="8"/>
        <v>7</v>
      </c>
      <c r="T271" s="21">
        <f>countif('v2022'!E:E,A271)</f>
        <v>1</v>
      </c>
      <c r="U271" s="21">
        <f>countif('v2018'!E:E,A271)</f>
        <v>1</v>
      </c>
      <c r="V271" s="21">
        <f>countif('v2014'!E:E,A271)</f>
        <v>1</v>
      </c>
      <c r="W271" s="21">
        <f>countif('v2010'!E:E,A271)</f>
        <v>1</v>
      </c>
      <c r="X271" s="21">
        <f>countif('v2006'!E:E,A271)</f>
        <v>1</v>
      </c>
      <c r="Y271" s="21">
        <f>countif('v2002'!E:E,A271)</f>
        <v>1</v>
      </c>
      <c r="Z271" s="21">
        <f>countif('v1998'!E:E,A271)</f>
        <v>1</v>
      </c>
    </row>
    <row r="272">
      <c r="A272" s="17" t="s">
        <v>4101</v>
      </c>
      <c r="B272" s="18" t="s">
        <v>1131</v>
      </c>
      <c r="C272" s="21" t="str">
        <f t="shared" si="31"/>
        <v>Proton Compton Wavelength</v>
      </c>
      <c r="D272" s="21" t="str">
        <f t="shared" si="10"/>
        <v>Longueur d'onde de Compton du proton</v>
      </c>
      <c r="E272" s="17" t="s">
        <v>2633</v>
      </c>
      <c r="F272" s="17" t="s">
        <v>4168</v>
      </c>
      <c r="G272" s="18" t="s">
        <v>381</v>
      </c>
      <c r="H272" s="18" t="str">
        <f t="shared" si="28"/>
        <v>m</v>
      </c>
      <c r="I272" s="17">
        <f>if(H272="","", countif(Units!A:A,H272))</f>
        <v>1</v>
      </c>
      <c r="J272" s="18" t="s">
        <v>1131</v>
      </c>
      <c r="K272" s="28">
        <f>countif(Quantities!A:A,J272)</f>
        <v>1</v>
      </c>
      <c r="L272" s="30" t="b">
        <f t="shared" si="4"/>
        <v>1</v>
      </c>
      <c r="M272" s="17" t="s">
        <v>1131</v>
      </c>
      <c r="N272" s="34" t="str">
        <f t="shared" si="5"/>
        <v>qudt</v>
      </c>
      <c r="O272" s="18" t="b">
        <f t="shared" si="6"/>
        <v>1</v>
      </c>
      <c r="P272" s="39"/>
      <c r="Q272" s="39"/>
      <c r="R272" s="39" t="str">
        <f t="shared" si="7"/>
        <v/>
      </c>
      <c r="S272" s="43">
        <f t="shared" si="8"/>
        <v>7</v>
      </c>
      <c r="T272" s="21">
        <f>countif('v2022'!E:E,A272)</f>
        <v>1</v>
      </c>
      <c r="U272" s="21">
        <f>countif('v2018'!E:E,A272)</f>
        <v>1</v>
      </c>
      <c r="V272" s="21">
        <f>countif('v2014'!E:E,A272)</f>
        <v>1</v>
      </c>
      <c r="W272" s="21">
        <f>countif('v2010'!E:E,A272)</f>
        <v>1</v>
      </c>
      <c r="X272" s="21">
        <f>countif('v2006'!E:E,A272)</f>
        <v>1</v>
      </c>
      <c r="Y272" s="21">
        <f>countif('v2002'!E:E,A272)</f>
        <v>1</v>
      </c>
      <c r="Z272" s="21">
        <f>countif('v1998'!E:E,A272)</f>
        <v>1</v>
      </c>
    </row>
    <row r="273">
      <c r="A273" s="17" t="s">
        <v>4174</v>
      </c>
      <c r="B273" s="18" t="s">
        <v>1134</v>
      </c>
      <c r="C273" s="21" t="str">
        <f t="shared" si="31"/>
        <v>Proton-Electron Mass Ratio</v>
      </c>
      <c r="D273" s="21" t="str">
        <f t="shared" si="10"/>
        <v>Rapport de la masse du proton à celle de l'électron</v>
      </c>
      <c r="E273" s="17" t="s">
        <v>2636</v>
      </c>
      <c r="F273" s="17" t="s">
        <v>4175</v>
      </c>
      <c r="H273" s="18" t="str">
        <f t="shared" si="28"/>
        <v/>
      </c>
      <c r="I273" s="17" t="str">
        <f>if(H273="","", countif(Units!A:A,H273))</f>
        <v/>
      </c>
      <c r="J273" s="18" t="s">
        <v>1134</v>
      </c>
      <c r="K273" s="28">
        <f>countif(Quantities!A:A,J273)</f>
        <v>1</v>
      </c>
      <c r="L273" s="30" t="b">
        <f t="shared" si="4"/>
        <v>1</v>
      </c>
      <c r="M273" s="17" t="s">
        <v>1134</v>
      </c>
      <c r="N273" s="34" t="str">
        <f t="shared" si="5"/>
        <v>qudt</v>
      </c>
      <c r="O273" s="18" t="b">
        <f t="shared" si="6"/>
        <v>1</v>
      </c>
      <c r="P273" s="39"/>
      <c r="Q273" s="39"/>
      <c r="R273" s="39" t="str">
        <f t="shared" si="7"/>
        <v/>
      </c>
      <c r="S273" s="43">
        <f t="shared" si="8"/>
        <v>7</v>
      </c>
      <c r="T273" s="21">
        <f>countif('v2022'!E:E,A273)</f>
        <v>1</v>
      </c>
      <c r="U273" s="21">
        <f>countif('v2018'!E:E,A273)</f>
        <v>1</v>
      </c>
      <c r="V273" s="21">
        <f>countif('v2014'!E:E,A273)</f>
        <v>1</v>
      </c>
      <c r="W273" s="21">
        <f>countif('v2010'!E:E,A273)</f>
        <v>1</v>
      </c>
      <c r="X273" s="21">
        <f>countif('v2006'!E:E,A273)</f>
        <v>1</v>
      </c>
      <c r="Y273" s="21">
        <f>countif('v2002'!E:E,A273)</f>
        <v>1</v>
      </c>
      <c r="Z273" s="21">
        <f>countif('v1998'!E:E,A273)</f>
        <v>1</v>
      </c>
    </row>
    <row r="274">
      <c r="A274" s="17" t="s">
        <v>4114</v>
      </c>
      <c r="B274" s="18" t="s">
        <v>1137</v>
      </c>
      <c r="C274" s="21" t="str">
        <f t="shared" si="31"/>
        <v>Proton G Factor</v>
      </c>
      <c r="D274" s="21" t="str">
        <f t="shared" si="10"/>
        <v>Facteur de Landé du proton</v>
      </c>
      <c r="E274" s="17" t="s">
        <v>2640</v>
      </c>
      <c r="F274" s="17" t="s">
        <v>4179</v>
      </c>
      <c r="H274" s="18" t="str">
        <f t="shared" si="28"/>
        <v/>
      </c>
      <c r="I274" s="17" t="str">
        <f>if(H274="","", countif(Units!A:A,H274))</f>
        <v/>
      </c>
      <c r="J274" s="18" t="s">
        <v>1137</v>
      </c>
      <c r="K274" s="28">
        <f>countif(Quantities!A:A,J274)</f>
        <v>1</v>
      </c>
      <c r="L274" s="30" t="b">
        <f t="shared" si="4"/>
        <v>1</v>
      </c>
      <c r="M274" s="17" t="s">
        <v>1137</v>
      </c>
      <c r="N274" s="34" t="str">
        <f t="shared" si="5"/>
        <v>qudt</v>
      </c>
      <c r="O274" s="18" t="b">
        <f t="shared" si="6"/>
        <v>1</v>
      </c>
      <c r="P274" s="39"/>
      <c r="Q274" s="39"/>
      <c r="R274" s="39" t="str">
        <f t="shared" si="7"/>
        <v/>
      </c>
      <c r="S274" s="43">
        <f t="shared" si="8"/>
        <v>7</v>
      </c>
      <c r="T274" s="21">
        <f>countif('v2022'!E:E,A274)</f>
        <v>1</v>
      </c>
      <c r="U274" s="21">
        <f>countif('v2018'!E:E,A274)</f>
        <v>1</v>
      </c>
      <c r="V274" s="21">
        <f>countif('v2014'!E:E,A274)</f>
        <v>1</v>
      </c>
      <c r="W274" s="21">
        <f>countif('v2010'!E:E,A274)</f>
        <v>1</v>
      </c>
      <c r="X274" s="21">
        <f>countif('v2006'!E:E,A274)</f>
        <v>1</v>
      </c>
      <c r="Y274" s="21">
        <f>countif('v2002'!E:E,A274)</f>
        <v>1</v>
      </c>
      <c r="Z274" s="21">
        <f>countif('v1998'!E:E,A274)</f>
        <v>1</v>
      </c>
    </row>
    <row r="275">
      <c r="A275" s="17" t="s">
        <v>4122</v>
      </c>
      <c r="B275" s="18" t="s">
        <v>1140</v>
      </c>
      <c r="C275" s="21" t="str">
        <f t="shared" si="31"/>
        <v>Proton Gyromagnetic Ratio</v>
      </c>
      <c r="D275" s="21" t="str">
        <f t="shared" si="10"/>
        <v>Rapport gyromagnétique du proton</v>
      </c>
      <c r="E275" s="17" t="s">
        <v>4130</v>
      </c>
      <c r="F275" s="17" t="s">
        <v>4247</v>
      </c>
      <c r="G275" s="18" t="s">
        <v>1717</v>
      </c>
      <c r="H275" s="18" t="str">
        <f t="shared" si="28"/>
        <v>s-1_T-1</v>
      </c>
      <c r="I275" s="17">
        <f>if(H275="","", countif(Units!A:A,H275))</f>
        <v>1</v>
      </c>
      <c r="J275" s="18" t="s">
        <v>1140</v>
      </c>
      <c r="K275" s="28">
        <f>countif(Quantities!A:A,J275)</f>
        <v>1</v>
      </c>
      <c r="L275" s="30" t="b">
        <f t="shared" si="4"/>
        <v>1</v>
      </c>
      <c r="M275" s="17" t="s">
        <v>1140</v>
      </c>
      <c r="N275" s="34" t="str">
        <f t="shared" si="5"/>
        <v>qudt</v>
      </c>
      <c r="O275" s="18" t="b">
        <f t="shared" si="6"/>
        <v>1</v>
      </c>
      <c r="P275" s="39"/>
      <c r="Q275" s="39"/>
      <c r="R275" s="39" t="str">
        <f t="shared" si="7"/>
        <v/>
      </c>
      <c r="S275" s="43">
        <f t="shared" si="8"/>
        <v>7</v>
      </c>
      <c r="T275" s="21">
        <f>countif('v2022'!E:E,A275)</f>
        <v>1</v>
      </c>
      <c r="U275" s="21">
        <f>countif('v2018'!E:E,A275)</f>
        <v>1</v>
      </c>
      <c r="V275" s="21">
        <f>countif('v2014'!E:E,A275)</f>
        <v>1</v>
      </c>
      <c r="W275" s="21">
        <f>countif('v2010'!E:E,A275)</f>
        <v>1</v>
      </c>
      <c r="X275" s="21">
        <f>countif('v2006'!E:E,A275)</f>
        <v>1</v>
      </c>
      <c r="Y275" s="21">
        <f>countif('v2002'!E:E,A275)</f>
        <v>1</v>
      </c>
      <c r="Z275" s="21">
        <f>countif('v1998'!E:E,A275)</f>
        <v>1</v>
      </c>
    </row>
    <row r="276">
      <c r="A276" s="17" t="s">
        <v>4135</v>
      </c>
      <c r="B276" s="18" t="s">
        <v>4259</v>
      </c>
      <c r="C276" s="21" t="str">
        <f t="shared" si="31"/>
        <v>Proton Gyromagnetic Ratio Over 2 Pi</v>
      </c>
      <c r="D276" s="21" t="str">
        <f t="shared" si="10"/>
        <v>Rapport gyromagnétique réduit du proton</v>
      </c>
      <c r="E276" s="17" t="s">
        <v>4159</v>
      </c>
      <c r="F276" s="17" t="s">
        <v>4260</v>
      </c>
      <c r="G276" s="17" t="s">
        <v>1733</v>
      </c>
      <c r="H276" s="18" t="str">
        <f t="shared" si="28"/>
        <v>MHz_T-1</v>
      </c>
      <c r="I276" s="17">
        <f>if(H276="","", countif(Units!A:A,H276))</f>
        <v>1</v>
      </c>
      <c r="J276" s="17" t="s">
        <v>1140</v>
      </c>
      <c r="K276" s="28">
        <f>countif(Quantities!A:A,J276)</f>
        <v>1</v>
      </c>
      <c r="L276" s="30" t="b">
        <f t="shared" si="4"/>
        <v>0</v>
      </c>
      <c r="M276" s="17" t="s">
        <v>4259</v>
      </c>
      <c r="N276" s="34" t="str">
        <f t="shared" si="5"/>
        <v>qudt</v>
      </c>
      <c r="O276" s="18" t="b">
        <f t="shared" si="6"/>
        <v>1</v>
      </c>
      <c r="P276" s="39"/>
      <c r="Q276" s="39"/>
      <c r="R276" s="39" t="str">
        <f t="shared" si="7"/>
        <v/>
      </c>
      <c r="S276" s="43">
        <f t="shared" si="8"/>
        <v>7</v>
      </c>
      <c r="T276" s="21">
        <f>countif('v2022'!E:E,A276)</f>
        <v>1</v>
      </c>
      <c r="U276" s="21">
        <f>countif('v2018'!E:E,A276)</f>
        <v>1</v>
      </c>
      <c r="V276" s="21">
        <f>countif('v2014'!E:E,A276)</f>
        <v>1</v>
      </c>
      <c r="W276" s="21">
        <f>countif('v2010'!E:E,A276)</f>
        <v>1</v>
      </c>
      <c r="X276" s="21">
        <f>countif('v2006'!E:E,A276)</f>
        <v>1</v>
      </c>
      <c r="Y276" s="21">
        <f>countif('v2002'!E:E,A276)</f>
        <v>1</v>
      </c>
      <c r="Z276" s="21">
        <f>countif('v1998'!E:E,A276)</f>
        <v>1</v>
      </c>
    </row>
    <row r="277">
      <c r="A277" s="17" t="s">
        <v>4167</v>
      </c>
      <c r="B277" s="18" t="s">
        <v>1143</v>
      </c>
      <c r="C277" s="21" t="str">
        <f t="shared" si="31"/>
        <v>Proton Magnetic Moment</v>
      </c>
      <c r="D277" s="21" t="str">
        <f t="shared" si="10"/>
        <v>Moment magnétique du proton</v>
      </c>
      <c r="E277" s="17" t="s">
        <v>4173</v>
      </c>
      <c r="F277" s="17" t="s">
        <v>4272</v>
      </c>
      <c r="G277" s="18" t="s">
        <v>964</v>
      </c>
      <c r="H277" s="18" t="str">
        <f t="shared" si="28"/>
        <v>J_T-1</v>
      </c>
      <c r="I277" s="17">
        <f>if(H277="","", countif(Units!A:A,H277))</f>
        <v>1</v>
      </c>
      <c r="J277" s="18" t="s">
        <v>1143</v>
      </c>
      <c r="K277" s="28">
        <f>countif(Quantities!A:A,J277)</f>
        <v>1</v>
      </c>
      <c r="L277" s="30" t="b">
        <f t="shared" si="4"/>
        <v>1</v>
      </c>
      <c r="M277" s="17" t="s">
        <v>1143</v>
      </c>
      <c r="N277" s="34" t="str">
        <f t="shared" si="5"/>
        <v>qudt</v>
      </c>
      <c r="O277" s="18" t="b">
        <f t="shared" si="6"/>
        <v>1</v>
      </c>
      <c r="P277" s="39"/>
      <c r="Q277" s="39"/>
      <c r="R277" s="39" t="str">
        <f t="shared" si="7"/>
        <v/>
      </c>
      <c r="S277" s="43">
        <f t="shared" si="8"/>
        <v>7</v>
      </c>
      <c r="T277" s="21">
        <f>countif('v2022'!E:E,A277)</f>
        <v>1</v>
      </c>
      <c r="U277" s="21">
        <f>countif('v2018'!E:E,A277)</f>
        <v>1</v>
      </c>
      <c r="V277" s="21">
        <f>countif('v2014'!E:E,A277)</f>
        <v>1</v>
      </c>
      <c r="W277" s="21">
        <f>countif('v2010'!E:E,A277)</f>
        <v>1</v>
      </c>
      <c r="X277" s="21">
        <f>countif('v2006'!E:E,A277)</f>
        <v>1</v>
      </c>
      <c r="Y277" s="21">
        <f>countif('v2002'!E:E,A277)</f>
        <v>1</v>
      </c>
      <c r="Z277" s="21">
        <f>countif('v1998'!E:E,A277)</f>
        <v>1</v>
      </c>
    </row>
    <row r="278">
      <c r="A278" s="17" t="s">
        <v>4176</v>
      </c>
      <c r="B278" s="18" t="s">
        <v>1148</v>
      </c>
      <c r="C278" s="21" t="str">
        <f t="shared" si="31"/>
        <v>Proton Magnetic Moment To Bohr Magneton Ratio</v>
      </c>
      <c r="D278" s="21" t="str">
        <f t="shared" si="10"/>
        <v>Rapport du moment magnétique du proton au magnéton de Bohr électronique</v>
      </c>
      <c r="E278" s="17" t="s">
        <v>4182</v>
      </c>
      <c r="F278" s="17" t="s">
        <v>4278</v>
      </c>
      <c r="H278" s="18" t="str">
        <f t="shared" si="28"/>
        <v/>
      </c>
      <c r="I278" s="17" t="str">
        <f>if(H278="","", countif(Units!A:A,H278))</f>
        <v/>
      </c>
      <c r="J278" s="18" t="s">
        <v>1148</v>
      </c>
      <c r="K278" s="28">
        <f>countif(Quantities!A:A,J278)</f>
        <v>1</v>
      </c>
      <c r="L278" s="30" t="b">
        <f t="shared" si="4"/>
        <v>1</v>
      </c>
      <c r="M278" s="17" t="s">
        <v>1148</v>
      </c>
      <c r="N278" s="34" t="str">
        <f t="shared" si="5"/>
        <v>qudt</v>
      </c>
      <c r="O278" s="18" t="b">
        <f t="shared" si="6"/>
        <v>1</v>
      </c>
      <c r="P278" s="39"/>
      <c r="Q278" s="39"/>
      <c r="R278" s="39" t="str">
        <f t="shared" si="7"/>
        <v/>
      </c>
      <c r="S278" s="43">
        <f t="shared" si="8"/>
        <v>7</v>
      </c>
      <c r="T278" s="21">
        <f>countif('v2022'!E:E,A278)</f>
        <v>1</v>
      </c>
      <c r="U278" s="21">
        <f>countif('v2018'!E:E,A278)</f>
        <v>1</v>
      </c>
      <c r="V278" s="21">
        <f>countif('v2014'!E:E,A278)</f>
        <v>1</v>
      </c>
      <c r="W278" s="21">
        <f>countif('v2010'!E:E,A278)</f>
        <v>1</v>
      </c>
      <c r="X278" s="21">
        <f>countif('v2006'!E:E,A278)</f>
        <v>1</v>
      </c>
      <c r="Y278" s="21">
        <f>countif('v2002'!E:E,A278)</f>
        <v>1</v>
      </c>
      <c r="Z278" s="21">
        <f>countif('v1998'!E:E,A278)</f>
        <v>1</v>
      </c>
    </row>
    <row r="279">
      <c r="A279" s="17" t="s">
        <v>4228</v>
      </c>
      <c r="B279" s="18" t="s">
        <v>1151</v>
      </c>
      <c r="C279" s="21" t="str">
        <f t="shared" si="31"/>
        <v>Proton Magnetic Moment To Nuclear Magneton Ratio</v>
      </c>
      <c r="D279" s="21" t="str">
        <f t="shared" si="10"/>
        <v>Rapport du moment magnétique du proton au magnéton de Bohr nucléaire</v>
      </c>
      <c r="E279" s="17" t="s">
        <v>4244</v>
      </c>
      <c r="F279" s="17" t="s">
        <v>4288</v>
      </c>
      <c r="H279" s="18" t="str">
        <f t="shared" si="28"/>
        <v/>
      </c>
      <c r="I279" s="17" t="str">
        <f>if(H279="","", countif(Units!A:A,H279))</f>
        <v/>
      </c>
      <c r="J279" s="18" t="s">
        <v>1151</v>
      </c>
      <c r="K279" s="28">
        <f>countif(Quantities!A:A,J279)</f>
        <v>1</v>
      </c>
      <c r="L279" s="30" t="b">
        <f t="shared" si="4"/>
        <v>1</v>
      </c>
      <c r="M279" s="17" t="s">
        <v>1151</v>
      </c>
      <c r="N279" s="34" t="str">
        <f t="shared" si="5"/>
        <v>qudt</v>
      </c>
      <c r="O279" s="18" t="b">
        <f t="shared" si="6"/>
        <v>1</v>
      </c>
      <c r="P279" s="39"/>
      <c r="Q279" s="39"/>
      <c r="R279" s="39" t="str">
        <f t="shared" si="7"/>
        <v/>
      </c>
      <c r="S279" s="43">
        <f t="shared" si="8"/>
        <v>7</v>
      </c>
      <c r="T279" s="21">
        <f>countif('v2022'!E:E,A279)</f>
        <v>1</v>
      </c>
      <c r="U279" s="21">
        <f>countif('v2018'!E:E,A279)</f>
        <v>1</v>
      </c>
      <c r="V279" s="21">
        <f>countif('v2014'!E:E,A279)</f>
        <v>1</v>
      </c>
      <c r="W279" s="21">
        <f>countif('v2010'!E:E,A279)</f>
        <v>1</v>
      </c>
      <c r="X279" s="21">
        <f>countif('v2006'!E:E,A279)</f>
        <v>1</v>
      </c>
      <c r="Y279" s="21">
        <f>countif('v2002'!E:E,A279)</f>
        <v>1</v>
      </c>
      <c r="Z279" s="21">
        <f>countif('v1998'!E:E,A279)</f>
        <v>1</v>
      </c>
    </row>
    <row r="280">
      <c r="A280" s="17" t="s">
        <v>4250</v>
      </c>
      <c r="B280" s="17" t="s">
        <v>1154</v>
      </c>
      <c r="C280" s="21" t="str">
        <f t="shared" si="31"/>
        <v>Proton Magnetic Shielding Correction</v>
      </c>
      <c r="D280" s="21" t="str">
        <f t="shared" si="10"/>
        <v>Correction d'écrantage magnétique du proton</v>
      </c>
      <c r="E280" s="17" t="s">
        <v>4256</v>
      </c>
      <c r="F280" s="17" t="s">
        <v>4297</v>
      </c>
      <c r="H280" s="18" t="str">
        <f t="shared" si="28"/>
        <v/>
      </c>
      <c r="I280" s="17" t="str">
        <f>if(H280="","", countif(Units!A:A,H280))</f>
        <v/>
      </c>
      <c r="J280" s="17" t="s">
        <v>1154</v>
      </c>
      <c r="K280" s="28">
        <f>countif(Quantities!A:A,J280)</f>
        <v>1</v>
      </c>
      <c r="L280" s="30" t="b">
        <f t="shared" si="4"/>
        <v>1</v>
      </c>
      <c r="M280" s="17" t="s">
        <v>1154</v>
      </c>
      <c r="N280" s="34" t="str">
        <f t="shared" si="5"/>
        <v>qudt</v>
      </c>
      <c r="O280" s="18" t="b">
        <f t="shared" si="6"/>
        <v>1</v>
      </c>
      <c r="P280" s="23"/>
      <c r="Q280" s="23"/>
      <c r="R280" s="39" t="str">
        <f t="shared" si="7"/>
        <v/>
      </c>
      <c r="S280" s="43">
        <f t="shared" si="8"/>
        <v>7</v>
      </c>
      <c r="T280" s="21">
        <f>countif('v2022'!E:E,A280)</f>
        <v>1</v>
      </c>
      <c r="U280" s="21">
        <f>countif('v2018'!E:E,A280)</f>
        <v>1</v>
      </c>
      <c r="V280" s="21">
        <f>countif('v2014'!E:E,A280)</f>
        <v>1</v>
      </c>
      <c r="W280" s="21">
        <f>countif('v2010'!E:E,A280)</f>
        <v>1</v>
      </c>
      <c r="X280" s="21">
        <f>countif('v2006'!E:E,A280)</f>
        <v>1</v>
      </c>
      <c r="Y280" s="21">
        <f>countif('v2002'!E:E,A280)</f>
        <v>1</v>
      </c>
      <c r="Z280" s="21">
        <f>countif('v1998'!E:E,A280)</f>
        <v>1</v>
      </c>
    </row>
    <row r="281">
      <c r="A281" s="17" t="s">
        <v>4273</v>
      </c>
      <c r="B281" s="18" t="s">
        <v>1157</v>
      </c>
      <c r="C281" s="21" t="str">
        <f t="shared" si="31"/>
        <v>Proton Mass</v>
      </c>
      <c r="D281" s="21" t="str">
        <f t="shared" si="10"/>
        <v>Masse du proton</v>
      </c>
      <c r="E281" s="17" t="s">
        <v>2673</v>
      </c>
      <c r="F281" s="17" t="s">
        <v>4305</v>
      </c>
      <c r="G281" s="18" t="s">
        <v>98</v>
      </c>
      <c r="H281" s="18" t="str">
        <f t="shared" si="28"/>
        <v>kg</v>
      </c>
      <c r="I281" s="17">
        <f>if(H281="","", countif(Units!A:A,H281))</f>
        <v>1</v>
      </c>
      <c r="J281" s="18" t="s">
        <v>1157</v>
      </c>
      <c r="K281" s="28">
        <f>countif(Quantities!A:A,J281)</f>
        <v>1</v>
      </c>
      <c r="L281" s="30" t="b">
        <f t="shared" si="4"/>
        <v>1</v>
      </c>
      <c r="M281" s="17" t="s">
        <v>1157</v>
      </c>
      <c r="N281" s="34" t="str">
        <f t="shared" si="5"/>
        <v>qudt</v>
      </c>
      <c r="O281" s="18" t="b">
        <f t="shared" si="6"/>
        <v>1</v>
      </c>
      <c r="P281" s="39" t="s">
        <v>4310</v>
      </c>
      <c r="Q281" s="39"/>
      <c r="R281" s="39" t="str">
        <f t="shared" si="7"/>
        <v/>
      </c>
      <c r="S281" s="43">
        <f t="shared" si="8"/>
        <v>7</v>
      </c>
      <c r="T281" s="21">
        <f>countif('v2022'!E:E,A281)</f>
        <v>1</v>
      </c>
      <c r="U281" s="21">
        <f>countif('v2018'!E:E,A281)</f>
        <v>1</v>
      </c>
      <c r="V281" s="21">
        <f>countif('v2014'!E:E,A281)</f>
        <v>1</v>
      </c>
      <c r="W281" s="21">
        <f>countif('v2010'!E:E,A281)</f>
        <v>1</v>
      </c>
      <c r="X281" s="21">
        <f>countif('v2006'!E:E,A281)</f>
        <v>1</v>
      </c>
      <c r="Y281" s="21">
        <f>countif('v2002'!E:E,A281)</f>
        <v>1</v>
      </c>
      <c r="Z281" s="21">
        <f>countif('v1998'!E:E,A281)</f>
        <v>1</v>
      </c>
    </row>
    <row r="282">
      <c r="A282" s="17" t="s">
        <v>4277</v>
      </c>
      <c r="B282" s="18" t="s">
        <v>1166</v>
      </c>
      <c r="C282" s="21" t="str">
        <f t="shared" si="31"/>
        <v>Proton Mass Energy Equivalent</v>
      </c>
      <c r="D282" s="21" t="str">
        <f t="shared" si="10"/>
        <v>Énergie de masse du proton</v>
      </c>
      <c r="E282" s="17" t="s">
        <v>2675</v>
      </c>
      <c r="F282" s="17" t="s">
        <v>4317</v>
      </c>
      <c r="G282" s="18" t="s">
        <v>173</v>
      </c>
      <c r="H282" s="18" t="str">
        <f t="shared" si="28"/>
        <v>J</v>
      </c>
      <c r="I282" s="17">
        <f>if(H282="","", countif(Units!A:A,H282))</f>
        <v>1</v>
      </c>
      <c r="J282" s="17" t="s">
        <v>1166</v>
      </c>
      <c r="K282" s="28">
        <f>countif(Quantities!A:A,J282)</f>
        <v>1</v>
      </c>
      <c r="L282" s="30" t="b">
        <f t="shared" si="4"/>
        <v>1</v>
      </c>
      <c r="M282" s="17" t="s">
        <v>1166</v>
      </c>
      <c r="N282" s="34" t="str">
        <f t="shared" si="5"/>
        <v>qudt</v>
      </c>
      <c r="O282" s="18" t="b">
        <f t="shared" si="6"/>
        <v>1</v>
      </c>
      <c r="P282" s="39"/>
      <c r="Q282" s="39"/>
      <c r="R282" s="39" t="str">
        <f t="shared" si="7"/>
        <v/>
      </c>
      <c r="S282" s="43">
        <f t="shared" si="8"/>
        <v>7</v>
      </c>
      <c r="T282" s="21">
        <f>countif('v2022'!E:E,A282)</f>
        <v>1</v>
      </c>
      <c r="U282" s="21">
        <f>countif('v2018'!E:E,A282)</f>
        <v>1</v>
      </c>
      <c r="V282" s="21">
        <f>countif('v2014'!E:E,A282)</f>
        <v>1</v>
      </c>
      <c r="W282" s="21">
        <f>countif('v2010'!E:E,A282)</f>
        <v>1</v>
      </c>
      <c r="X282" s="21">
        <f>countif('v2006'!E:E,A282)</f>
        <v>1</v>
      </c>
      <c r="Y282" s="21">
        <f>countif('v2002'!E:E,A282)</f>
        <v>1</v>
      </c>
      <c r="Z282" s="21">
        <f>countif('v1998'!E:E,A282)</f>
        <v>1</v>
      </c>
    </row>
    <row r="283">
      <c r="A283" s="17" t="s">
        <v>4283</v>
      </c>
      <c r="B283" s="18" t="s">
        <v>4325</v>
      </c>
      <c r="C283" s="17" t="s">
        <v>4326</v>
      </c>
      <c r="D283" s="21" t="str">
        <f t="shared" si="10"/>
        <v>Énergie de masse du proton en MeV</v>
      </c>
      <c r="E283" s="17" t="s">
        <v>2682</v>
      </c>
      <c r="F283" s="17" t="s">
        <v>4327</v>
      </c>
      <c r="G283" s="18" t="s">
        <v>224</v>
      </c>
      <c r="H283" s="18" t="str">
        <f t="shared" si="28"/>
        <v>MeV</v>
      </c>
      <c r="I283" s="17">
        <f>if(H283="","", countif(Units!A:A,H283))</f>
        <v>1</v>
      </c>
      <c r="J283" s="17" t="s">
        <v>1157</v>
      </c>
      <c r="K283" s="28">
        <f>countif(Quantities!A:A,J283)</f>
        <v>1</v>
      </c>
      <c r="L283" s="30" t="b">
        <f t="shared" si="4"/>
        <v>0</v>
      </c>
      <c r="M283" s="17" t="s">
        <v>4325</v>
      </c>
      <c r="N283" s="34" t="str">
        <f t="shared" si="5"/>
        <v>qudt</v>
      </c>
      <c r="O283" s="18" t="b">
        <f t="shared" si="6"/>
        <v>1</v>
      </c>
      <c r="P283" s="39"/>
      <c r="Q283" s="39"/>
      <c r="R283" s="39" t="str">
        <f t="shared" si="7"/>
        <v/>
      </c>
      <c r="S283" s="43">
        <f t="shared" si="8"/>
        <v>7</v>
      </c>
      <c r="T283" s="21">
        <f>countif('v2022'!E:E,A283)</f>
        <v>1</v>
      </c>
      <c r="U283" s="21">
        <f>countif('v2018'!E:E,A283)</f>
        <v>1</v>
      </c>
      <c r="V283" s="21">
        <f>countif('v2014'!E:E,A283)</f>
        <v>1</v>
      </c>
      <c r="W283" s="21">
        <f>countif('v2010'!E:E,A283)</f>
        <v>1</v>
      </c>
      <c r="X283" s="21">
        <f>countif('v2006'!E:E,A283)</f>
        <v>1</v>
      </c>
      <c r="Y283" s="21">
        <f>countif('v2002'!E:E,A283)</f>
        <v>1</v>
      </c>
      <c r="Z283" s="21">
        <f>countif('v1998'!E:E,A283)</f>
        <v>1</v>
      </c>
    </row>
    <row r="284">
      <c r="A284" s="17" t="s">
        <v>4290</v>
      </c>
      <c r="B284" s="18" t="s">
        <v>4333</v>
      </c>
      <c r="C284" s="21" t="str">
        <f t="shared" ref="C284:C295" si="32">proper(E284)</f>
        <v>Proton Mass In U</v>
      </c>
      <c r="D284" s="21" t="str">
        <f t="shared" si="10"/>
        <v>Masse du proton en u</v>
      </c>
      <c r="E284" s="17" t="s">
        <v>2689</v>
      </c>
      <c r="F284" s="17" t="s">
        <v>4337</v>
      </c>
      <c r="G284" s="18" t="s">
        <v>249</v>
      </c>
      <c r="H284" s="18" t="str">
        <f t="shared" si="28"/>
        <v>u</v>
      </c>
      <c r="I284" s="17">
        <f>if(H284="","", countif(Units!A:A,H284))</f>
        <v>1</v>
      </c>
      <c r="J284" s="17" t="s">
        <v>1157</v>
      </c>
      <c r="K284" s="28">
        <f>countif(Quantities!A:A,J284)</f>
        <v>1</v>
      </c>
      <c r="L284" s="30" t="b">
        <f t="shared" si="4"/>
        <v>0</v>
      </c>
      <c r="M284" s="17" t="s">
        <v>4333</v>
      </c>
      <c r="N284" s="34" t="str">
        <f t="shared" si="5"/>
        <v>qudt</v>
      </c>
      <c r="O284" s="18" t="b">
        <f t="shared" si="6"/>
        <v>1</v>
      </c>
      <c r="P284" s="39"/>
      <c r="Q284" s="39"/>
      <c r="R284" s="39" t="str">
        <f t="shared" si="7"/>
        <v/>
      </c>
      <c r="S284" s="43">
        <f t="shared" si="8"/>
        <v>7</v>
      </c>
      <c r="T284" s="21">
        <f>countif('v2022'!E:E,A284)</f>
        <v>1</v>
      </c>
      <c r="U284" s="21">
        <f>countif('v2018'!E:E,A284)</f>
        <v>1</v>
      </c>
      <c r="V284" s="21">
        <f>countif('v2014'!E:E,A284)</f>
        <v>1</v>
      </c>
      <c r="W284" s="21">
        <f>countif('v2010'!E:E,A284)</f>
        <v>1</v>
      </c>
      <c r="X284" s="21">
        <f>countif('v2006'!E:E,A284)</f>
        <v>1</v>
      </c>
      <c r="Y284" s="21">
        <f>countif('v2002'!E:E,A284)</f>
        <v>1</v>
      </c>
      <c r="Z284" s="21">
        <f>countif('v1998'!E:E,A284)</f>
        <v>1</v>
      </c>
    </row>
    <row r="285">
      <c r="A285" s="17" t="s">
        <v>4296</v>
      </c>
      <c r="B285" s="18" t="s">
        <v>1168</v>
      </c>
      <c r="C285" s="21" t="str">
        <f t="shared" si="32"/>
        <v>Proton Molar Mass</v>
      </c>
      <c r="D285" s="21" t="str">
        <f t="shared" si="10"/>
        <v>Masse molaire du proton</v>
      </c>
      <c r="E285" s="17" t="s">
        <v>2695</v>
      </c>
      <c r="F285" s="17" t="s">
        <v>4348</v>
      </c>
      <c r="G285" s="18" t="s">
        <v>286</v>
      </c>
      <c r="H285" s="18" t="str">
        <f t="shared" si="28"/>
        <v>kg_mol-1</v>
      </c>
      <c r="I285" s="17">
        <f>if(H285="","", countif(Units!A:A,H285))</f>
        <v>1</v>
      </c>
      <c r="J285" s="18" t="s">
        <v>1168</v>
      </c>
      <c r="K285" s="28">
        <f>countif(Quantities!A:A,J285)</f>
        <v>1</v>
      </c>
      <c r="L285" s="30" t="b">
        <f t="shared" si="4"/>
        <v>1</v>
      </c>
      <c r="M285" s="17" t="s">
        <v>1168</v>
      </c>
      <c r="N285" s="34" t="str">
        <f t="shared" si="5"/>
        <v>qudt</v>
      </c>
      <c r="O285" s="18" t="b">
        <f t="shared" si="6"/>
        <v>1</v>
      </c>
      <c r="P285" s="39"/>
      <c r="Q285" s="39"/>
      <c r="R285" s="39" t="str">
        <f t="shared" si="7"/>
        <v/>
      </c>
      <c r="S285" s="43">
        <f t="shared" si="8"/>
        <v>7</v>
      </c>
      <c r="T285" s="21">
        <f>countif('v2022'!E:E,A285)</f>
        <v>1</v>
      </c>
      <c r="U285" s="21">
        <f>countif('v2018'!E:E,A285)</f>
        <v>1</v>
      </c>
      <c r="V285" s="21">
        <f>countif('v2014'!E:E,A285)</f>
        <v>1</v>
      </c>
      <c r="W285" s="21">
        <f>countif('v2010'!E:E,A285)</f>
        <v>1</v>
      </c>
      <c r="X285" s="21">
        <f>countif('v2006'!E:E,A285)</f>
        <v>1</v>
      </c>
      <c r="Y285" s="21">
        <f>countif('v2002'!E:E,A285)</f>
        <v>1</v>
      </c>
      <c r="Z285" s="21">
        <f>countif('v1998'!E:E,A285)</f>
        <v>1</v>
      </c>
    </row>
    <row r="286">
      <c r="A286" s="17" t="s">
        <v>4323</v>
      </c>
      <c r="B286" s="18" t="s">
        <v>1172</v>
      </c>
      <c r="C286" s="21" t="str">
        <f t="shared" si="32"/>
        <v>Proton - Muon Mass Ratio</v>
      </c>
      <c r="D286" s="21" t="str">
        <f t="shared" si="10"/>
        <v>Rapport de la masse du proton à celle du muon</v>
      </c>
      <c r="E286" s="17" t="s">
        <v>4360</v>
      </c>
      <c r="F286" s="17" t="s">
        <v>4361</v>
      </c>
      <c r="H286" s="18" t="str">
        <f t="shared" si="28"/>
        <v/>
      </c>
      <c r="I286" s="17" t="str">
        <f>if(H286="","", countif(Units!A:A,H286))</f>
        <v/>
      </c>
      <c r="J286" s="18" t="s">
        <v>1172</v>
      </c>
      <c r="K286" s="28">
        <f>countif(Quantities!A:A,J286)</f>
        <v>1</v>
      </c>
      <c r="L286" s="30" t="b">
        <f t="shared" si="4"/>
        <v>1</v>
      </c>
      <c r="M286" s="17" t="s">
        <v>1172</v>
      </c>
      <c r="N286" s="34" t="str">
        <f t="shared" si="5"/>
        <v>qudt</v>
      </c>
      <c r="O286" s="18" t="b">
        <f t="shared" si="6"/>
        <v>1</v>
      </c>
      <c r="P286" s="39"/>
      <c r="Q286" s="39"/>
      <c r="R286" s="39" t="str">
        <f t="shared" si="7"/>
        <v/>
      </c>
      <c r="S286" s="43">
        <f t="shared" si="8"/>
        <v>7</v>
      </c>
      <c r="T286" s="21">
        <f>countif('v2022'!E:E,A286)</f>
        <v>1</v>
      </c>
      <c r="U286" s="21">
        <f>countif('v2018'!E:E,A286)</f>
        <v>1</v>
      </c>
      <c r="V286" s="21">
        <f>countif('v2014'!E:E,A286)</f>
        <v>1</v>
      </c>
      <c r="W286" s="21">
        <f>countif('v2010'!E:E,A286)</f>
        <v>1</v>
      </c>
      <c r="X286" s="21">
        <f>countif('v2006'!E:E,A286)</f>
        <v>1</v>
      </c>
      <c r="Y286" s="21">
        <f>countif('v2002'!E:E,A286)</f>
        <v>1</v>
      </c>
      <c r="Z286" s="21">
        <f>countif('v1998'!E:E,A286)</f>
        <v>1</v>
      </c>
    </row>
    <row r="287">
      <c r="A287" s="17" t="s">
        <v>4338</v>
      </c>
      <c r="B287" s="18" t="s">
        <v>1174</v>
      </c>
      <c r="C287" s="21" t="str">
        <f t="shared" si="32"/>
        <v>Proton - Neutron Magnetic Moment Ratio</v>
      </c>
      <c r="D287" s="21" t="str">
        <f t="shared" si="10"/>
        <v>Rapport du moment magnétique du proton à celui du neutron</v>
      </c>
      <c r="E287" s="17" t="s">
        <v>4368</v>
      </c>
      <c r="F287" s="17" t="s">
        <v>4369</v>
      </c>
      <c r="H287" s="18" t="str">
        <f t="shared" si="28"/>
        <v/>
      </c>
      <c r="I287" s="17" t="str">
        <f>if(H287="","", countif(Units!A:A,H287))</f>
        <v/>
      </c>
      <c r="J287" s="18" t="s">
        <v>1174</v>
      </c>
      <c r="K287" s="28">
        <f>countif(Quantities!A:A,J287)</f>
        <v>1</v>
      </c>
      <c r="L287" s="30" t="b">
        <f t="shared" si="4"/>
        <v>1</v>
      </c>
      <c r="M287" s="17" t="s">
        <v>1174</v>
      </c>
      <c r="N287" s="34" t="str">
        <f t="shared" si="5"/>
        <v>qudt</v>
      </c>
      <c r="O287" s="18" t="b">
        <f t="shared" si="6"/>
        <v>1</v>
      </c>
      <c r="P287" s="39"/>
      <c r="Q287" s="39"/>
      <c r="R287" s="39" t="str">
        <f t="shared" si="7"/>
        <v/>
      </c>
      <c r="S287" s="43">
        <f t="shared" si="8"/>
        <v>7</v>
      </c>
      <c r="T287" s="21">
        <f>countif('v2022'!E:E,A287)</f>
        <v>1</v>
      </c>
      <c r="U287" s="21">
        <f>countif('v2018'!E:E,A287)</f>
        <v>1</v>
      </c>
      <c r="V287" s="21">
        <f>countif('v2014'!E:E,A287)</f>
        <v>1</v>
      </c>
      <c r="W287" s="21">
        <f>countif('v2010'!E:E,A287)</f>
        <v>1</v>
      </c>
      <c r="X287" s="21">
        <f>countif('v2006'!E:E,A287)</f>
        <v>1</v>
      </c>
      <c r="Y287" s="21">
        <f>countif('v2002'!E:E,A287)</f>
        <v>1</v>
      </c>
      <c r="Z287" s="21">
        <f>countif('v1998'!E:E,A287)</f>
        <v>1</v>
      </c>
    </row>
    <row r="288">
      <c r="A288" s="17" t="s">
        <v>4355</v>
      </c>
      <c r="B288" s="18" t="s">
        <v>1177</v>
      </c>
      <c r="C288" s="21" t="str">
        <f t="shared" si="32"/>
        <v>Proton - Neutron Mass Ratio</v>
      </c>
      <c r="D288" s="21" t="str">
        <f t="shared" si="10"/>
        <v>Rapport de la masse du proton à celle du neutron</v>
      </c>
      <c r="E288" s="17" t="s">
        <v>4377</v>
      </c>
      <c r="F288" s="17" t="s">
        <v>4378</v>
      </c>
      <c r="H288" s="18" t="str">
        <f t="shared" si="28"/>
        <v/>
      </c>
      <c r="I288" s="17" t="str">
        <f>if(H288="","", countif(Units!A:A,H288))</f>
        <v/>
      </c>
      <c r="J288" s="18" t="s">
        <v>1177</v>
      </c>
      <c r="K288" s="28">
        <f>countif(Quantities!A:A,J288)</f>
        <v>1</v>
      </c>
      <c r="L288" s="30" t="b">
        <f t="shared" si="4"/>
        <v>1</v>
      </c>
      <c r="M288" s="17" t="s">
        <v>1177</v>
      </c>
      <c r="N288" s="34" t="str">
        <f t="shared" si="5"/>
        <v>qudt</v>
      </c>
      <c r="O288" s="18" t="b">
        <f t="shared" si="6"/>
        <v>1</v>
      </c>
      <c r="P288" s="39"/>
      <c r="Q288" s="39"/>
      <c r="R288" s="39" t="str">
        <f t="shared" si="7"/>
        <v/>
      </c>
      <c r="S288" s="43">
        <f t="shared" si="8"/>
        <v>7</v>
      </c>
      <c r="T288" s="21">
        <f>countif('v2022'!E:E,A288)</f>
        <v>1</v>
      </c>
      <c r="U288" s="21">
        <f>countif('v2018'!E:E,A288)</f>
        <v>1</v>
      </c>
      <c r="V288" s="21">
        <f>countif('v2014'!E:E,A288)</f>
        <v>1</v>
      </c>
      <c r="W288" s="21">
        <f>countif('v2010'!E:E,A288)</f>
        <v>1</v>
      </c>
      <c r="X288" s="21">
        <f>countif('v2006'!E:E,A288)</f>
        <v>1</v>
      </c>
      <c r="Y288" s="21">
        <f>countif('v2002'!E:E,A288)</f>
        <v>1</v>
      </c>
      <c r="Z288" s="21">
        <f>countif('v1998'!E:E,A288)</f>
        <v>1</v>
      </c>
    </row>
    <row r="289">
      <c r="A289" s="17" t="s">
        <v>4303</v>
      </c>
      <c r="B289" s="18" t="s">
        <v>1182</v>
      </c>
      <c r="C289" s="21" t="str">
        <f t="shared" si="32"/>
        <v>Proton Relative Atomic Mass</v>
      </c>
      <c r="D289" s="21" t="str">
        <f t="shared" si="10"/>
        <v>Masse atomique relative du proton</v>
      </c>
      <c r="E289" s="17" t="s">
        <v>2707</v>
      </c>
      <c r="F289" s="17" t="s">
        <v>4387</v>
      </c>
      <c r="H289" s="18" t="str">
        <f t="shared" si="28"/>
        <v/>
      </c>
      <c r="I289" s="17" t="str">
        <f>if(H289="","", countif(Units!A:A,H289))</f>
        <v/>
      </c>
      <c r="J289" s="18" t="s">
        <v>1182</v>
      </c>
      <c r="K289" s="28">
        <f>countif(Quantities!A:A,J289)</f>
        <v>1</v>
      </c>
      <c r="L289" s="30" t="b">
        <f t="shared" si="4"/>
        <v>1</v>
      </c>
      <c r="N289" s="39" t="str">
        <f t="shared" si="5"/>
        <v/>
      </c>
      <c r="O289" s="18" t="b">
        <f t="shared" si="6"/>
        <v>0</v>
      </c>
      <c r="P289" s="23"/>
      <c r="Q289" s="23"/>
      <c r="R289" s="39" t="str">
        <f t="shared" si="7"/>
        <v/>
      </c>
      <c r="S289" s="43">
        <f t="shared" si="8"/>
        <v>2</v>
      </c>
      <c r="T289" s="21">
        <f>countif('v2022'!E:E,A289)</f>
        <v>1</v>
      </c>
      <c r="U289" s="21">
        <f>countif('v2018'!E:E,A289)</f>
        <v>1</v>
      </c>
      <c r="V289" s="21">
        <f>countif('v2014'!E:E,A289)</f>
        <v>0</v>
      </c>
      <c r="W289" s="21">
        <f>countif('v2010'!E:E,A289)</f>
        <v>0</v>
      </c>
      <c r="X289" s="21">
        <f>countif('v2006'!E:E,A289)</f>
        <v>0</v>
      </c>
      <c r="Y289" s="21">
        <f>countif('v2002'!E:E,A289)</f>
        <v>0</v>
      </c>
      <c r="Z289" s="21">
        <f>countif('v1998'!E:E,A289)</f>
        <v>0</v>
      </c>
    </row>
    <row r="290">
      <c r="A290" s="17" t="s">
        <v>4311</v>
      </c>
      <c r="B290" s="18" t="s">
        <v>1187</v>
      </c>
      <c r="C290" s="21" t="str">
        <f t="shared" si="32"/>
        <v>Proton Rms Charge Radius</v>
      </c>
      <c r="D290" s="21" t="str">
        <f t="shared" si="10"/>
        <v>Rayon de charge effectif du proton</v>
      </c>
      <c r="E290" s="17" t="s">
        <v>2711</v>
      </c>
      <c r="F290" s="17" t="s">
        <v>4392</v>
      </c>
      <c r="G290" s="18" t="s">
        <v>381</v>
      </c>
      <c r="H290" s="18" t="str">
        <f t="shared" si="28"/>
        <v>m</v>
      </c>
      <c r="I290" s="17">
        <f>if(H290="","", countif(Units!A:A,H290))</f>
        <v>1</v>
      </c>
      <c r="J290" s="18" t="s">
        <v>1187</v>
      </c>
      <c r="K290" s="28">
        <f>countif(Quantities!A:A,J290)</f>
        <v>1</v>
      </c>
      <c r="L290" s="30" t="b">
        <f t="shared" si="4"/>
        <v>1</v>
      </c>
      <c r="M290" s="17" t="s">
        <v>1187</v>
      </c>
      <c r="N290" s="34" t="str">
        <f t="shared" si="5"/>
        <v>qudt</v>
      </c>
      <c r="O290" s="18" t="b">
        <f t="shared" si="6"/>
        <v>1</v>
      </c>
      <c r="P290" s="39"/>
      <c r="Q290" s="39"/>
      <c r="R290" s="39" t="str">
        <f t="shared" si="7"/>
        <v/>
      </c>
      <c r="S290" s="43">
        <f t="shared" si="8"/>
        <v>6</v>
      </c>
      <c r="T290" s="21">
        <f>countif('v2022'!E:E,A290)</f>
        <v>1</v>
      </c>
      <c r="U290" s="21">
        <f>countif('v2018'!E:E,A290)</f>
        <v>1</v>
      </c>
      <c r="V290" s="21">
        <f>countif('v2014'!E:E,A290)</f>
        <v>1</v>
      </c>
      <c r="W290" s="21">
        <f>countif('v2010'!E:E,A290)</f>
        <v>1</v>
      </c>
      <c r="X290" s="21">
        <f>countif('v2006'!E:E,A290)</f>
        <v>1</v>
      </c>
      <c r="Y290" s="21">
        <f>countif('v2002'!E:E,A290)</f>
        <v>1</v>
      </c>
      <c r="Z290" s="21">
        <f>countif('v1998'!E:E,A290)</f>
        <v>0</v>
      </c>
    </row>
    <row r="291">
      <c r="A291" s="17" t="s">
        <v>4364</v>
      </c>
      <c r="B291" s="18" t="s">
        <v>1191</v>
      </c>
      <c r="C291" s="21" t="str">
        <f t="shared" si="32"/>
        <v>Proton - Tau Mass Ratio</v>
      </c>
      <c r="D291" s="21" t="str">
        <f t="shared" si="10"/>
        <v>Rapport de la masse du proton à celle du tau</v>
      </c>
      <c r="E291" s="17" t="s">
        <v>4401</v>
      </c>
      <c r="F291" s="17" t="s">
        <v>4402</v>
      </c>
      <c r="H291" s="18" t="str">
        <f t="shared" si="28"/>
        <v/>
      </c>
      <c r="I291" s="17" t="str">
        <f>if(H291="","", countif(Units!A:A,H291))</f>
        <v/>
      </c>
      <c r="J291" s="18" t="s">
        <v>1191</v>
      </c>
      <c r="K291" s="28">
        <f>countif(Quantities!A:A,J291)</f>
        <v>1</v>
      </c>
      <c r="L291" s="30" t="b">
        <f t="shared" si="4"/>
        <v>1</v>
      </c>
      <c r="M291" s="17" t="s">
        <v>1191</v>
      </c>
      <c r="N291" s="34" t="str">
        <f t="shared" si="5"/>
        <v>qudt</v>
      </c>
      <c r="O291" s="18" t="b">
        <f t="shared" si="6"/>
        <v>1</v>
      </c>
      <c r="P291" s="39"/>
      <c r="Q291" s="39"/>
      <c r="R291" s="39" t="str">
        <f t="shared" si="7"/>
        <v/>
      </c>
      <c r="S291" s="43">
        <f t="shared" si="8"/>
        <v>7</v>
      </c>
      <c r="T291" s="21">
        <f>countif('v2022'!E:E,A291)</f>
        <v>1</v>
      </c>
      <c r="U291" s="21">
        <f>countif('v2018'!E:E,A291)</f>
        <v>1</v>
      </c>
      <c r="V291" s="21">
        <f>countif('v2014'!E:E,A291)</f>
        <v>1</v>
      </c>
      <c r="W291" s="21">
        <f>countif('v2010'!E:E,A291)</f>
        <v>1</v>
      </c>
      <c r="X291" s="21">
        <f>countif('v2006'!E:E,A291)</f>
        <v>1</v>
      </c>
      <c r="Y291" s="21">
        <f>countif('v2002'!E:E,A291)</f>
        <v>1</v>
      </c>
      <c r="Z291" s="21">
        <f>countif('v1998'!E:E,A291)</f>
        <v>1</v>
      </c>
    </row>
    <row r="292">
      <c r="A292" s="17" t="s">
        <v>4372</v>
      </c>
      <c r="B292" s="18" t="s">
        <v>1194</v>
      </c>
      <c r="C292" s="21" t="str">
        <f t="shared" si="32"/>
        <v>Quantum Of Circulation</v>
      </c>
      <c r="D292" s="21" t="str">
        <f t="shared" si="10"/>
        <v>Quantum de circulation</v>
      </c>
      <c r="E292" s="17" t="s">
        <v>2719</v>
      </c>
      <c r="F292" s="17" t="s">
        <v>4411</v>
      </c>
      <c r="G292" s="18" t="s">
        <v>2721</v>
      </c>
      <c r="H292" s="18" t="str">
        <f t="shared" si="28"/>
        <v>m2_s-1</v>
      </c>
      <c r="I292" s="17">
        <f>if(H292="","", countif(Units!A:A,H292))</f>
        <v>1</v>
      </c>
      <c r="J292" s="18" t="s">
        <v>1194</v>
      </c>
      <c r="K292" s="28">
        <f>countif(Quantities!A:A,J292)</f>
        <v>1</v>
      </c>
      <c r="L292" s="30" t="b">
        <f t="shared" si="4"/>
        <v>1</v>
      </c>
      <c r="M292" s="17" t="s">
        <v>1194</v>
      </c>
      <c r="N292" s="34" t="str">
        <f t="shared" si="5"/>
        <v>qudt</v>
      </c>
      <c r="O292" s="18" t="b">
        <f t="shared" si="6"/>
        <v>1</v>
      </c>
      <c r="P292" s="39"/>
      <c r="Q292" s="39"/>
      <c r="R292" s="39" t="str">
        <f t="shared" si="7"/>
        <v/>
      </c>
      <c r="S292" s="43">
        <f t="shared" si="8"/>
        <v>7</v>
      </c>
      <c r="T292" s="21">
        <f>countif('v2022'!E:E,A292)</f>
        <v>1</v>
      </c>
      <c r="U292" s="21">
        <f>countif('v2018'!E:E,A292)</f>
        <v>1</v>
      </c>
      <c r="V292" s="21">
        <f>countif('v2014'!E:E,A292)</f>
        <v>1</v>
      </c>
      <c r="W292" s="21">
        <f>countif('v2010'!E:E,A292)</f>
        <v>1</v>
      </c>
      <c r="X292" s="21">
        <f>countif('v2006'!E:E,A292)</f>
        <v>1</v>
      </c>
      <c r="Y292" s="21">
        <f>countif('v2002'!E:E,A292)</f>
        <v>1</v>
      </c>
      <c r="Z292" s="21">
        <f>countif('v1998'!E:E,A292)</f>
        <v>1</v>
      </c>
    </row>
    <row r="293">
      <c r="A293" s="17" t="s">
        <v>4381</v>
      </c>
      <c r="B293" s="18" t="s">
        <v>1197</v>
      </c>
      <c r="C293" s="21" t="str">
        <f t="shared" si="32"/>
        <v>Quantum Of Circulation Times 2</v>
      </c>
      <c r="D293" s="21" t="str">
        <f t="shared" si="10"/>
        <v>Quantum de circulation multiplié par deux</v>
      </c>
      <c r="E293" s="17" t="s">
        <v>2727</v>
      </c>
      <c r="F293" s="17" t="s">
        <v>4419</v>
      </c>
      <c r="G293" s="18" t="s">
        <v>2721</v>
      </c>
      <c r="H293" s="18" t="str">
        <f t="shared" si="28"/>
        <v>m2_s-1</v>
      </c>
      <c r="I293" s="17">
        <f>if(H293="","", countif(Units!A:A,H293))</f>
        <v>1</v>
      </c>
      <c r="J293" s="18" t="s">
        <v>1197</v>
      </c>
      <c r="K293" s="28">
        <f>countif(Quantities!A:A,J293)</f>
        <v>1</v>
      </c>
      <c r="L293" s="30" t="b">
        <f t="shared" si="4"/>
        <v>1</v>
      </c>
      <c r="M293" s="17" t="s">
        <v>1197</v>
      </c>
      <c r="N293" s="34" t="str">
        <f t="shared" si="5"/>
        <v>qudt</v>
      </c>
      <c r="O293" s="18" t="b">
        <f t="shared" si="6"/>
        <v>1</v>
      </c>
      <c r="P293" s="39"/>
      <c r="Q293" s="39"/>
      <c r="R293" s="39" t="str">
        <f t="shared" si="7"/>
        <v/>
      </c>
      <c r="S293" s="43">
        <f t="shared" si="8"/>
        <v>7</v>
      </c>
      <c r="T293" s="21">
        <f>countif('v2022'!E:E,A293)</f>
        <v>1</v>
      </c>
      <c r="U293" s="21">
        <f>countif('v2018'!E:E,A293)</f>
        <v>1</v>
      </c>
      <c r="V293" s="21">
        <f>countif('v2014'!E:E,A293)</f>
        <v>1</v>
      </c>
      <c r="W293" s="21">
        <f>countif('v2010'!E:E,A293)</f>
        <v>1</v>
      </c>
      <c r="X293" s="21">
        <f>countif('v2006'!E:E,A293)</f>
        <v>1</v>
      </c>
      <c r="Y293" s="21">
        <f>countif('v2002'!E:E,A293)</f>
        <v>1</v>
      </c>
      <c r="Z293" s="21">
        <f>countif('v1998'!E:E,A293)</f>
        <v>1</v>
      </c>
    </row>
    <row r="294">
      <c r="A294" s="80" t="s">
        <v>1712</v>
      </c>
      <c r="B294" s="17" t="s">
        <v>1200</v>
      </c>
      <c r="C294" s="21" t="str">
        <f t="shared" si="32"/>
        <v>Reduced Compton Wavelength</v>
      </c>
      <c r="D294" s="21" t="str">
        <f t="shared" si="10"/>
        <v>Longueur d'onde de Compton réduite</v>
      </c>
      <c r="E294" s="17" t="s">
        <v>2732</v>
      </c>
      <c r="F294" s="17" t="s">
        <v>4428</v>
      </c>
      <c r="G294" s="18" t="s">
        <v>381</v>
      </c>
      <c r="H294" s="18" t="str">
        <f t="shared" si="28"/>
        <v>m</v>
      </c>
      <c r="I294" s="17">
        <f>if(H294="","", countif(Units!A:A,H294))</f>
        <v>1</v>
      </c>
      <c r="J294" s="18" t="s">
        <v>1200</v>
      </c>
      <c r="K294" s="28">
        <f>countif(Quantities!A:A,J294)</f>
        <v>1</v>
      </c>
      <c r="L294" s="30" t="b">
        <f t="shared" si="4"/>
        <v>1</v>
      </c>
      <c r="M294" s="17" t="s">
        <v>4429</v>
      </c>
      <c r="N294" s="34" t="str">
        <f t="shared" si="5"/>
        <v>qudt</v>
      </c>
      <c r="O294" s="18" t="b">
        <f t="shared" si="6"/>
        <v>1</v>
      </c>
      <c r="P294" s="39"/>
      <c r="Q294" s="39"/>
      <c r="R294" s="39" t="str">
        <f t="shared" si="7"/>
        <v/>
      </c>
      <c r="S294" s="43">
        <f t="shared" si="8"/>
        <v>7</v>
      </c>
      <c r="T294" s="21">
        <f>countif('v2022'!E:E,A294)</f>
        <v>1</v>
      </c>
      <c r="U294" s="21">
        <f>countif('v2018'!E:E,A294)</f>
        <v>1</v>
      </c>
      <c r="V294" s="21">
        <f>countif('v2014'!E:E,A294)</f>
        <v>1</v>
      </c>
      <c r="W294" s="21">
        <f>countif('v2010'!E:E,A294)</f>
        <v>1</v>
      </c>
      <c r="X294" s="21">
        <f>countif('v2006'!E:E,A294)</f>
        <v>1</v>
      </c>
      <c r="Y294" s="21">
        <f>countif('v2002'!E:E,A294)</f>
        <v>1</v>
      </c>
      <c r="Z294" s="21">
        <f>countif('v1998'!E:E,A294)</f>
        <v>1</v>
      </c>
    </row>
    <row r="295">
      <c r="A295" s="17" t="s">
        <v>4023</v>
      </c>
      <c r="B295" s="18" t="s">
        <v>1212</v>
      </c>
      <c r="C295" s="21" t="str">
        <f t="shared" si="32"/>
        <v>Reduced Planck Constant</v>
      </c>
      <c r="D295" s="21" t="str">
        <f t="shared" si="10"/>
        <v>Constante de Planck réduite</v>
      </c>
      <c r="E295" s="17" t="s">
        <v>2746</v>
      </c>
      <c r="F295" s="17" t="s">
        <v>4439</v>
      </c>
      <c r="G295" s="18" t="s">
        <v>714</v>
      </c>
      <c r="H295" s="18" t="str">
        <f t="shared" si="28"/>
        <v>J_s</v>
      </c>
      <c r="I295" s="17">
        <f>if(H295="","", countif(Units!A:A,H295))</f>
        <v>1</v>
      </c>
      <c r="J295" s="18" t="s">
        <v>1212</v>
      </c>
      <c r="K295" s="28">
        <f>countif(Quantities!A:A,J295)</f>
        <v>1</v>
      </c>
      <c r="L295" s="30" t="b">
        <f t="shared" si="4"/>
        <v>1</v>
      </c>
      <c r="M295" s="17" t="s">
        <v>4441</v>
      </c>
      <c r="N295" s="34" t="str">
        <f t="shared" si="5"/>
        <v>qudt</v>
      </c>
      <c r="O295" s="18" t="b">
        <f t="shared" si="6"/>
        <v>1</v>
      </c>
      <c r="P295" s="39" t="s">
        <v>4444</v>
      </c>
      <c r="Q295" s="39"/>
      <c r="R295" s="39" t="str">
        <f t="shared" si="7"/>
        <v/>
      </c>
      <c r="S295" s="43">
        <f t="shared" si="8"/>
        <v>7</v>
      </c>
      <c r="T295" s="21">
        <f>countif('v2022'!E:E,A295)</f>
        <v>1</v>
      </c>
      <c r="U295" s="21">
        <f>countif('v2018'!E:E,A295)</f>
        <v>1</v>
      </c>
      <c r="V295" s="21">
        <f>countif('v2014'!E:E,A295)</f>
        <v>1</v>
      </c>
      <c r="W295" s="21">
        <f>countif('v2010'!E:E,A295)</f>
        <v>1</v>
      </c>
      <c r="X295" s="21">
        <f>countif('v2006'!E:E,A295)</f>
        <v>1</v>
      </c>
      <c r="Y295" s="21">
        <f>countif('v2002'!E:E,A295)</f>
        <v>1</v>
      </c>
      <c r="Z295" s="21">
        <f>countif('v1998'!E:E,A295)</f>
        <v>1</v>
      </c>
    </row>
    <row r="296">
      <c r="A296" s="17" t="s">
        <v>4031</v>
      </c>
      <c r="B296" s="17" t="s">
        <v>4454</v>
      </c>
      <c r="C296" s="17" t="s">
        <v>4455</v>
      </c>
      <c r="D296" s="21" t="str">
        <f t="shared" si="10"/>
        <v>Constante de Planck réduite</v>
      </c>
      <c r="E296" s="17" t="s">
        <v>2749</v>
      </c>
      <c r="F296" s="17" t="s">
        <v>4439</v>
      </c>
      <c r="G296" s="18" t="s">
        <v>2402</v>
      </c>
      <c r="H296" s="18" t="str">
        <f t="shared" si="28"/>
        <v>eV_s</v>
      </c>
      <c r="I296" s="17">
        <f>if(H296="","", countif(Units!A:A,H296))</f>
        <v>1</v>
      </c>
      <c r="J296" s="17" t="s">
        <v>1212</v>
      </c>
      <c r="K296" s="28">
        <f>countif(Quantities!A:A,J296)</f>
        <v>1</v>
      </c>
      <c r="L296" s="30" t="b">
        <f t="shared" si="4"/>
        <v>0</v>
      </c>
      <c r="M296" s="17" t="s">
        <v>4457</v>
      </c>
      <c r="N296" s="34" t="str">
        <f t="shared" si="5"/>
        <v>qudt</v>
      </c>
      <c r="O296" s="18" t="b">
        <f t="shared" si="6"/>
        <v>1</v>
      </c>
      <c r="P296" s="39"/>
      <c r="Q296" s="39"/>
      <c r="R296" s="39" t="str">
        <f t="shared" si="7"/>
        <v/>
      </c>
      <c r="S296" s="43">
        <f t="shared" si="8"/>
        <v>7</v>
      </c>
      <c r="T296" s="21">
        <f>countif('v2022'!E:E,A296)</f>
        <v>1</v>
      </c>
      <c r="U296" s="21">
        <f>countif('v2018'!E:E,A296)</f>
        <v>1</v>
      </c>
      <c r="V296" s="21">
        <f>countif('v2014'!E:E,A296)</f>
        <v>1</v>
      </c>
      <c r="W296" s="21">
        <f>countif('v2010'!E:E,A296)</f>
        <v>1</v>
      </c>
      <c r="X296" s="21">
        <f>countif('v2006'!E:E,A296)</f>
        <v>1</v>
      </c>
      <c r="Y296" s="21">
        <f>countif('v2002'!E:E,A296)</f>
        <v>1</v>
      </c>
      <c r="Z296" s="21">
        <f>countif('v1998'!E:E,A296)</f>
        <v>1</v>
      </c>
    </row>
    <row r="297">
      <c r="A297" s="17" t="s">
        <v>4042</v>
      </c>
      <c r="B297" s="17" t="s">
        <v>4464</v>
      </c>
      <c r="C297" s="17" t="s">
        <v>4466</v>
      </c>
      <c r="D297" s="21" t="str">
        <f t="shared" si="10"/>
        <v>Produit de la constante de Planck réduite par la vitesse de la lumière dans le vide</v>
      </c>
      <c r="E297" s="17" t="s">
        <v>2752</v>
      </c>
      <c r="F297" s="17" t="s">
        <v>4467</v>
      </c>
      <c r="G297" s="18" t="s">
        <v>2754</v>
      </c>
      <c r="H297" s="18" t="str">
        <f t="shared" si="28"/>
        <v>MeV_fm</v>
      </c>
      <c r="I297" s="17">
        <f>if(H297="","", countif(Units!A:A,H297))</f>
        <v>1</v>
      </c>
      <c r="J297" s="17" t="s">
        <v>1212</v>
      </c>
      <c r="K297" s="28">
        <f>countif(Quantities!A:A,J297)</f>
        <v>1</v>
      </c>
      <c r="L297" s="30" t="b">
        <f t="shared" si="4"/>
        <v>0</v>
      </c>
      <c r="M297" s="17" t="s">
        <v>4472</v>
      </c>
      <c r="N297" s="34" t="str">
        <f t="shared" si="5"/>
        <v>qudt</v>
      </c>
      <c r="O297" s="18" t="b">
        <f t="shared" si="6"/>
        <v>1</v>
      </c>
      <c r="P297" s="81"/>
      <c r="Q297" s="81"/>
      <c r="R297" s="39" t="str">
        <f t="shared" si="7"/>
        <v/>
      </c>
      <c r="S297" s="43">
        <f t="shared" si="8"/>
        <v>6</v>
      </c>
      <c r="T297" s="21">
        <f>countif('v2022'!E:E,A297)</f>
        <v>1</v>
      </c>
      <c r="U297" s="21">
        <f>countif('v2018'!E:E,A297)</f>
        <v>1</v>
      </c>
      <c r="V297" s="21">
        <f>countif('v2014'!E:E,A297)</f>
        <v>1</v>
      </c>
      <c r="W297" s="21">
        <f>countif('v2010'!E:E,A297)</f>
        <v>1</v>
      </c>
      <c r="X297" s="21">
        <f>countif('v2006'!E:E,A297)</f>
        <v>1</v>
      </c>
      <c r="Y297" s="21">
        <f>countif('v2002'!E:E,A297)</f>
        <v>1</v>
      </c>
      <c r="Z297" s="21">
        <f>countif('v1998'!E:E,A297)</f>
        <v>0</v>
      </c>
    </row>
    <row r="298">
      <c r="A298" s="17" t="s">
        <v>4104</v>
      </c>
      <c r="B298" s="18" t="s">
        <v>1215</v>
      </c>
      <c r="C298" s="21" t="str">
        <f t="shared" ref="C298:C301" si="33">proper(E298)</f>
        <v>Reduced Proton Compton Wavelength</v>
      </c>
      <c r="D298" s="21" t="str">
        <f t="shared" si="10"/>
        <v>Longueur d'onde de Compton réduite du proton</v>
      </c>
      <c r="E298" s="17" t="s">
        <v>2757</v>
      </c>
      <c r="F298" s="17" t="s">
        <v>4482</v>
      </c>
      <c r="G298" s="18" t="s">
        <v>381</v>
      </c>
      <c r="H298" s="18" t="str">
        <f t="shared" si="28"/>
        <v>m</v>
      </c>
      <c r="I298" s="17">
        <f>if(H298="","", countif(Units!A:A,H298))</f>
        <v>1</v>
      </c>
      <c r="J298" s="18" t="s">
        <v>1215</v>
      </c>
      <c r="K298" s="28">
        <f>countif(Quantities!A:A,J298)</f>
        <v>1</v>
      </c>
      <c r="L298" s="30" t="b">
        <f t="shared" si="4"/>
        <v>1</v>
      </c>
      <c r="M298" s="17" t="s">
        <v>4488</v>
      </c>
      <c r="N298" s="34" t="str">
        <f t="shared" si="5"/>
        <v>qudt</v>
      </c>
      <c r="O298" s="18" t="b">
        <f t="shared" si="6"/>
        <v>1</v>
      </c>
      <c r="P298" s="39"/>
      <c r="Q298" s="39"/>
      <c r="R298" s="39" t="str">
        <f t="shared" si="7"/>
        <v/>
      </c>
      <c r="S298" s="43">
        <f t="shared" si="8"/>
        <v>7</v>
      </c>
      <c r="T298" s="21">
        <f>countif('v2022'!E:E,A298)</f>
        <v>1</v>
      </c>
      <c r="U298" s="21">
        <f>countif('v2018'!E:E,A298)</f>
        <v>1</v>
      </c>
      <c r="V298" s="21">
        <f>countif('v2014'!E:E,A298)</f>
        <v>1</v>
      </c>
      <c r="W298" s="21">
        <f>countif('v2010'!E:E,A298)</f>
        <v>1</v>
      </c>
      <c r="X298" s="21">
        <f>countif('v2006'!E:E,A298)</f>
        <v>1</v>
      </c>
      <c r="Y298" s="21">
        <f>countif('v2002'!E:E,A298)</f>
        <v>1</v>
      </c>
      <c r="Z298" s="21">
        <f>countif('v1998'!E:E,A298)</f>
        <v>1</v>
      </c>
    </row>
    <row r="299">
      <c r="A299" s="17" t="s">
        <v>3675</v>
      </c>
      <c r="B299" s="18" t="s">
        <v>1209</v>
      </c>
      <c r="C299" s="21" t="str">
        <f t="shared" si="33"/>
        <v>Reduced Neutron Compton Wavelength</v>
      </c>
      <c r="D299" s="21" t="str">
        <f t="shared" si="10"/>
        <v>Longueur d'onde de Compton réduite du neutron</v>
      </c>
      <c r="E299" s="17" t="s">
        <v>2741</v>
      </c>
      <c r="F299" s="17" t="s">
        <v>4522</v>
      </c>
      <c r="G299" s="18" t="s">
        <v>381</v>
      </c>
      <c r="H299" s="18" t="str">
        <f t="shared" si="28"/>
        <v>m</v>
      </c>
      <c r="I299" s="17">
        <f>if(H299="","", countif(Units!A:A,H299))</f>
        <v>1</v>
      </c>
      <c r="J299" s="18" t="s">
        <v>1209</v>
      </c>
      <c r="K299" s="28">
        <f>countif(Quantities!A:A,J299)</f>
        <v>1</v>
      </c>
      <c r="L299" s="30" t="b">
        <f t="shared" si="4"/>
        <v>1</v>
      </c>
      <c r="M299" s="17" t="s">
        <v>4526</v>
      </c>
      <c r="N299" s="34" t="str">
        <f t="shared" si="5"/>
        <v>qudt</v>
      </c>
      <c r="O299" s="18" t="b">
        <f t="shared" si="6"/>
        <v>1</v>
      </c>
      <c r="P299" s="39"/>
      <c r="Q299" s="39"/>
      <c r="R299" s="39" t="str">
        <f t="shared" si="7"/>
        <v/>
      </c>
      <c r="S299" s="43">
        <f t="shared" si="8"/>
        <v>7</v>
      </c>
      <c r="T299" s="21">
        <f>countif('v2022'!E:E,A299)</f>
        <v>1</v>
      </c>
      <c r="U299" s="21">
        <f>countif('v2018'!E:E,A299)</f>
        <v>1</v>
      </c>
      <c r="V299" s="21">
        <f>countif('v2014'!E:E,A299)</f>
        <v>1</v>
      </c>
      <c r="W299" s="21">
        <f>countif('v2010'!E:E,A299)</f>
        <v>1</v>
      </c>
      <c r="X299" s="21">
        <f>countif('v2006'!E:E,A299)</f>
        <v>1</v>
      </c>
      <c r="Y299" s="21">
        <f>countif('v2002'!E:E,A299)</f>
        <v>1</v>
      </c>
      <c r="Z299" s="21">
        <f>countif('v1998'!E:E,A299)</f>
        <v>1</v>
      </c>
    </row>
    <row r="300">
      <c r="A300" s="17" t="s">
        <v>4433</v>
      </c>
      <c r="B300" s="18" t="s">
        <v>1220</v>
      </c>
      <c r="C300" s="21" t="str">
        <f t="shared" si="33"/>
        <v>Rydberg Constant</v>
      </c>
      <c r="D300" s="21" t="str">
        <f t="shared" si="10"/>
        <v>Constante de Rydberg</v>
      </c>
      <c r="E300" s="17" t="s">
        <v>2769</v>
      </c>
      <c r="F300" s="17" t="s">
        <v>4531</v>
      </c>
      <c r="G300" s="18" t="s">
        <v>561</v>
      </c>
      <c r="H300" s="18" t="str">
        <f t="shared" si="28"/>
        <v>m-1</v>
      </c>
      <c r="I300" s="17">
        <f>if(H300="","", countif(Units!A:A,H300))</f>
        <v>1</v>
      </c>
      <c r="J300" s="18" t="s">
        <v>1220</v>
      </c>
      <c r="K300" s="28">
        <f>countif(Quantities!A:A,J300)</f>
        <v>1</v>
      </c>
      <c r="L300" s="30" t="b">
        <f t="shared" si="4"/>
        <v>1</v>
      </c>
      <c r="M300" s="17" t="s">
        <v>1220</v>
      </c>
      <c r="N300" s="34" t="str">
        <f t="shared" si="5"/>
        <v>qudt</v>
      </c>
      <c r="O300" s="18" t="b">
        <f t="shared" si="6"/>
        <v>1</v>
      </c>
      <c r="P300" s="39"/>
      <c r="Q300" s="39"/>
      <c r="R300" s="39" t="str">
        <f t="shared" si="7"/>
        <v/>
      </c>
      <c r="S300" s="43">
        <f t="shared" si="8"/>
        <v>7</v>
      </c>
      <c r="T300" s="21">
        <f>countif('v2022'!E:E,A300)</f>
        <v>1</v>
      </c>
      <c r="U300" s="21">
        <f>countif('v2018'!E:E,A300)</f>
        <v>1</v>
      </c>
      <c r="V300" s="21">
        <f>countif('v2014'!E:E,A300)</f>
        <v>1</v>
      </c>
      <c r="W300" s="21">
        <f>countif('v2010'!E:E,A300)</f>
        <v>1</v>
      </c>
      <c r="X300" s="21">
        <f>countif('v2006'!E:E,A300)</f>
        <v>1</v>
      </c>
      <c r="Y300" s="21">
        <f>countif('v2002'!E:E,A300)</f>
        <v>1</v>
      </c>
      <c r="Z300" s="21">
        <f>countif('v1998'!E:E,A300)</f>
        <v>1</v>
      </c>
    </row>
    <row r="301">
      <c r="A301" s="17" t="s">
        <v>4440</v>
      </c>
      <c r="B301" s="18" t="s">
        <v>4537</v>
      </c>
      <c r="C301" s="21" t="str">
        <f t="shared" si="33"/>
        <v>Rydberg Constant Times C In Hz</v>
      </c>
      <c r="D301" s="21" t="str">
        <f t="shared" si="10"/>
        <v>Produit de la constante de Rydberg par la vitesse de la lumière dans le vide en Hz</v>
      </c>
      <c r="E301" s="17" t="s">
        <v>2774</v>
      </c>
      <c r="F301" s="17" t="s">
        <v>4538</v>
      </c>
      <c r="G301" s="18" t="s">
        <v>257</v>
      </c>
      <c r="H301" s="18" t="str">
        <f t="shared" si="28"/>
        <v>Hz</v>
      </c>
      <c r="I301" s="17">
        <f>if(H301="","", countif(Units!A:A,H301))</f>
        <v>1</v>
      </c>
      <c r="J301" s="17" t="s">
        <v>1220</v>
      </c>
      <c r="K301" s="28">
        <f>countif(Quantities!A:A,J301)</f>
        <v>1</v>
      </c>
      <c r="L301" s="30" t="b">
        <f t="shared" si="4"/>
        <v>0</v>
      </c>
      <c r="M301" s="17" t="s">
        <v>4537</v>
      </c>
      <c r="N301" s="34" t="str">
        <f t="shared" si="5"/>
        <v>qudt</v>
      </c>
      <c r="O301" s="18" t="b">
        <f t="shared" si="6"/>
        <v>1</v>
      </c>
      <c r="P301" s="39"/>
      <c r="Q301" s="39"/>
      <c r="R301" s="39" t="str">
        <f t="shared" si="7"/>
        <v/>
      </c>
      <c r="S301" s="43">
        <f t="shared" si="8"/>
        <v>7</v>
      </c>
      <c r="T301" s="21">
        <f>countif('v2022'!E:E,A301)</f>
        <v>1</v>
      </c>
      <c r="U301" s="21">
        <f>countif('v2018'!E:E,A301)</f>
        <v>1</v>
      </c>
      <c r="V301" s="21">
        <f>countif('v2014'!E:E,A301)</f>
        <v>1</v>
      </c>
      <c r="W301" s="21">
        <f>countif('v2010'!E:E,A301)</f>
        <v>1</v>
      </c>
      <c r="X301" s="21">
        <f>countif('v2006'!E:E,A301)</f>
        <v>1</v>
      </c>
      <c r="Y301" s="21">
        <f>countif('v2002'!E:E,A301)</f>
        <v>1</v>
      </c>
      <c r="Z301" s="21">
        <f>countif('v1998'!E:E,A301)</f>
        <v>1</v>
      </c>
    </row>
    <row r="302">
      <c r="A302" s="17" t="s">
        <v>4450</v>
      </c>
      <c r="B302" s="18" t="s">
        <v>4543</v>
      </c>
      <c r="C302" s="17" t="s">
        <v>4544</v>
      </c>
      <c r="D302" s="21" t="str">
        <f t="shared" si="10"/>
        <v>Produit de la constante de Rydberg par la constante de Planck et par la vitesse de la lumière dans le vide en eV</v>
      </c>
      <c r="E302" s="17" t="s">
        <v>2780</v>
      </c>
      <c r="F302" s="17" t="s">
        <v>4545</v>
      </c>
      <c r="G302" s="18" t="s">
        <v>181</v>
      </c>
      <c r="H302" s="18" t="str">
        <f t="shared" si="28"/>
        <v>eV</v>
      </c>
      <c r="I302" s="17">
        <f>if(H302="","", countif(Units!A:A,H302))</f>
        <v>1</v>
      </c>
      <c r="J302" s="17" t="s">
        <v>1220</v>
      </c>
      <c r="K302" s="28">
        <f>countif(Quantities!A:A,J302)</f>
        <v>1</v>
      </c>
      <c r="L302" s="30" t="b">
        <f t="shared" si="4"/>
        <v>0</v>
      </c>
      <c r="M302" s="17" t="s">
        <v>4543</v>
      </c>
      <c r="N302" s="34" t="str">
        <f t="shared" si="5"/>
        <v>qudt</v>
      </c>
      <c r="O302" s="18" t="b">
        <f t="shared" si="6"/>
        <v>1</v>
      </c>
      <c r="P302" s="39"/>
      <c r="Q302" s="39"/>
      <c r="R302" s="39" t="str">
        <f t="shared" si="7"/>
        <v/>
      </c>
      <c r="S302" s="43">
        <f t="shared" si="8"/>
        <v>7</v>
      </c>
      <c r="T302" s="21">
        <f>countif('v2022'!E:E,A302)</f>
        <v>1</v>
      </c>
      <c r="U302" s="21">
        <f>countif('v2018'!E:E,A302)</f>
        <v>1</v>
      </c>
      <c r="V302" s="21">
        <f>countif('v2014'!E:E,A302)</f>
        <v>1</v>
      </c>
      <c r="W302" s="21">
        <f>countif('v2010'!E:E,A302)</f>
        <v>1</v>
      </c>
      <c r="X302" s="21">
        <f>countif('v2006'!E:E,A302)</f>
        <v>1</v>
      </c>
      <c r="Y302" s="21">
        <f>countif('v2002'!E:E,A302)</f>
        <v>1</v>
      </c>
      <c r="Z302" s="21">
        <f>countif('v1998'!E:E,A302)</f>
        <v>1</v>
      </c>
    </row>
    <row r="303">
      <c r="A303" s="17" t="s">
        <v>4456</v>
      </c>
      <c r="B303" s="18" t="s">
        <v>4551</v>
      </c>
      <c r="C303" s="21" t="str">
        <f>proper(E303)</f>
        <v>Rydberg Constant Times Hc In J</v>
      </c>
      <c r="D303" s="21" t="str">
        <f t="shared" si="10"/>
        <v>Produit de la constante de Rydberg par la constante de Planck et par la vitesse de la lumière dans le vide en J</v>
      </c>
      <c r="E303" s="17" t="s">
        <v>2784</v>
      </c>
      <c r="F303" s="17" t="s">
        <v>4553</v>
      </c>
      <c r="G303" s="18" t="s">
        <v>173</v>
      </c>
      <c r="H303" s="18" t="str">
        <f t="shared" si="28"/>
        <v>J</v>
      </c>
      <c r="I303" s="17">
        <f>if(H303="","", countif(Units!A:A,H303))</f>
        <v>1</v>
      </c>
      <c r="J303" s="17" t="s">
        <v>1220</v>
      </c>
      <c r="K303" s="28">
        <f>countif(Quantities!A:A,J303)</f>
        <v>1</v>
      </c>
      <c r="L303" s="30" t="b">
        <f t="shared" si="4"/>
        <v>0</v>
      </c>
      <c r="M303" s="17" t="s">
        <v>4551</v>
      </c>
      <c r="N303" s="34" t="str">
        <f t="shared" si="5"/>
        <v>qudt</v>
      </c>
      <c r="O303" s="18" t="b">
        <f t="shared" si="6"/>
        <v>1</v>
      </c>
      <c r="P303" s="39"/>
      <c r="Q303" s="39"/>
      <c r="R303" s="39" t="str">
        <f t="shared" si="7"/>
        <v/>
      </c>
      <c r="S303" s="43">
        <f t="shared" si="8"/>
        <v>7</v>
      </c>
      <c r="T303" s="21">
        <f>countif('v2022'!E:E,A303)</f>
        <v>1</v>
      </c>
      <c r="U303" s="21">
        <f>countif('v2018'!E:E,A303)</f>
        <v>1</v>
      </c>
      <c r="V303" s="21">
        <f>countif('v2014'!E:E,A303)</f>
        <v>1</v>
      </c>
      <c r="W303" s="21">
        <f>countif('v2010'!E:E,A303)</f>
        <v>1</v>
      </c>
      <c r="X303" s="21">
        <f>countif('v2006'!E:E,A303)</f>
        <v>1</v>
      </c>
      <c r="Y303" s="21">
        <f>countif('v2002'!E:E,A303)</f>
        <v>1</v>
      </c>
      <c r="Z303" s="21">
        <f>countif('v1998'!E:E,A303)</f>
        <v>1</v>
      </c>
    </row>
    <row r="304">
      <c r="A304" s="17" t="s">
        <v>4465</v>
      </c>
      <c r="B304" s="17" t="s">
        <v>1228</v>
      </c>
      <c r="C304" s="17" t="s">
        <v>1229</v>
      </c>
      <c r="D304" s="21" t="str">
        <f t="shared" si="10"/>
        <v>Constante de Sackur-Tetrode  (1 K, 100 kPa)</v>
      </c>
      <c r="E304" s="17" t="s">
        <v>2788</v>
      </c>
      <c r="F304" s="17" t="s">
        <v>4560</v>
      </c>
      <c r="H304" s="18" t="str">
        <f t="shared" si="28"/>
        <v/>
      </c>
      <c r="I304" s="17" t="str">
        <f>if(H304="","", countif(Units!A:A,H304))</f>
        <v/>
      </c>
      <c r="J304" s="17" t="s">
        <v>1228</v>
      </c>
      <c r="K304" s="28">
        <f>countif(Quantities!A:A,J304)</f>
        <v>1</v>
      </c>
      <c r="L304" s="30" t="b">
        <f t="shared" si="4"/>
        <v>1</v>
      </c>
      <c r="M304" s="17" t="s">
        <v>4562</v>
      </c>
      <c r="N304" s="34" t="str">
        <f t="shared" si="5"/>
        <v>qudt</v>
      </c>
      <c r="O304" s="18" t="b">
        <f t="shared" si="6"/>
        <v>1</v>
      </c>
      <c r="P304" s="39"/>
      <c r="Q304" s="39"/>
      <c r="R304" s="39" t="str">
        <f t="shared" si="7"/>
        <v/>
      </c>
      <c r="S304" s="43">
        <f t="shared" si="8"/>
        <v>7</v>
      </c>
      <c r="T304" s="21">
        <f>countif('v2022'!E:E,A304)</f>
        <v>1</v>
      </c>
      <c r="U304" s="21">
        <f>countif('v2018'!E:E,A304)</f>
        <v>1</v>
      </c>
      <c r="V304" s="21">
        <f>countif('v2014'!E:E,A304)</f>
        <v>1</v>
      </c>
      <c r="W304" s="21">
        <f>countif('v2010'!E:E,A304)</f>
        <v>1</v>
      </c>
      <c r="X304" s="21">
        <f>countif('v2006'!E:E,A304)</f>
        <v>1</v>
      </c>
      <c r="Y304" s="21">
        <f>countif('v2002'!E:E,A304)</f>
        <v>1</v>
      </c>
      <c r="Z304" s="21">
        <f>countif('v1998'!E:E,A304)</f>
        <v>1</v>
      </c>
    </row>
    <row r="305">
      <c r="A305" s="17" t="s">
        <v>4477</v>
      </c>
      <c r="B305" s="17" t="s">
        <v>4583</v>
      </c>
      <c r="C305" s="17" t="s">
        <v>4584</v>
      </c>
      <c r="D305" s="21" t="str">
        <f t="shared" si="10"/>
        <v>Constante de Sackur-Tetrode (1 K, 101.325 kPa)</v>
      </c>
      <c r="E305" s="17" t="s">
        <v>2795</v>
      </c>
      <c r="F305" s="17" t="s">
        <v>4585</v>
      </c>
      <c r="H305" s="18" t="str">
        <f t="shared" si="28"/>
        <v/>
      </c>
      <c r="I305" s="17" t="str">
        <f>if(H305="","", countif(Units!A:A,H305))</f>
        <v/>
      </c>
      <c r="J305" s="17" t="s">
        <v>1228</v>
      </c>
      <c r="K305" s="28">
        <f>countif(Quantities!A:A,J305)</f>
        <v>1</v>
      </c>
      <c r="L305" s="30" t="b">
        <f t="shared" si="4"/>
        <v>0</v>
      </c>
      <c r="M305" s="17" t="s">
        <v>4592</v>
      </c>
      <c r="N305" s="34" t="str">
        <f t="shared" si="5"/>
        <v>qudt</v>
      </c>
      <c r="O305" s="18" t="b">
        <f>not(isblank(M306))</f>
        <v>1</v>
      </c>
      <c r="P305" s="23"/>
      <c r="Q305" s="23"/>
      <c r="R305" s="39" t="str">
        <f t="shared" si="7"/>
        <v/>
      </c>
      <c r="S305" s="43">
        <f t="shared" si="8"/>
        <v>7</v>
      </c>
      <c r="T305" s="21">
        <f>countif('v2022'!E:E,A305)</f>
        <v>1</v>
      </c>
      <c r="U305" s="21">
        <f>countif('v2018'!E:E,A305)</f>
        <v>1</v>
      </c>
      <c r="V305" s="21">
        <f>countif('v2014'!E:E,A305)</f>
        <v>1</v>
      </c>
      <c r="W305" s="21">
        <f>countif('v2010'!E:E,A305)</f>
        <v>1</v>
      </c>
      <c r="X305" s="21">
        <f>countif('v2006'!E:E,A305)</f>
        <v>1</v>
      </c>
      <c r="Y305" s="21">
        <f>countif('v2002'!E:E,A305)</f>
        <v>1</v>
      </c>
      <c r="Z305" s="21">
        <f>countif('v1998'!E:E,A305)</f>
        <v>1</v>
      </c>
    </row>
    <row r="306">
      <c r="A306" s="17" t="s">
        <v>4497</v>
      </c>
      <c r="B306" s="18" t="s">
        <v>1231</v>
      </c>
      <c r="C306" s="21" t="str">
        <f t="shared" ref="C306:C314" si="34">proper(E306)</f>
        <v>Second Radiation Constant</v>
      </c>
      <c r="D306" s="21" t="str">
        <f t="shared" si="10"/>
        <v>Seconde constante radiative</v>
      </c>
      <c r="E306" s="17" t="s">
        <v>2799</v>
      </c>
      <c r="F306" s="17" t="s">
        <v>4603</v>
      </c>
      <c r="G306" s="18" t="s">
        <v>2800</v>
      </c>
      <c r="H306" s="18" t="str">
        <f t="shared" si="28"/>
        <v>m_K</v>
      </c>
      <c r="I306" s="17">
        <f>if(H306="","", countif(Units!A:A,H306))</f>
        <v>1</v>
      </c>
      <c r="J306" s="18" t="s">
        <v>1231</v>
      </c>
      <c r="K306" s="28">
        <f>countif(Quantities!A:A,J306)</f>
        <v>1</v>
      </c>
      <c r="L306" s="30" t="b">
        <f t="shared" si="4"/>
        <v>1</v>
      </c>
      <c r="M306" s="17" t="s">
        <v>1231</v>
      </c>
      <c r="N306" s="34" t="str">
        <f t="shared" si="5"/>
        <v>qudt</v>
      </c>
      <c r="O306" s="18" t="b">
        <f>not(isblank(#REF!))</f>
        <v>1</v>
      </c>
      <c r="P306" s="39"/>
      <c r="Q306" s="39"/>
      <c r="R306" s="39" t="str">
        <f t="shared" si="7"/>
        <v/>
      </c>
      <c r="S306" s="43">
        <f t="shared" si="8"/>
        <v>7</v>
      </c>
      <c r="T306" s="21">
        <f>countif('v2022'!E:E,A306)</f>
        <v>1</v>
      </c>
      <c r="U306" s="21">
        <f>countif('v2018'!E:E,A306)</f>
        <v>1</v>
      </c>
      <c r="V306" s="21">
        <f>countif('v2014'!E:E,A306)</f>
        <v>1</v>
      </c>
      <c r="W306" s="21">
        <f>countif('v2010'!E:E,A306)</f>
        <v>1</v>
      </c>
      <c r="X306" s="21">
        <f>countif('v2006'!E:E,A306)</f>
        <v>1</v>
      </c>
      <c r="Y306" s="21">
        <f>countif('v2002'!E:E,A306)</f>
        <v>1</v>
      </c>
      <c r="Z306" s="21">
        <f>countif('v1998'!E:E,A306)</f>
        <v>1</v>
      </c>
    </row>
    <row r="307">
      <c r="A307" s="17" t="s">
        <v>4500</v>
      </c>
      <c r="B307" s="18" t="s">
        <v>1234</v>
      </c>
      <c r="C307" s="21" t="str">
        <f t="shared" si="34"/>
        <v>Shielded Helion Gyromagnetic Ratio</v>
      </c>
      <c r="D307" s="21" t="str">
        <f t="shared" si="10"/>
        <v>Rapport gyromagnétique de l'hélion écranté</v>
      </c>
      <c r="E307" s="17" t="s">
        <v>4507</v>
      </c>
      <c r="F307" s="17" t="s">
        <v>4608</v>
      </c>
      <c r="G307" s="18" t="s">
        <v>1717</v>
      </c>
      <c r="H307" s="18" t="str">
        <f t="shared" si="28"/>
        <v>s-1_T-1</v>
      </c>
      <c r="I307" s="17">
        <f>if(H307="","", countif(Units!A:A,H307))</f>
        <v>1</v>
      </c>
      <c r="J307" s="18" t="s">
        <v>1234</v>
      </c>
      <c r="K307" s="28">
        <f>countif(Quantities!A:A,J307)</f>
        <v>1</v>
      </c>
      <c r="L307" s="30" t="b">
        <f t="shared" si="4"/>
        <v>1</v>
      </c>
      <c r="M307" s="17" t="s">
        <v>1234</v>
      </c>
      <c r="N307" s="34" t="str">
        <f t="shared" si="5"/>
        <v>qudt</v>
      </c>
      <c r="O307" s="18" t="b">
        <f t="shared" ref="O307:O360" si="35">not(isblank(M307))</f>
        <v>1</v>
      </c>
      <c r="P307" s="39"/>
      <c r="Q307" s="39"/>
      <c r="R307" s="39" t="str">
        <f t="shared" si="7"/>
        <v/>
      </c>
      <c r="S307" s="43">
        <f t="shared" si="8"/>
        <v>7</v>
      </c>
      <c r="T307" s="21">
        <f>countif('v2022'!E:E,A307)</f>
        <v>1</v>
      </c>
      <c r="U307" s="21">
        <f>countif('v2018'!E:E,A307)</f>
        <v>1</v>
      </c>
      <c r="V307" s="21">
        <f>countif('v2014'!E:E,A307)</f>
        <v>1</v>
      </c>
      <c r="W307" s="21">
        <f>countif('v2010'!E:E,A307)</f>
        <v>1</v>
      </c>
      <c r="X307" s="21">
        <f>countif('v2006'!E:E,A307)</f>
        <v>1</v>
      </c>
      <c r="Y307" s="21">
        <f>countif('v2002'!E:E,A307)</f>
        <v>1</v>
      </c>
      <c r="Z307" s="21">
        <f>countif('v1998'!E:E,A307)</f>
        <v>1</v>
      </c>
    </row>
    <row r="308">
      <c r="A308" s="17" t="s">
        <v>4512</v>
      </c>
      <c r="B308" s="18" t="s">
        <v>4614</v>
      </c>
      <c r="C308" s="21" t="str">
        <f t="shared" si="34"/>
        <v>Shielded Helion Gyromagnetic Ratio Over 2 Pi</v>
      </c>
      <c r="D308" s="21" t="str">
        <f t="shared" si="10"/>
        <v>Rapport gyromagnétique réduit de l'hélion écranté</v>
      </c>
      <c r="E308" s="17" t="s">
        <v>4524</v>
      </c>
      <c r="F308" s="17" t="s">
        <v>4616</v>
      </c>
      <c r="G308" s="18" t="s">
        <v>1733</v>
      </c>
      <c r="H308" s="18" t="str">
        <f t="shared" si="28"/>
        <v>MHz_T-1</v>
      </c>
      <c r="I308" s="17">
        <f>if(H308="","", countif(Units!A:A,H308))</f>
        <v>1</v>
      </c>
      <c r="J308" s="17" t="s">
        <v>1234</v>
      </c>
      <c r="K308" s="28">
        <f>countif(Quantities!A:A,J308)</f>
        <v>1</v>
      </c>
      <c r="L308" s="30" t="b">
        <f t="shared" si="4"/>
        <v>0</v>
      </c>
      <c r="M308" s="17" t="s">
        <v>4614</v>
      </c>
      <c r="N308" s="34" t="str">
        <f t="shared" si="5"/>
        <v>qudt</v>
      </c>
      <c r="O308" s="18" t="b">
        <f t="shared" si="35"/>
        <v>1</v>
      </c>
      <c r="P308" s="39"/>
      <c r="Q308" s="39"/>
      <c r="R308" s="39" t="str">
        <f t="shared" si="7"/>
        <v/>
      </c>
      <c r="S308" s="43">
        <f t="shared" si="8"/>
        <v>7</v>
      </c>
      <c r="T308" s="21">
        <f>countif('v2022'!E:E,A308)</f>
        <v>1</v>
      </c>
      <c r="U308" s="21">
        <f>countif('v2018'!E:E,A308)</f>
        <v>1</v>
      </c>
      <c r="V308" s="21">
        <f>countif('v2014'!E:E,A308)</f>
        <v>1</v>
      </c>
      <c r="W308" s="21">
        <f>countif('v2010'!E:E,A308)</f>
        <v>1</v>
      </c>
      <c r="X308" s="21">
        <f>countif('v2006'!E:E,A308)</f>
        <v>1</v>
      </c>
      <c r="Y308" s="21">
        <f>countif('v2002'!E:E,A308)</f>
        <v>1</v>
      </c>
      <c r="Z308" s="21">
        <f>countif('v1998'!E:E,A308)</f>
        <v>1</v>
      </c>
    </row>
    <row r="309">
      <c r="A309" s="17" t="s">
        <v>4529</v>
      </c>
      <c r="B309" s="18" t="s">
        <v>1236</v>
      </c>
      <c r="C309" s="21" t="str">
        <f t="shared" si="34"/>
        <v>Shielded Helion Magnetic Moment</v>
      </c>
      <c r="D309" s="21" t="str">
        <f t="shared" si="10"/>
        <v>Moment magnétique de l'hélion écranté</v>
      </c>
      <c r="E309" s="17" t="s">
        <v>4533</v>
      </c>
      <c r="F309" s="17" t="s">
        <v>4625</v>
      </c>
      <c r="G309" s="18" t="s">
        <v>964</v>
      </c>
      <c r="H309" s="18" t="str">
        <f t="shared" si="28"/>
        <v>J_T-1</v>
      </c>
      <c r="I309" s="17">
        <f>if(H309="","", countif(Units!A:A,H309))</f>
        <v>1</v>
      </c>
      <c r="J309" s="18" t="s">
        <v>1236</v>
      </c>
      <c r="K309" s="28">
        <f>countif(Quantities!A:A,J309)</f>
        <v>1</v>
      </c>
      <c r="L309" s="30" t="b">
        <f t="shared" si="4"/>
        <v>1</v>
      </c>
      <c r="M309" s="17" t="s">
        <v>1236</v>
      </c>
      <c r="N309" s="34" t="str">
        <f t="shared" si="5"/>
        <v>qudt</v>
      </c>
      <c r="O309" s="18" t="b">
        <f t="shared" si="35"/>
        <v>1</v>
      </c>
      <c r="P309" s="39"/>
      <c r="Q309" s="39"/>
      <c r="R309" s="39" t="str">
        <f t="shared" si="7"/>
        <v/>
      </c>
      <c r="S309" s="43">
        <f t="shared" si="8"/>
        <v>7</v>
      </c>
      <c r="T309" s="21">
        <f>countif('v2022'!E:E,A309)</f>
        <v>1</v>
      </c>
      <c r="U309" s="21">
        <f>countif('v2018'!E:E,A309)</f>
        <v>1</v>
      </c>
      <c r="V309" s="21">
        <f>countif('v2014'!E:E,A309)</f>
        <v>1</v>
      </c>
      <c r="W309" s="21">
        <f>countif('v2010'!E:E,A309)</f>
        <v>1</v>
      </c>
      <c r="X309" s="21">
        <f>countif('v2006'!E:E,A309)</f>
        <v>1</v>
      </c>
      <c r="Y309" s="21">
        <f>countif('v2002'!E:E,A309)</f>
        <v>1</v>
      </c>
      <c r="Z309" s="21">
        <f>countif('v1998'!E:E,A309)</f>
        <v>1</v>
      </c>
    </row>
    <row r="310">
      <c r="A310" s="17" t="s">
        <v>4541</v>
      </c>
      <c r="B310" s="18" t="s">
        <v>1243</v>
      </c>
      <c r="C310" s="21" t="str">
        <f t="shared" si="34"/>
        <v>Shielded Helion Magnetic Moment To Bohr Magneton Ratio</v>
      </c>
      <c r="D310" s="21" t="str">
        <f t="shared" si="10"/>
        <v>Rapport du moment magnétique de l'hélion écranté au magnéton de Bohr électronique</v>
      </c>
      <c r="E310" s="17" t="s">
        <v>4546</v>
      </c>
      <c r="F310" s="17" t="s">
        <v>4629</v>
      </c>
      <c r="H310" s="18" t="str">
        <f t="shared" si="28"/>
        <v/>
      </c>
      <c r="I310" s="17" t="str">
        <f>if(H310="","", countif(Units!A:A,H310))</f>
        <v/>
      </c>
      <c r="J310" s="18" t="s">
        <v>1243</v>
      </c>
      <c r="K310" s="28">
        <f>countif(Quantities!A:A,J310)</f>
        <v>1</v>
      </c>
      <c r="L310" s="30" t="b">
        <f t="shared" si="4"/>
        <v>1</v>
      </c>
      <c r="M310" s="17" t="s">
        <v>1243</v>
      </c>
      <c r="N310" s="34" t="str">
        <f t="shared" si="5"/>
        <v>qudt</v>
      </c>
      <c r="O310" s="18" t="b">
        <f t="shared" si="35"/>
        <v>1</v>
      </c>
      <c r="P310" s="39"/>
      <c r="Q310" s="39"/>
      <c r="R310" s="39" t="str">
        <f t="shared" si="7"/>
        <v/>
      </c>
      <c r="S310" s="43">
        <f t="shared" si="8"/>
        <v>7</v>
      </c>
      <c r="T310" s="21">
        <f>countif('v2022'!E:E,A310)</f>
        <v>1</v>
      </c>
      <c r="U310" s="21">
        <f>countif('v2018'!E:E,A310)</f>
        <v>1</v>
      </c>
      <c r="V310" s="21">
        <f>countif('v2014'!E:E,A310)</f>
        <v>1</v>
      </c>
      <c r="W310" s="21">
        <f>countif('v2010'!E:E,A310)</f>
        <v>1</v>
      </c>
      <c r="X310" s="21">
        <f>countif('v2006'!E:E,A310)</f>
        <v>1</v>
      </c>
      <c r="Y310" s="21">
        <f>countif('v2002'!E:E,A310)</f>
        <v>1</v>
      </c>
      <c r="Z310" s="21">
        <f>countif('v1998'!E:E,A310)</f>
        <v>1</v>
      </c>
    </row>
    <row r="311">
      <c r="A311" s="17" t="s">
        <v>4550</v>
      </c>
      <c r="B311" s="18" t="s">
        <v>1246</v>
      </c>
      <c r="C311" s="21" t="str">
        <f t="shared" si="34"/>
        <v>Shielded Helion Magnetic Moment To Nuclear Magneton Ratio</v>
      </c>
      <c r="D311" s="21" t="str">
        <f t="shared" si="10"/>
        <v>Rapport du moment magnétique de l'hélion écranté au magnéton de Bohr nucléaire</v>
      </c>
      <c r="E311" s="17" t="s">
        <v>4557</v>
      </c>
      <c r="F311" s="17" t="s">
        <v>4635</v>
      </c>
      <c r="H311" s="18" t="str">
        <f t="shared" si="28"/>
        <v/>
      </c>
      <c r="I311" s="17" t="str">
        <f>if(H311="","", countif(Units!A:A,H311))</f>
        <v/>
      </c>
      <c r="J311" s="18" t="s">
        <v>1246</v>
      </c>
      <c r="K311" s="28">
        <f>countif(Quantities!A:A,J311)</f>
        <v>1</v>
      </c>
      <c r="L311" s="30" t="b">
        <f t="shared" si="4"/>
        <v>1</v>
      </c>
      <c r="M311" s="17" t="s">
        <v>1246</v>
      </c>
      <c r="N311" s="34" t="str">
        <f t="shared" si="5"/>
        <v>qudt</v>
      </c>
      <c r="O311" s="18" t="b">
        <f t="shared" si="35"/>
        <v>1</v>
      </c>
      <c r="P311" s="39"/>
      <c r="Q311" s="39"/>
      <c r="R311" s="39" t="str">
        <f t="shared" si="7"/>
        <v/>
      </c>
      <c r="S311" s="43">
        <f t="shared" si="8"/>
        <v>7</v>
      </c>
      <c r="T311" s="21">
        <f>countif('v2022'!E:E,A311)</f>
        <v>1</v>
      </c>
      <c r="U311" s="21">
        <f>countif('v2018'!E:E,A311)</f>
        <v>1</v>
      </c>
      <c r="V311" s="21">
        <f>countif('v2014'!E:E,A311)</f>
        <v>1</v>
      </c>
      <c r="W311" s="21">
        <f>countif('v2010'!E:E,A311)</f>
        <v>1</v>
      </c>
      <c r="X311" s="21">
        <f>countif('v2006'!E:E,A311)</f>
        <v>1</v>
      </c>
      <c r="Y311" s="21">
        <f>countif('v2002'!E:E,A311)</f>
        <v>1</v>
      </c>
      <c r="Z311" s="21">
        <f>countif('v1998'!E:E,A311)</f>
        <v>1</v>
      </c>
    </row>
    <row r="312">
      <c r="A312" s="17" t="s">
        <v>4561</v>
      </c>
      <c r="B312" s="18" t="s">
        <v>1248</v>
      </c>
      <c r="C312" s="21" t="str">
        <f t="shared" si="34"/>
        <v>Shielded Helion To Proton Magnetic Moment Ratio</v>
      </c>
      <c r="D312" s="21" t="str">
        <f t="shared" si="10"/>
        <v>Rapport du moment magnétique de l'hélion écranté à celui du proton</v>
      </c>
      <c r="E312" s="17" t="s">
        <v>4569</v>
      </c>
      <c r="F312" s="17" t="s">
        <v>4644</v>
      </c>
      <c r="H312" s="18" t="str">
        <f t="shared" si="28"/>
        <v/>
      </c>
      <c r="I312" s="17" t="str">
        <f>if(H312="","", countif(Units!A:A,H312))</f>
        <v/>
      </c>
      <c r="J312" s="18" t="s">
        <v>1248</v>
      </c>
      <c r="K312" s="28">
        <f>countif(Quantities!A:A,J312)</f>
        <v>1</v>
      </c>
      <c r="L312" s="30" t="b">
        <f t="shared" si="4"/>
        <v>1</v>
      </c>
      <c r="M312" s="17" t="s">
        <v>1248</v>
      </c>
      <c r="N312" s="34" t="str">
        <f t="shared" si="5"/>
        <v>qudt</v>
      </c>
      <c r="O312" s="18" t="b">
        <f t="shared" si="35"/>
        <v>1</v>
      </c>
      <c r="P312" s="39"/>
      <c r="Q312" s="39"/>
      <c r="R312" s="39" t="str">
        <f t="shared" si="7"/>
        <v/>
      </c>
      <c r="S312" s="43">
        <f t="shared" si="8"/>
        <v>7</v>
      </c>
      <c r="T312" s="21">
        <f>countif('v2022'!E:E,A312)</f>
        <v>1</v>
      </c>
      <c r="U312" s="21">
        <f>countif('v2018'!E:E,A312)</f>
        <v>1</v>
      </c>
      <c r="V312" s="21">
        <f>countif('v2014'!E:E,A312)</f>
        <v>1</v>
      </c>
      <c r="W312" s="21">
        <f>countif('v2010'!E:E,A312)</f>
        <v>1</v>
      </c>
      <c r="X312" s="21">
        <f>countif('v2006'!E:E,A312)</f>
        <v>1</v>
      </c>
      <c r="Y312" s="21">
        <f>countif('v2002'!E:E,A312)</f>
        <v>1</v>
      </c>
      <c r="Z312" s="21">
        <f>countif('v1998'!E:E,A312)</f>
        <v>1</v>
      </c>
    </row>
    <row r="313">
      <c r="A313" s="17" t="s">
        <v>4573</v>
      </c>
      <c r="B313" s="18" t="s">
        <v>1251</v>
      </c>
      <c r="C313" s="21" t="str">
        <f t="shared" si="34"/>
        <v>Shielded Helion To Shielded Proton Magnetic Moment Ratio</v>
      </c>
      <c r="D313" s="21" t="str">
        <f t="shared" si="10"/>
        <v>Rapport du moment magnétique de l'hélion écranté à celui du proton écranté</v>
      </c>
      <c r="E313" s="17" t="s">
        <v>4577</v>
      </c>
      <c r="F313" s="17" t="s">
        <v>4651</v>
      </c>
      <c r="H313" s="18" t="str">
        <f t="shared" si="28"/>
        <v/>
      </c>
      <c r="I313" s="17" t="str">
        <f>if(H313="","", countif(Units!A:A,H313))</f>
        <v/>
      </c>
      <c r="J313" s="18" t="s">
        <v>1251</v>
      </c>
      <c r="K313" s="28">
        <f>countif(Quantities!A:A,J313)</f>
        <v>1</v>
      </c>
      <c r="L313" s="30" t="b">
        <f t="shared" si="4"/>
        <v>1</v>
      </c>
      <c r="M313" s="17" t="s">
        <v>1251</v>
      </c>
      <c r="N313" s="34" t="str">
        <f t="shared" si="5"/>
        <v>qudt</v>
      </c>
      <c r="O313" s="18" t="b">
        <f t="shared" si="35"/>
        <v>1</v>
      </c>
      <c r="P313" s="39"/>
      <c r="Q313" s="39"/>
      <c r="R313" s="39" t="str">
        <f t="shared" si="7"/>
        <v/>
      </c>
      <c r="S313" s="43">
        <f t="shared" si="8"/>
        <v>7</v>
      </c>
      <c r="T313" s="21">
        <f>countif('v2022'!E:E,A313)</f>
        <v>1</v>
      </c>
      <c r="U313" s="21">
        <f>countif('v2018'!E:E,A313)</f>
        <v>1</v>
      </c>
      <c r="V313" s="21">
        <f>countif('v2014'!E:E,A313)</f>
        <v>1</v>
      </c>
      <c r="W313" s="21">
        <f>countif('v2010'!E:E,A313)</f>
        <v>1</v>
      </c>
      <c r="X313" s="21">
        <f>countif('v2006'!E:E,A313)</f>
        <v>1</v>
      </c>
      <c r="Y313" s="21">
        <f>countif('v2002'!E:E,A313)</f>
        <v>1</v>
      </c>
      <c r="Z313" s="21">
        <f>countif('v1998'!E:E,A313)</f>
        <v>1</v>
      </c>
    </row>
    <row r="314">
      <c r="A314" s="17" t="s">
        <v>4581</v>
      </c>
      <c r="B314" s="18" t="s">
        <v>1254</v>
      </c>
      <c r="C314" s="21" t="str">
        <f t="shared" si="34"/>
        <v>Shielded Proton Gyromagnetic Ratio</v>
      </c>
      <c r="D314" s="21" t="str">
        <f t="shared" si="10"/>
        <v>Rapport gyromagnétique du proton écranté</v>
      </c>
      <c r="E314" s="17" t="s">
        <v>4589</v>
      </c>
      <c r="F314" s="17" t="s">
        <v>4657</v>
      </c>
      <c r="G314" s="18" t="s">
        <v>1717</v>
      </c>
      <c r="H314" s="18" t="str">
        <f t="shared" si="28"/>
        <v>s-1_T-1</v>
      </c>
      <c r="I314" s="17">
        <f>if(H314="","", countif(Units!A:A,H314))</f>
        <v>1</v>
      </c>
      <c r="J314" s="18" t="s">
        <v>1254</v>
      </c>
      <c r="K314" s="28">
        <f>countif(Quantities!A:A,J314)</f>
        <v>1</v>
      </c>
      <c r="L314" s="30" t="b">
        <f t="shared" si="4"/>
        <v>1</v>
      </c>
      <c r="M314" s="17" t="s">
        <v>1254</v>
      </c>
      <c r="N314" s="34" t="str">
        <f t="shared" si="5"/>
        <v>qudt</v>
      </c>
      <c r="O314" s="18" t="b">
        <f t="shared" si="35"/>
        <v>1</v>
      </c>
      <c r="P314" s="39"/>
      <c r="Q314" s="39"/>
      <c r="R314" s="39" t="str">
        <f t="shared" si="7"/>
        <v/>
      </c>
      <c r="S314" s="43">
        <f t="shared" si="8"/>
        <v>7</v>
      </c>
      <c r="T314" s="21">
        <f>countif('v2022'!E:E,A314)</f>
        <v>1</v>
      </c>
      <c r="U314" s="21">
        <f>countif('v2018'!E:E,A314)</f>
        <v>1</v>
      </c>
      <c r="V314" s="21">
        <f>countif('v2014'!E:E,A314)</f>
        <v>1</v>
      </c>
      <c r="W314" s="21">
        <f>countif('v2010'!E:E,A314)</f>
        <v>1</v>
      </c>
      <c r="X314" s="21">
        <f>countif('v2006'!E:E,A314)</f>
        <v>1</v>
      </c>
      <c r="Y314" s="21">
        <f>countif('v2002'!E:E,A314)</f>
        <v>1</v>
      </c>
      <c r="Z314" s="21">
        <f>countif('v1998'!E:E,A314)</f>
        <v>1</v>
      </c>
    </row>
    <row r="315">
      <c r="A315" s="17" t="s">
        <v>4598</v>
      </c>
      <c r="B315" s="18" t="s">
        <v>4663</v>
      </c>
      <c r="C315" s="17" t="s">
        <v>4664</v>
      </c>
      <c r="D315" s="21" t="str">
        <f t="shared" si="10"/>
        <v>Rapport gyromagnétique du proton écranté en MHz/T</v>
      </c>
      <c r="E315" s="17" t="s">
        <v>4665</v>
      </c>
      <c r="F315" s="17" t="s">
        <v>4666</v>
      </c>
      <c r="G315" s="18" t="s">
        <v>1733</v>
      </c>
      <c r="H315" s="18" t="str">
        <f t="shared" si="28"/>
        <v>MHz_T-1</v>
      </c>
      <c r="I315" s="17">
        <f>if(H315="","", countif(Units!A:A,H315))</f>
        <v>1</v>
      </c>
      <c r="J315" s="17" t="s">
        <v>1254</v>
      </c>
      <c r="K315" s="28">
        <f>countif(Quantities!A:A,J315)</f>
        <v>1</v>
      </c>
      <c r="L315" s="30" t="b">
        <f t="shared" si="4"/>
        <v>0</v>
      </c>
      <c r="M315" s="17" t="s">
        <v>4663</v>
      </c>
      <c r="N315" s="34" t="str">
        <f t="shared" si="5"/>
        <v>qudt</v>
      </c>
      <c r="O315" s="18" t="b">
        <f t="shared" si="35"/>
        <v>1</v>
      </c>
      <c r="P315" s="39"/>
      <c r="Q315" s="39"/>
      <c r="R315" s="39" t="str">
        <f t="shared" si="7"/>
        <v/>
      </c>
      <c r="S315" s="43">
        <f t="shared" si="8"/>
        <v>7</v>
      </c>
      <c r="T315" s="21">
        <f>countif('v2022'!E:E,A315)</f>
        <v>1</v>
      </c>
      <c r="U315" s="21">
        <f>countif('v2018'!E:E,A315)</f>
        <v>1</v>
      </c>
      <c r="V315" s="21">
        <f>countif('v2014'!E:E,A315)</f>
        <v>1</v>
      </c>
      <c r="W315" s="21">
        <f>countif('v2010'!E:E,A315)</f>
        <v>1</v>
      </c>
      <c r="X315" s="21">
        <f>countif('v2006'!E:E,A315)</f>
        <v>1</v>
      </c>
      <c r="Y315" s="21">
        <f>countif('v2002'!E:E,A315)</f>
        <v>1</v>
      </c>
      <c r="Z315" s="21">
        <f>countif('v1998'!E:E,A315)</f>
        <v>1</v>
      </c>
    </row>
    <row r="316">
      <c r="A316" s="17" t="s">
        <v>4622</v>
      </c>
      <c r="B316" s="18" t="s">
        <v>1261</v>
      </c>
      <c r="C316" s="21" t="str">
        <f t="shared" ref="C316:C330" si="36">proper(E316)</f>
        <v>Shielded Proton Magnetic Moment</v>
      </c>
      <c r="D316" s="21" t="str">
        <f t="shared" si="10"/>
        <v>Moment magnétique du proton écranté</v>
      </c>
      <c r="E316" s="17" t="s">
        <v>4627</v>
      </c>
      <c r="F316" s="17" t="s">
        <v>4679</v>
      </c>
      <c r="G316" s="18" t="s">
        <v>964</v>
      </c>
      <c r="H316" s="18" t="str">
        <f t="shared" si="28"/>
        <v>J_T-1</v>
      </c>
      <c r="I316" s="17">
        <f>if(H316="","", countif(Units!A:A,H316))</f>
        <v>1</v>
      </c>
      <c r="J316" s="18" t="s">
        <v>1261</v>
      </c>
      <c r="K316" s="28">
        <f>countif(Quantities!A:A,J316)</f>
        <v>1</v>
      </c>
      <c r="L316" s="30" t="b">
        <f t="shared" si="4"/>
        <v>1</v>
      </c>
      <c r="M316" s="17" t="s">
        <v>1261</v>
      </c>
      <c r="N316" s="34" t="str">
        <f t="shared" si="5"/>
        <v>qudt</v>
      </c>
      <c r="O316" s="18" t="b">
        <f t="shared" si="35"/>
        <v>1</v>
      </c>
      <c r="P316" s="39"/>
      <c r="Q316" s="39"/>
      <c r="R316" s="39" t="str">
        <f t="shared" si="7"/>
        <v/>
      </c>
      <c r="S316" s="43">
        <f t="shared" si="8"/>
        <v>7</v>
      </c>
      <c r="T316" s="21">
        <f>countif('v2022'!E:E,A316)</f>
        <v>1</v>
      </c>
      <c r="U316" s="21">
        <f>countif('v2018'!E:E,A316)</f>
        <v>1</v>
      </c>
      <c r="V316" s="21">
        <f>countif('v2014'!E:E,A316)</f>
        <v>1</v>
      </c>
      <c r="W316" s="21">
        <f>countif('v2010'!E:E,A316)</f>
        <v>1</v>
      </c>
      <c r="X316" s="21">
        <f>countif('v2006'!E:E,A316)</f>
        <v>1</v>
      </c>
      <c r="Y316" s="21">
        <f>countif('v2002'!E:E,A316)</f>
        <v>1</v>
      </c>
      <c r="Z316" s="21">
        <f>countif('v1998'!E:E,A316)</f>
        <v>1</v>
      </c>
    </row>
    <row r="317">
      <c r="A317" s="17" t="s">
        <v>4631</v>
      </c>
      <c r="B317" s="18" t="s">
        <v>1263</v>
      </c>
      <c r="C317" s="21" t="str">
        <f t="shared" si="36"/>
        <v>Shielded Proton Magnetic Moment To Bohr Magneton Ratio</v>
      </c>
      <c r="D317" s="21" t="str">
        <f t="shared" si="10"/>
        <v>Rapport du moment magnétique du proton écranté au magnéton de Bohr électronique</v>
      </c>
      <c r="E317" s="17" t="s">
        <v>4638</v>
      </c>
      <c r="F317" s="17" t="s">
        <v>4691</v>
      </c>
      <c r="H317" s="18" t="str">
        <f t="shared" si="28"/>
        <v/>
      </c>
      <c r="I317" s="17" t="str">
        <f>if(H317="","", countif(Units!A:A,H317))</f>
        <v/>
      </c>
      <c r="J317" s="18" t="s">
        <v>1263</v>
      </c>
      <c r="K317" s="28">
        <f>countif(Quantities!A:A,J317)</f>
        <v>1</v>
      </c>
      <c r="L317" s="30" t="b">
        <f t="shared" si="4"/>
        <v>1</v>
      </c>
      <c r="M317" s="17" t="s">
        <v>1263</v>
      </c>
      <c r="N317" s="34" t="str">
        <f t="shared" si="5"/>
        <v>qudt</v>
      </c>
      <c r="O317" s="18" t="b">
        <f t="shared" si="35"/>
        <v>1</v>
      </c>
      <c r="P317" s="39"/>
      <c r="Q317" s="39"/>
      <c r="R317" s="39" t="str">
        <f t="shared" si="7"/>
        <v/>
      </c>
      <c r="S317" s="43">
        <f t="shared" si="8"/>
        <v>7</v>
      </c>
      <c r="T317" s="21">
        <f>countif('v2022'!E:E,A317)</f>
        <v>1</v>
      </c>
      <c r="U317" s="21">
        <f>countif('v2018'!E:E,A317)</f>
        <v>1</v>
      </c>
      <c r="V317" s="21">
        <f>countif('v2014'!E:E,A317)</f>
        <v>1</v>
      </c>
      <c r="W317" s="21">
        <f>countif('v2010'!E:E,A317)</f>
        <v>1</v>
      </c>
      <c r="X317" s="21">
        <f>countif('v2006'!E:E,A317)</f>
        <v>1</v>
      </c>
      <c r="Y317" s="21">
        <f>countif('v2002'!E:E,A317)</f>
        <v>1</v>
      </c>
      <c r="Z317" s="21">
        <f>countif('v1998'!E:E,A317)</f>
        <v>1</v>
      </c>
    </row>
    <row r="318">
      <c r="A318" s="17" t="s">
        <v>4643</v>
      </c>
      <c r="B318" s="18" t="s">
        <v>1267</v>
      </c>
      <c r="C318" s="21" t="str">
        <f t="shared" si="36"/>
        <v>Shielded Proton Magnetic Moment To Nuclear Magneton Ratio</v>
      </c>
      <c r="D318" s="21" t="str">
        <f t="shared" si="10"/>
        <v>Rapport du moment magnétique du proton écranté au magnéton de Bohr nucléaire</v>
      </c>
      <c r="E318" s="17" t="s">
        <v>4647</v>
      </c>
      <c r="F318" s="17" t="s">
        <v>4695</v>
      </c>
      <c r="H318" s="18" t="str">
        <f t="shared" si="28"/>
        <v/>
      </c>
      <c r="I318" s="17" t="str">
        <f>if(H318="","", countif(Units!A:A,H318))</f>
        <v/>
      </c>
      <c r="J318" s="18" t="s">
        <v>1267</v>
      </c>
      <c r="K318" s="28">
        <f>countif(Quantities!A:A,J318)</f>
        <v>1</v>
      </c>
      <c r="L318" s="30" t="b">
        <f t="shared" si="4"/>
        <v>1</v>
      </c>
      <c r="M318" s="17" t="s">
        <v>1267</v>
      </c>
      <c r="N318" s="34" t="str">
        <f t="shared" si="5"/>
        <v>qudt</v>
      </c>
      <c r="O318" s="18" t="b">
        <f t="shared" si="35"/>
        <v>1</v>
      </c>
      <c r="P318" s="39"/>
      <c r="Q318" s="39"/>
      <c r="R318" s="39" t="str">
        <f t="shared" si="7"/>
        <v/>
      </c>
      <c r="S318" s="43">
        <f t="shared" si="8"/>
        <v>7</v>
      </c>
      <c r="T318" s="21">
        <f>countif('v2022'!E:E,A318)</f>
        <v>1</v>
      </c>
      <c r="U318" s="21">
        <f>countif('v2018'!E:E,A318)</f>
        <v>1</v>
      </c>
      <c r="V318" s="21">
        <f>countif('v2014'!E:E,A318)</f>
        <v>1</v>
      </c>
      <c r="W318" s="21">
        <f>countif('v2010'!E:E,A318)</f>
        <v>1</v>
      </c>
      <c r="X318" s="21">
        <f>countif('v2006'!E:E,A318)</f>
        <v>1</v>
      </c>
      <c r="Y318" s="21">
        <f>countif('v2002'!E:E,A318)</f>
        <v>1</v>
      </c>
      <c r="Z318" s="21">
        <f>countif('v1998'!E:E,A318)</f>
        <v>1</v>
      </c>
    </row>
    <row r="319">
      <c r="A319" s="17" t="s">
        <v>4653</v>
      </c>
      <c r="B319" s="82" t="s">
        <v>1270</v>
      </c>
      <c r="C319" s="21" t="str">
        <f t="shared" si="36"/>
        <v>Shielding Difference Of D And P In Hd</v>
      </c>
      <c r="D319" s="21" t="str">
        <f t="shared" si="10"/>
        <v>Différence de blindage entre d et p dans HD</v>
      </c>
      <c r="E319" s="17" t="s">
        <v>2866</v>
      </c>
      <c r="F319" s="17" t="s">
        <v>4703</v>
      </c>
      <c r="H319" s="18" t="str">
        <f t="shared" si="28"/>
        <v/>
      </c>
      <c r="I319" s="17" t="str">
        <f>if(H319="","", countif(Units!A:A,H319))</f>
        <v/>
      </c>
      <c r="J319" s="17" t="s">
        <v>1270</v>
      </c>
      <c r="K319" s="28">
        <f>countif(Quantities!A:A,J319)</f>
        <v>1</v>
      </c>
      <c r="L319" s="30" t="b">
        <f t="shared" si="4"/>
        <v>1</v>
      </c>
      <c r="N319" s="39" t="str">
        <f t="shared" si="5"/>
        <v/>
      </c>
      <c r="O319" s="18" t="b">
        <f t="shared" si="35"/>
        <v>0</v>
      </c>
      <c r="P319" s="23"/>
      <c r="Q319" s="23"/>
      <c r="R319" s="39" t="str">
        <f t="shared" si="7"/>
        <v/>
      </c>
      <c r="S319" s="43">
        <f t="shared" si="8"/>
        <v>2</v>
      </c>
      <c r="T319" s="21">
        <f>countif('v2022'!E:E,A319)</f>
        <v>1</v>
      </c>
      <c r="U319" s="21">
        <f>countif('v2018'!E:E,A319)</f>
        <v>1</v>
      </c>
      <c r="V319" s="21">
        <f>countif('v2014'!E:E,A319)</f>
        <v>0</v>
      </c>
      <c r="W319" s="21">
        <f>countif('v2010'!E:E,A319)</f>
        <v>0</v>
      </c>
      <c r="X319" s="21">
        <f>countif('v2006'!E:E,A319)</f>
        <v>0</v>
      </c>
      <c r="Y319" s="21">
        <f>countif('v2002'!E:E,A319)</f>
        <v>0</v>
      </c>
      <c r="Z319" s="21">
        <f>countif('v1998'!E:E,A319)</f>
        <v>0</v>
      </c>
    </row>
    <row r="320">
      <c r="A320" s="17" t="s">
        <v>4655</v>
      </c>
      <c r="B320" s="82" t="s">
        <v>1273</v>
      </c>
      <c r="C320" s="21" t="str">
        <f t="shared" si="36"/>
        <v>Shielding Difference Of T And P In Ht</v>
      </c>
      <c r="D320" s="21" t="str">
        <f t="shared" si="10"/>
        <v>Différence de blindage entre t et p dans HD</v>
      </c>
      <c r="E320" s="17" t="s">
        <v>2872</v>
      </c>
      <c r="F320" s="17" t="s">
        <v>4713</v>
      </c>
      <c r="H320" s="18" t="str">
        <f t="shared" si="28"/>
        <v/>
      </c>
      <c r="I320" s="17" t="str">
        <f>if(H320="","", countif(Units!A:A,H320))</f>
        <v/>
      </c>
      <c r="J320" s="17" t="s">
        <v>1273</v>
      </c>
      <c r="K320" s="28">
        <f>countif(Quantities!A:A,J320)</f>
        <v>1</v>
      </c>
      <c r="L320" s="30" t="b">
        <f t="shared" si="4"/>
        <v>1</v>
      </c>
      <c r="N320" s="39" t="str">
        <f t="shared" si="5"/>
        <v/>
      </c>
      <c r="O320" s="18" t="b">
        <f t="shared" si="35"/>
        <v>0</v>
      </c>
      <c r="P320" s="23"/>
      <c r="Q320" s="23"/>
      <c r="R320" s="39" t="str">
        <f t="shared" si="7"/>
        <v/>
      </c>
      <c r="S320" s="43">
        <f t="shared" si="8"/>
        <v>2</v>
      </c>
      <c r="T320" s="21">
        <f>countif('v2022'!E:E,A320)</f>
        <v>1</v>
      </c>
      <c r="U320" s="21">
        <f>countif('v2018'!E:E,A320)</f>
        <v>1</v>
      </c>
      <c r="V320" s="21">
        <f>countif('v2014'!E:E,A320)</f>
        <v>0</v>
      </c>
      <c r="W320" s="21">
        <f>countif('v2010'!E:E,A320)</f>
        <v>0</v>
      </c>
      <c r="X320" s="21">
        <f>countif('v2006'!E:E,A320)</f>
        <v>0</v>
      </c>
      <c r="Y320" s="21">
        <f>countif('v2002'!E:E,A320)</f>
        <v>0</v>
      </c>
      <c r="Z320" s="21">
        <f>countif('v1998'!E:E,A320)</f>
        <v>0</v>
      </c>
    </row>
    <row r="321">
      <c r="A321" s="17" t="s">
        <v>4659</v>
      </c>
      <c r="B321" s="17" t="s">
        <v>1280</v>
      </c>
      <c r="C321" s="21" t="str">
        <f t="shared" si="36"/>
        <v>Speed Of Light In Vacuum</v>
      </c>
      <c r="D321" s="21" t="str">
        <f t="shared" si="10"/>
        <v>Vitesse de la lumière dans le vide</v>
      </c>
      <c r="E321" s="17" t="s">
        <v>2877</v>
      </c>
      <c r="F321" s="17" t="s">
        <v>4723</v>
      </c>
      <c r="G321" s="18" t="s">
        <v>1109</v>
      </c>
      <c r="H321" s="18" t="str">
        <f t="shared" si="28"/>
        <v>m_s-1</v>
      </c>
      <c r="I321" s="17">
        <f>if(H321="","", countif(Units!A:A,H321))</f>
        <v>1</v>
      </c>
      <c r="J321" s="17" t="s">
        <v>1280</v>
      </c>
      <c r="K321" s="28">
        <f>countif(Quantities!A:A,J321)</f>
        <v>1</v>
      </c>
      <c r="L321" s="30" t="b">
        <f t="shared" si="4"/>
        <v>1</v>
      </c>
      <c r="M321" s="17" t="s">
        <v>4725</v>
      </c>
      <c r="N321" s="34" t="str">
        <f t="shared" si="5"/>
        <v>qudt</v>
      </c>
      <c r="O321" s="18" t="b">
        <f t="shared" si="35"/>
        <v>1</v>
      </c>
      <c r="P321" s="39" t="s">
        <v>4726</v>
      </c>
      <c r="Q321" s="39" t="s">
        <v>1280</v>
      </c>
      <c r="R321" s="34" t="str">
        <f t="shared" si="7"/>
        <v>SI</v>
      </c>
      <c r="S321" s="43">
        <f t="shared" si="8"/>
        <v>7</v>
      </c>
      <c r="T321" s="21">
        <f>countif('v2022'!E:E,A321)</f>
        <v>1</v>
      </c>
      <c r="U321" s="21">
        <f>countif('v2018'!E:E,A321)</f>
        <v>1</v>
      </c>
      <c r="V321" s="21">
        <f>countif('v2014'!E:E,A321)</f>
        <v>1</v>
      </c>
      <c r="W321" s="21">
        <f>countif('v2010'!E:E,A321)</f>
        <v>1</v>
      </c>
      <c r="X321" s="21">
        <f>countif('v2006'!E:E,A321)</f>
        <v>1</v>
      </c>
      <c r="Y321" s="21">
        <f>countif('v2002'!E:E,A321)</f>
        <v>1</v>
      </c>
      <c r="Z321" s="21">
        <f>countif('v1998'!E:E,A321)</f>
        <v>1</v>
      </c>
    </row>
    <row r="322">
      <c r="A322" s="17" t="s">
        <v>4662</v>
      </c>
      <c r="B322" s="18" t="s">
        <v>1286</v>
      </c>
      <c r="C322" s="21" t="str">
        <f t="shared" si="36"/>
        <v>Standard Acceleration Of Gravity</v>
      </c>
      <c r="D322" s="21" t="str">
        <f t="shared" si="10"/>
        <v>Accélération de la gravité standard</v>
      </c>
      <c r="E322" s="17" t="s">
        <v>2880</v>
      </c>
      <c r="F322" s="17" t="s">
        <v>4731</v>
      </c>
      <c r="G322" s="18" t="s">
        <v>2882</v>
      </c>
      <c r="H322" s="18" t="str">
        <f t="shared" si="28"/>
        <v>m_s-2</v>
      </c>
      <c r="I322" s="17">
        <f>if(H322="","", countif(Units!A:A,H322))</f>
        <v>1</v>
      </c>
      <c r="J322" s="18" t="s">
        <v>1286</v>
      </c>
      <c r="K322" s="28">
        <f>countif(Quantities!A:A,J322)</f>
        <v>1</v>
      </c>
      <c r="L322" s="30" t="b">
        <f t="shared" si="4"/>
        <v>1</v>
      </c>
      <c r="M322" s="17" t="s">
        <v>1286</v>
      </c>
      <c r="N322" s="34" t="str">
        <f t="shared" si="5"/>
        <v>qudt</v>
      </c>
      <c r="O322" s="18" t="b">
        <f t="shared" si="35"/>
        <v>1</v>
      </c>
      <c r="P322" s="39" t="s">
        <v>4734</v>
      </c>
      <c r="Q322" s="39"/>
      <c r="R322" s="39" t="str">
        <f t="shared" si="7"/>
        <v/>
      </c>
      <c r="S322" s="43">
        <f t="shared" si="8"/>
        <v>7</v>
      </c>
      <c r="T322" s="21">
        <f>countif('v2022'!E:E,A322)</f>
        <v>1</v>
      </c>
      <c r="U322" s="21">
        <f>countif('v2018'!E:E,A322)</f>
        <v>1</v>
      </c>
      <c r="V322" s="21">
        <f>countif('v2014'!E:E,A322)</f>
        <v>1</v>
      </c>
      <c r="W322" s="21">
        <f>countif('v2010'!E:E,A322)</f>
        <v>1</v>
      </c>
      <c r="X322" s="21">
        <f>countif('v2006'!E:E,A322)</f>
        <v>1</v>
      </c>
      <c r="Y322" s="21">
        <f>countif('v2002'!E:E,A322)</f>
        <v>1</v>
      </c>
      <c r="Z322" s="21">
        <f>countif('v1998'!E:E,A322)</f>
        <v>1</v>
      </c>
    </row>
    <row r="323">
      <c r="A323" s="17" t="s">
        <v>4671</v>
      </c>
      <c r="B323" s="18" t="s">
        <v>1289</v>
      </c>
      <c r="C323" s="21" t="str">
        <f t="shared" si="36"/>
        <v>Standard Atmosphere</v>
      </c>
      <c r="D323" s="21" t="str">
        <f t="shared" si="10"/>
        <v>Atmosphere standard</v>
      </c>
      <c r="E323" s="17" t="s">
        <v>2886</v>
      </c>
      <c r="F323" s="17" t="s">
        <v>4741</v>
      </c>
      <c r="G323" s="18" t="s">
        <v>512</v>
      </c>
      <c r="H323" s="18" t="str">
        <f t="shared" si="28"/>
        <v>Pa</v>
      </c>
      <c r="I323" s="17">
        <f>if(H323="","", countif(Units!A:A,H323))</f>
        <v>1</v>
      </c>
      <c r="J323" s="18" t="s">
        <v>1289</v>
      </c>
      <c r="K323" s="28">
        <f>countif(Quantities!A:A,J323)</f>
        <v>1</v>
      </c>
      <c r="L323" s="30" t="b">
        <f t="shared" si="4"/>
        <v>1</v>
      </c>
      <c r="M323" s="17" t="s">
        <v>1289</v>
      </c>
      <c r="N323" s="34" t="str">
        <f t="shared" si="5"/>
        <v>qudt</v>
      </c>
      <c r="O323" s="18" t="b">
        <f t="shared" si="35"/>
        <v>1</v>
      </c>
      <c r="P323" s="39" t="s">
        <v>4744</v>
      </c>
      <c r="Q323" s="39"/>
      <c r="R323" s="39" t="str">
        <f t="shared" si="7"/>
        <v/>
      </c>
      <c r="S323" s="43">
        <f t="shared" si="8"/>
        <v>7</v>
      </c>
      <c r="T323" s="21">
        <f>countif('v2022'!E:E,A323)</f>
        <v>1</v>
      </c>
      <c r="U323" s="21">
        <f>countif('v2018'!E:E,A323)</f>
        <v>1</v>
      </c>
      <c r="V323" s="21">
        <f>countif('v2014'!E:E,A323)</f>
        <v>1</v>
      </c>
      <c r="W323" s="21">
        <f>countif('v2010'!E:E,A323)</f>
        <v>1</v>
      </c>
      <c r="X323" s="21">
        <f>countif('v2006'!E:E,A323)</f>
        <v>1</v>
      </c>
      <c r="Y323" s="21">
        <f>countif('v2002'!E:E,A323)</f>
        <v>1</v>
      </c>
      <c r="Z323" s="21">
        <f>countif('v1998'!E:E,A323)</f>
        <v>1</v>
      </c>
    </row>
    <row r="324">
      <c r="A324" s="17" t="s">
        <v>4682</v>
      </c>
      <c r="B324" s="17" t="s">
        <v>1292</v>
      </c>
      <c r="C324" s="21" t="str">
        <f t="shared" si="36"/>
        <v>Standard-State Pressure</v>
      </c>
      <c r="D324" s="21" t="str">
        <f t="shared" si="10"/>
        <v>Pression de l'état standard</v>
      </c>
      <c r="E324" s="17" t="s">
        <v>2888</v>
      </c>
      <c r="F324" s="17" t="s">
        <v>4751</v>
      </c>
      <c r="G324" s="18" t="s">
        <v>512</v>
      </c>
      <c r="H324" s="18" t="str">
        <f t="shared" si="28"/>
        <v>Pa</v>
      </c>
      <c r="I324" s="17">
        <f>if(H324="","", countif(Units!A:A,H324))</f>
        <v>1</v>
      </c>
      <c r="J324" s="17" t="s">
        <v>1292</v>
      </c>
      <c r="K324" s="28">
        <f>countif(Quantities!A:A,J324)</f>
        <v>1</v>
      </c>
      <c r="L324" s="30" t="b">
        <f t="shared" si="4"/>
        <v>1</v>
      </c>
      <c r="N324" s="39" t="str">
        <f t="shared" si="5"/>
        <v/>
      </c>
      <c r="O324" s="18" t="b">
        <f t="shared" si="35"/>
        <v>0</v>
      </c>
      <c r="P324" s="39"/>
      <c r="Q324" s="39"/>
      <c r="R324" s="39" t="str">
        <f t="shared" si="7"/>
        <v/>
      </c>
      <c r="S324" s="43">
        <f t="shared" si="8"/>
        <v>4</v>
      </c>
      <c r="T324" s="21">
        <f>countif('v2022'!E:E,A324)</f>
        <v>1</v>
      </c>
      <c r="U324" s="21">
        <f>countif('v2018'!E:E,A324)</f>
        <v>1</v>
      </c>
      <c r="V324" s="21">
        <f>countif('v2014'!E:E,A324)</f>
        <v>1</v>
      </c>
      <c r="W324" s="21">
        <f>countif('v2010'!E:E,A324)</f>
        <v>1</v>
      </c>
      <c r="X324" s="21">
        <f>countif('v2006'!E:E,A324)</f>
        <v>0</v>
      </c>
      <c r="Y324" s="21">
        <f>countif('v2002'!E:E,A324)</f>
        <v>0</v>
      </c>
      <c r="Z324" s="21">
        <f>countif('v1998'!E:E,A324)</f>
        <v>0</v>
      </c>
    </row>
    <row r="325">
      <c r="A325" s="17" t="s">
        <v>4688</v>
      </c>
      <c r="B325" s="18" t="s">
        <v>1294</v>
      </c>
      <c r="C325" s="21" t="str">
        <f t="shared" si="36"/>
        <v>Stefan-Boltzmann Constant</v>
      </c>
      <c r="D325" s="21" t="str">
        <f t="shared" si="10"/>
        <v>Constante de Stefan-Boltzmann</v>
      </c>
      <c r="E325" s="17" t="s">
        <v>2890</v>
      </c>
      <c r="F325" s="17" t="s">
        <v>4756</v>
      </c>
      <c r="G325" s="18" t="s">
        <v>2892</v>
      </c>
      <c r="H325" s="18" t="str">
        <f t="shared" si="28"/>
        <v>W_m-2_K-4</v>
      </c>
      <c r="I325" s="17">
        <f>if(H325="","", countif(Units!A:A,H325))</f>
        <v>1</v>
      </c>
      <c r="J325" s="18" t="s">
        <v>1294</v>
      </c>
      <c r="K325" s="28">
        <f>countif(Quantities!A:A,J325)</f>
        <v>1</v>
      </c>
      <c r="L325" s="30" t="b">
        <f t="shared" si="4"/>
        <v>1</v>
      </c>
      <c r="M325" s="17" t="s">
        <v>1294</v>
      </c>
      <c r="N325" s="34" t="str">
        <f t="shared" si="5"/>
        <v>qudt</v>
      </c>
      <c r="O325" s="18" t="b">
        <f t="shared" si="35"/>
        <v>1</v>
      </c>
      <c r="P325" s="39"/>
      <c r="Q325" s="39"/>
      <c r="R325" s="39" t="str">
        <f t="shared" si="7"/>
        <v/>
      </c>
      <c r="S325" s="43">
        <f t="shared" si="8"/>
        <v>7</v>
      </c>
      <c r="T325" s="21">
        <f>countif('v2022'!E:E,A325)</f>
        <v>1</v>
      </c>
      <c r="U325" s="21">
        <f>countif('v2018'!E:E,A325)</f>
        <v>1</v>
      </c>
      <c r="V325" s="21">
        <f>countif('v2014'!E:E,A325)</f>
        <v>1</v>
      </c>
      <c r="W325" s="21">
        <f>countif('v2010'!E:E,A325)</f>
        <v>1</v>
      </c>
      <c r="X325" s="21">
        <f>countif('v2006'!E:E,A325)</f>
        <v>1</v>
      </c>
      <c r="Y325" s="21">
        <f>countif('v2002'!E:E,A325)</f>
        <v>1</v>
      </c>
      <c r="Z325" s="21">
        <f>countif('v1998'!E:E,A325)</f>
        <v>1</v>
      </c>
    </row>
    <row r="326">
      <c r="A326" s="17" t="s">
        <v>4696</v>
      </c>
      <c r="B326" s="18" t="s">
        <v>1299</v>
      </c>
      <c r="C326" s="21" t="str">
        <f t="shared" si="36"/>
        <v>Tau Compton Wavelength</v>
      </c>
      <c r="D326" s="21" t="str">
        <f t="shared" si="10"/>
        <v>Longueur d'onde de compton du tau</v>
      </c>
      <c r="E326" s="17" t="s">
        <v>2896</v>
      </c>
      <c r="F326" s="17" t="s">
        <v>4763</v>
      </c>
      <c r="G326" s="18" t="s">
        <v>381</v>
      </c>
      <c r="H326" s="18" t="str">
        <f t="shared" si="28"/>
        <v>m</v>
      </c>
      <c r="I326" s="17">
        <f>if(H326="","", countif(Units!A:A,H326))</f>
        <v>1</v>
      </c>
      <c r="J326" s="18" t="s">
        <v>1299</v>
      </c>
      <c r="K326" s="28">
        <f>countif(Quantities!A:A,J326)</f>
        <v>1</v>
      </c>
      <c r="L326" s="30" t="b">
        <f t="shared" si="4"/>
        <v>1</v>
      </c>
      <c r="M326" s="17" t="s">
        <v>1299</v>
      </c>
      <c r="N326" s="34" t="str">
        <f t="shared" si="5"/>
        <v>qudt</v>
      </c>
      <c r="O326" s="18" t="b">
        <f t="shared" si="35"/>
        <v>1</v>
      </c>
      <c r="P326" s="39"/>
      <c r="Q326" s="39"/>
      <c r="R326" s="39" t="str">
        <f t="shared" si="7"/>
        <v/>
      </c>
      <c r="S326" s="43">
        <f t="shared" si="8"/>
        <v>7</v>
      </c>
      <c r="T326" s="21">
        <f>countif('v2022'!E:E,A326)</f>
        <v>1</v>
      </c>
      <c r="U326" s="21">
        <f>countif('v2018'!E:E,A326)</f>
        <v>1</v>
      </c>
      <c r="V326" s="21">
        <f>countif('v2014'!E:E,A326)</f>
        <v>1</v>
      </c>
      <c r="W326" s="21">
        <f>countif('v2010'!E:E,A326)</f>
        <v>1</v>
      </c>
      <c r="X326" s="21">
        <f>countif('v2006'!E:E,A326)</f>
        <v>1</v>
      </c>
      <c r="Y326" s="21">
        <f>countif('v2002'!E:E,A326)</f>
        <v>1</v>
      </c>
      <c r="Z326" s="21">
        <f>countif('v1998'!E:E,A326)</f>
        <v>1</v>
      </c>
    </row>
    <row r="327">
      <c r="A327" s="17" t="s">
        <v>4425</v>
      </c>
      <c r="B327" s="18" t="s">
        <v>1217</v>
      </c>
      <c r="C327" s="21" t="str">
        <f t="shared" si="36"/>
        <v>Reduced Tau Compton Wavelength</v>
      </c>
      <c r="D327" s="21" t="str">
        <f t="shared" si="10"/>
        <v>Longueur d'onde de Compton réduite du tau</v>
      </c>
      <c r="E327" s="17" t="s">
        <v>2765</v>
      </c>
      <c r="F327" s="17" t="s">
        <v>4778</v>
      </c>
      <c r="G327" s="18" t="s">
        <v>381</v>
      </c>
      <c r="H327" s="18" t="str">
        <f t="shared" si="28"/>
        <v>m</v>
      </c>
      <c r="I327" s="17">
        <f>if(H327="","", countif(Units!A:A,H327))</f>
        <v>1</v>
      </c>
      <c r="J327" s="18" t="s">
        <v>1217</v>
      </c>
      <c r="K327" s="28">
        <f>countif(Quantities!A:A,J327)</f>
        <v>1</v>
      </c>
      <c r="L327" s="30" t="b">
        <f t="shared" si="4"/>
        <v>1</v>
      </c>
      <c r="M327" s="17" t="s">
        <v>4779</v>
      </c>
      <c r="N327" s="34" t="str">
        <f t="shared" si="5"/>
        <v>qudt</v>
      </c>
      <c r="O327" s="18" t="b">
        <f t="shared" si="35"/>
        <v>1</v>
      </c>
      <c r="P327" s="39"/>
      <c r="Q327" s="39"/>
      <c r="R327" s="39" t="str">
        <f t="shared" si="7"/>
        <v/>
      </c>
      <c r="S327" s="43">
        <f t="shared" si="8"/>
        <v>7</v>
      </c>
      <c r="T327" s="21">
        <f>countif('v2022'!E:E,A327)</f>
        <v>1</v>
      </c>
      <c r="U327" s="21">
        <f>countif('v2018'!E:E,A327)</f>
        <v>1</v>
      </c>
      <c r="V327" s="21">
        <f>countif('v2014'!E:E,A327)</f>
        <v>1</v>
      </c>
      <c r="W327" s="21">
        <f>countif('v2010'!E:E,A327)</f>
        <v>1</v>
      </c>
      <c r="X327" s="21">
        <f>countif('v2006'!E:E,A327)</f>
        <v>1</v>
      </c>
      <c r="Y327" s="21">
        <f>countif('v2002'!E:E,A327)</f>
        <v>1</v>
      </c>
      <c r="Z327" s="21">
        <f>countif('v1998'!E:E,A327)</f>
        <v>1</v>
      </c>
    </row>
    <row r="328">
      <c r="A328" s="17" t="s">
        <v>4740</v>
      </c>
      <c r="B328" s="18" t="s">
        <v>1305</v>
      </c>
      <c r="C328" s="21" t="str">
        <f t="shared" si="36"/>
        <v>Tau - Electron Mass Ratio</v>
      </c>
      <c r="D328" s="21" t="str">
        <f t="shared" si="10"/>
        <v>Rapport de la masse du tau à celle de l'électron</v>
      </c>
      <c r="E328" s="17" t="s">
        <v>4784</v>
      </c>
      <c r="F328" s="17" t="s">
        <v>4785</v>
      </c>
      <c r="H328" s="18" t="str">
        <f t="shared" si="28"/>
        <v/>
      </c>
      <c r="I328" s="17" t="str">
        <f>if(H328="","", countif(Units!A:A,H328))</f>
        <v/>
      </c>
      <c r="J328" s="17" t="s">
        <v>1305</v>
      </c>
      <c r="K328" s="28">
        <f>countif(Quantities!A:A,J328)</f>
        <v>1</v>
      </c>
      <c r="L328" s="30" t="b">
        <f t="shared" si="4"/>
        <v>1</v>
      </c>
      <c r="M328" s="17" t="s">
        <v>1305</v>
      </c>
      <c r="N328" s="34" t="str">
        <f t="shared" si="5"/>
        <v>qudt</v>
      </c>
      <c r="O328" s="18" t="b">
        <f t="shared" si="35"/>
        <v>1</v>
      </c>
      <c r="P328" s="39"/>
      <c r="Q328" s="39"/>
      <c r="R328" s="39" t="str">
        <f t="shared" si="7"/>
        <v/>
      </c>
      <c r="S328" s="43">
        <f t="shared" si="8"/>
        <v>7</v>
      </c>
      <c r="T328" s="21">
        <f>countif('v2022'!E:E,A328)</f>
        <v>1</v>
      </c>
      <c r="U328" s="21">
        <f>countif('v2018'!E:E,A328)</f>
        <v>1</v>
      </c>
      <c r="V328" s="21">
        <f>countif('v2014'!E:E,A328)</f>
        <v>1</v>
      </c>
      <c r="W328" s="21">
        <f>countif('v2010'!E:E,A328)</f>
        <v>1</v>
      </c>
      <c r="X328" s="21">
        <f>countif('v2006'!E:E,A328)</f>
        <v>1</v>
      </c>
      <c r="Y328" s="21">
        <f>countif('v2002'!E:E,A328)</f>
        <v>1</v>
      </c>
      <c r="Z328" s="21">
        <f>countif('v1998'!E:E,A328)</f>
        <v>1</v>
      </c>
    </row>
    <row r="329">
      <c r="A329" s="17" t="s">
        <v>4711</v>
      </c>
      <c r="B329" s="18" t="s">
        <v>1307</v>
      </c>
      <c r="C329" s="21" t="str">
        <f t="shared" si="36"/>
        <v>Tau Mass</v>
      </c>
      <c r="D329" s="21" t="str">
        <f t="shared" si="10"/>
        <v>Masse du tau</v>
      </c>
      <c r="E329" s="17" t="s">
        <v>2910</v>
      </c>
      <c r="F329" s="17" t="s">
        <v>4787</v>
      </c>
      <c r="G329" s="18" t="s">
        <v>98</v>
      </c>
      <c r="H329" s="18" t="str">
        <f t="shared" si="28"/>
        <v>kg</v>
      </c>
      <c r="I329" s="17">
        <f>if(H329="","", countif(Units!A:A,H329))</f>
        <v>1</v>
      </c>
      <c r="J329" s="18" t="s">
        <v>1307</v>
      </c>
      <c r="K329" s="28">
        <f>countif(Quantities!A:A,J329)</f>
        <v>1</v>
      </c>
      <c r="L329" s="30" t="b">
        <f t="shared" si="4"/>
        <v>1</v>
      </c>
      <c r="M329" s="17" t="s">
        <v>1307</v>
      </c>
      <c r="N329" s="34" t="str">
        <f t="shared" si="5"/>
        <v>qudt</v>
      </c>
      <c r="O329" s="18" t="b">
        <f t="shared" si="35"/>
        <v>1</v>
      </c>
      <c r="P329" s="39"/>
      <c r="Q329" s="39"/>
      <c r="R329" s="39" t="str">
        <f t="shared" si="7"/>
        <v/>
      </c>
      <c r="S329" s="43">
        <f t="shared" si="8"/>
        <v>7</v>
      </c>
      <c r="T329" s="21">
        <f>countif('v2022'!E:E,A329)</f>
        <v>1</v>
      </c>
      <c r="U329" s="21">
        <f>countif('v2018'!E:E,A329)</f>
        <v>1</v>
      </c>
      <c r="V329" s="21">
        <f>countif('v2014'!E:E,A329)</f>
        <v>1</v>
      </c>
      <c r="W329" s="21">
        <f>countif('v2010'!E:E,A329)</f>
        <v>1</v>
      </c>
      <c r="X329" s="21">
        <f>countif('v2006'!E:E,A329)</f>
        <v>1</v>
      </c>
      <c r="Y329" s="21">
        <f>countif('v2002'!E:E,A329)</f>
        <v>1</v>
      </c>
      <c r="Z329" s="21">
        <f>countif('v1998'!E:E,A329)</f>
        <v>1</v>
      </c>
    </row>
    <row r="330">
      <c r="A330" s="17" t="s">
        <v>4719</v>
      </c>
      <c r="B330" s="18" t="s">
        <v>1310</v>
      </c>
      <c r="C330" s="21" t="str">
        <f t="shared" si="36"/>
        <v>Tau Mass Energy Equivalent</v>
      </c>
      <c r="D330" s="21" t="str">
        <f t="shared" si="10"/>
        <v>Énergie de masse du tau</v>
      </c>
      <c r="E330" s="17" t="s">
        <v>2915</v>
      </c>
      <c r="F330" s="17" t="s">
        <v>4789</v>
      </c>
      <c r="G330" s="18" t="s">
        <v>173</v>
      </c>
      <c r="H330" s="18" t="str">
        <f t="shared" si="28"/>
        <v>J</v>
      </c>
      <c r="I330" s="17">
        <f>if(H330="","", countif(Units!A:A,H330))</f>
        <v>1</v>
      </c>
      <c r="J330" s="17" t="s">
        <v>1310</v>
      </c>
      <c r="K330" s="28">
        <f>countif(Quantities!A:A,J330)</f>
        <v>1</v>
      </c>
      <c r="L330" s="30" t="b">
        <f t="shared" si="4"/>
        <v>1</v>
      </c>
      <c r="M330" s="17" t="s">
        <v>1310</v>
      </c>
      <c r="N330" s="34" t="str">
        <f t="shared" si="5"/>
        <v>qudt</v>
      </c>
      <c r="O330" s="18" t="b">
        <f t="shared" si="35"/>
        <v>1</v>
      </c>
      <c r="P330" s="39"/>
      <c r="Q330" s="39"/>
      <c r="R330" s="39" t="str">
        <f t="shared" si="7"/>
        <v/>
      </c>
      <c r="S330" s="43">
        <f t="shared" si="8"/>
        <v>7</v>
      </c>
      <c r="T330" s="21">
        <f>countif('v2022'!E:E,A330)</f>
        <v>1</v>
      </c>
      <c r="U330" s="21">
        <f>countif('v2018'!E:E,A330)</f>
        <v>1</v>
      </c>
      <c r="V330" s="21">
        <f>countif('v2014'!E:E,A330)</f>
        <v>1</v>
      </c>
      <c r="W330" s="21">
        <f>countif('v2010'!E:E,A330)</f>
        <v>1</v>
      </c>
      <c r="X330" s="21">
        <f>countif('v2006'!E:E,A330)</f>
        <v>1</v>
      </c>
      <c r="Y330" s="21">
        <f>countif('v2002'!E:E,A330)</f>
        <v>1</v>
      </c>
      <c r="Z330" s="21">
        <f>countif('v1998'!E:E,A330)</f>
        <v>1</v>
      </c>
    </row>
    <row r="331">
      <c r="A331" s="17" t="s">
        <v>4707</v>
      </c>
      <c r="B331" s="18" t="s">
        <v>4792</v>
      </c>
      <c r="C331" s="17" t="s">
        <v>4793</v>
      </c>
      <c r="D331" s="21" t="str">
        <f t="shared" si="10"/>
        <v>Énergie de masse du tau en MeV</v>
      </c>
      <c r="E331" s="17" t="s">
        <v>4201</v>
      </c>
      <c r="F331" s="17" t="s">
        <v>4794</v>
      </c>
      <c r="G331" s="18" t="s">
        <v>224</v>
      </c>
      <c r="H331" s="18" t="str">
        <f t="shared" si="28"/>
        <v>MeV</v>
      </c>
      <c r="I331" s="17">
        <f>if(H331="","", countif(Units!A:A,H331))</f>
        <v>1</v>
      </c>
      <c r="J331" s="17" t="s">
        <v>1307</v>
      </c>
      <c r="K331" s="28">
        <f>countif(Quantities!A:A,J331)</f>
        <v>1</v>
      </c>
      <c r="L331" s="30" t="b">
        <f t="shared" si="4"/>
        <v>0</v>
      </c>
      <c r="M331" s="17" t="s">
        <v>4792</v>
      </c>
      <c r="N331" s="34" t="str">
        <f t="shared" si="5"/>
        <v>qudt</v>
      </c>
      <c r="O331" s="18" t="b">
        <f t="shared" si="35"/>
        <v>1</v>
      </c>
      <c r="P331" s="39"/>
      <c r="Q331" s="39"/>
      <c r="R331" s="39" t="str">
        <f t="shared" si="7"/>
        <v/>
      </c>
      <c r="S331" s="43">
        <f t="shared" si="8"/>
        <v>7</v>
      </c>
      <c r="T331" s="21">
        <f>countif('v2022'!E:E,A331)</f>
        <v>1</v>
      </c>
      <c r="U331" s="21">
        <f>countif('v2018'!E:E,A331)</f>
        <v>1</v>
      </c>
      <c r="V331" s="21">
        <f>countif('v2014'!E:E,A331)</f>
        <v>1</v>
      </c>
      <c r="W331" s="21">
        <f>countif('v2010'!E:E,A331)</f>
        <v>1</v>
      </c>
      <c r="X331" s="21">
        <f>countif('v2006'!E:E,A331)</f>
        <v>1</v>
      </c>
      <c r="Y331" s="21">
        <f>countif('v2002'!E:E,A331)</f>
        <v>1</v>
      </c>
      <c r="Z331" s="21">
        <f>countif('v1998'!E:E,A331)</f>
        <v>1</v>
      </c>
    </row>
    <row r="332">
      <c r="A332" s="17" t="s">
        <v>4730</v>
      </c>
      <c r="B332" s="18" t="s">
        <v>4799</v>
      </c>
      <c r="C332" s="21" t="str">
        <f t="shared" ref="C332:C345" si="37">proper(E332)</f>
        <v>Tau Mass In U</v>
      </c>
      <c r="D332" s="21" t="str">
        <f t="shared" si="10"/>
        <v>Masse du tau en u</v>
      </c>
      <c r="E332" s="17" t="s">
        <v>2920</v>
      </c>
      <c r="F332" s="17" t="s">
        <v>4800</v>
      </c>
      <c r="G332" s="18" t="s">
        <v>249</v>
      </c>
      <c r="H332" s="18" t="str">
        <f t="shared" si="28"/>
        <v>u</v>
      </c>
      <c r="I332" s="17">
        <f>if(H332="","", countif(Units!A:A,H332))</f>
        <v>1</v>
      </c>
      <c r="J332" s="17" t="s">
        <v>1307</v>
      </c>
      <c r="K332" s="28">
        <f>countif(Quantities!A:A,J332)</f>
        <v>1</v>
      </c>
      <c r="L332" s="30" t="b">
        <f t="shared" si="4"/>
        <v>0</v>
      </c>
      <c r="M332" s="17" t="s">
        <v>4799</v>
      </c>
      <c r="N332" s="34" t="str">
        <f t="shared" si="5"/>
        <v>qudt</v>
      </c>
      <c r="O332" s="18" t="b">
        <f t="shared" si="35"/>
        <v>1</v>
      </c>
      <c r="P332" s="39"/>
      <c r="Q332" s="39"/>
      <c r="R332" s="39" t="str">
        <f t="shared" si="7"/>
        <v/>
      </c>
      <c r="S332" s="43">
        <f t="shared" si="8"/>
        <v>7</v>
      </c>
      <c r="T332" s="21">
        <f>countif('v2022'!E:E,A332)</f>
        <v>1</v>
      </c>
      <c r="U332" s="21">
        <f>countif('v2018'!E:E,A332)</f>
        <v>1</v>
      </c>
      <c r="V332" s="21">
        <f>countif('v2014'!E:E,A332)</f>
        <v>1</v>
      </c>
      <c r="W332" s="21">
        <f>countif('v2010'!E:E,A332)</f>
        <v>1</v>
      </c>
      <c r="X332" s="21">
        <f>countif('v2006'!E:E,A332)</f>
        <v>1</v>
      </c>
      <c r="Y332" s="21">
        <f>countif('v2002'!E:E,A332)</f>
        <v>1</v>
      </c>
      <c r="Z332" s="21">
        <f>countif('v1998'!E:E,A332)</f>
        <v>1</v>
      </c>
    </row>
    <row r="333">
      <c r="A333" s="17" t="s">
        <v>4735</v>
      </c>
      <c r="B333" s="18" t="s">
        <v>1313</v>
      </c>
      <c r="C333" s="21" t="str">
        <f t="shared" si="37"/>
        <v>Tau Molar Mass</v>
      </c>
      <c r="D333" s="21" t="str">
        <f t="shared" si="10"/>
        <v>Masse molaire du tau</v>
      </c>
      <c r="E333" s="17" t="s">
        <v>2928</v>
      </c>
      <c r="F333" s="17" t="s">
        <v>4805</v>
      </c>
      <c r="G333" s="18" t="s">
        <v>286</v>
      </c>
      <c r="H333" s="18" t="str">
        <f t="shared" si="28"/>
        <v>kg_mol-1</v>
      </c>
      <c r="I333" s="17">
        <f>if(H333="","", countif(Units!A:A,H333))</f>
        <v>1</v>
      </c>
      <c r="J333" s="18" t="s">
        <v>1313</v>
      </c>
      <c r="K333" s="28">
        <f>countif(Quantities!A:A,J333)</f>
        <v>1</v>
      </c>
      <c r="L333" s="30" t="b">
        <f t="shared" si="4"/>
        <v>1</v>
      </c>
      <c r="M333" s="17" t="s">
        <v>1313</v>
      </c>
      <c r="N333" s="34" t="str">
        <f t="shared" si="5"/>
        <v>qudt</v>
      </c>
      <c r="O333" s="18" t="b">
        <f t="shared" si="35"/>
        <v>1</v>
      </c>
      <c r="P333" s="39"/>
      <c r="Q333" s="39"/>
      <c r="R333" s="39" t="str">
        <f t="shared" si="7"/>
        <v/>
      </c>
      <c r="S333" s="43">
        <f t="shared" si="8"/>
        <v>7</v>
      </c>
      <c r="T333" s="21">
        <f>countif('v2022'!E:E,A333)</f>
        <v>1</v>
      </c>
      <c r="U333" s="21">
        <f>countif('v2018'!E:E,A333)</f>
        <v>1</v>
      </c>
      <c r="V333" s="21">
        <f>countif('v2014'!E:E,A333)</f>
        <v>1</v>
      </c>
      <c r="W333" s="21">
        <f>countif('v2010'!E:E,A333)</f>
        <v>1</v>
      </c>
      <c r="X333" s="21">
        <f>countif('v2006'!E:E,A333)</f>
        <v>1</v>
      </c>
      <c r="Y333" s="21">
        <f>countif('v2002'!E:E,A333)</f>
        <v>1</v>
      </c>
      <c r="Z333" s="21">
        <f>countif('v1998'!E:E,A333)</f>
        <v>1</v>
      </c>
    </row>
    <row r="334">
      <c r="A334" s="17" t="s">
        <v>4749</v>
      </c>
      <c r="B334" s="18" t="s">
        <v>1330</v>
      </c>
      <c r="C334" s="21" t="str">
        <f t="shared" si="37"/>
        <v>Tau - Muon Mass Ratio</v>
      </c>
      <c r="D334" s="21" t="str">
        <f t="shared" si="10"/>
        <v>Rapport de la masse du tau à celle du muon</v>
      </c>
      <c r="E334" s="17" t="s">
        <v>4809</v>
      </c>
      <c r="F334" s="17" t="s">
        <v>4810</v>
      </c>
      <c r="H334" s="18" t="str">
        <f t="shared" si="28"/>
        <v/>
      </c>
      <c r="I334" s="17" t="str">
        <f>if(H334="","", countif(Units!A:A,H334))</f>
        <v/>
      </c>
      <c r="J334" s="18" t="s">
        <v>1330</v>
      </c>
      <c r="K334" s="28">
        <f>countif(Quantities!A:A,J334)</f>
        <v>1</v>
      </c>
      <c r="L334" s="30" t="b">
        <f t="shared" si="4"/>
        <v>1</v>
      </c>
      <c r="M334" s="17" t="s">
        <v>1330</v>
      </c>
      <c r="N334" s="34" t="str">
        <f t="shared" si="5"/>
        <v>qudt</v>
      </c>
      <c r="O334" s="18" t="b">
        <f t="shared" si="35"/>
        <v>1</v>
      </c>
      <c r="P334" s="39"/>
      <c r="Q334" s="39"/>
      <c r="R334" s="39" t="str">
        <f t="shared" si="7"/>
        <v/>
      </c>
      <c r="S334" s="43">
        <f t="shared" si="8"/>
        <v>7</v>
      </c>
      <c r="T334" s="21">
        <f>countif('v2022'!E:E,A334)</f>
        <v>1</v>
      </c>
      <c r="U334" s="21">
        <f>countif('v2018'!E:E,A334)</f>
        <v>1</v>
      </c>
      <c r="V334" s="21">
        <f>countif('v2014'!E:E,A334)</f>
        <v>1</v>
      </c>
      <c r="W334" s="21">
        <f>countif('v2010'!E:E,A334)</f>
        <v>1</v>
      </c>
      <c r="X334" s="21">
        <f>countif('v2006'!E:E,A334)</f>
        <v>1</v>
      </c>
      <c r="Y334" s="21">
        <f>countif('v2002'!E:E,A334)</f>
        <v>1</v>
      </c>
      <c r="Z334" s="21">
        <f>countif('v1998'!E:E,A334)</f>
        <v>1</v>
      </c>
    </row>
    <row r="335">
      <c r="A335" s="17" t="s">
        <v>4753</v>
      </c>
      <c r="B335" s="18" t="s">
        <v>1332</v>
      </c>
      <c r="C335" s="21" t="str">
        <f t="shared" si="37"/>
        <v>Tau - Neutron Mass Ratio</v>
      </c>
      <c r="D335" s="21" t="str">
        <f t="shared" si="10"/>
        <v>Rapport de la masse du tau à celle du neutron</v>
      </c>
      <c r="E335" s="17" t="s">
        <v>4816</v>
      </c>
      <c r="F335" s="17" t="s">
        <v>4821</v>
      </c>
      <c r="H335" s="18" t="str">
        <f t="shared" si="28"/>
        <v/>
      </c>
      <c r="I335" s="17" t="str">
        <f>if(H335="","", countif(Units!A:A,H335))</f>
        <v/>
      </c>
      <c r="J335" s="18" t="s">
        <v>1332</v>
      </c>
      <c r="K335" s="28">
        <f>countif(Quantities!A:A,J335)</f>
        <v>1</v>
      </c>
      <c r="L335" s="30" t="b">
        <f t="shared" si="4"/>
        <v>1</v>
      </c>
      <c r="M335" s="17" t="s">
        <v>1332</v>
      </c>
      <c r="N335" s="34" t="str">
        <f t="shared" si="5"/>
        <v>qudt</v>
      </c>
      <c r="O335" s="18" t="b">
        <f t="shared" si="35"/>
        <v>1</v>
      </c>
      <c r="P335" s="39"/>
      <c r="Q335" s="39"/>
      <c r="R335" s="39" t="str">
        <f t="shared" si="7"/>
        <v/>
      </c>
      <c r="S335" s="43">
        <f t="shared" si="8"/>
        <v>7</v>
      </c>
      <c r="T335" s="21">
        <f>countif('v2022'!E:E,A335)</f>
        <v>1</v>
      </c>
      <c r="U335" s="21">
        <f>countif('v2018'!E:E,A335)</f>
        <v>1</v>
      </c>
      <c r="V335" s="21">
        <f>countif('v2014'!E:E,A335)</f>
        <v>1</v>
      </c>
      <c r="W335" s="21">
        <f>countif('v2010'!E:E,A335)</f>
        <v>1</v>
      </c>
      <c r="X335" s="21">
        <f>countif('v2006'!E:E,A335)</f>
        <v>1</v>
      </c>
      <c r="Y335" s="21">
        <f>countif('v2002'!E:E,A335)</f>
        <v>1</v>
      </c>
      <c r="Z335" s="21">
        <f>countif('v1998'!E:E,A335)</f>
        <v>1</v>
      </c>
    </row>
    <row r="336">
      <c r="A336" s="17" t="s">
        <v>4757</v>
      </c>
      <c r="B336" s="18" t="s">
        <v>1339</v>
      </c>
      <c r="C336" s="21" t="str">
        <f t="shared" si="37"/>
        <v>Tau - Proton Mass Ratio</v>
      </c>
      <c r="D336" s="21" t="str">
        <f t="shared" si="10"/>
        <v>Rapport de la masse du tau à celle du proton</v>
      </c>
      <c r="E336" s="17" t="s">
        <v>4833</v>
      </c>
      <c r="F336" s="17" t="s">
        <v>4834</v>
      </c>
      <c r="H336" s="18" t="str">
        <f t="shared" si="28"/>
        <v/>
      </c>
      <c r="I336" s="17" t="str">
        <f>if(H336="","", countif(Units!A:A,H336))</f>
        <v/>
      </c>
      <c r="J336" s="18" t="s">
        <v>1339</v>
      </c>
      <c r="K336" s="28">
        <f>countif(Quantities!A:A,J336)</f>
        <v>1</v>
      </c>
      <c r="L336" s="30" t="b">
        <f t="shared" si="4"/>
        <v>1</v>
      </c>
      <c r="M336" s="17" t="s">
        <v>1339</v>
      </c>
      <c r="N336" s="34" t="str">
        <f t="shared" si="5"/>
        <v>qudt</v>
      </c>
      <c r="O336" s="18" t="b">
        <f t="shared" si="35"/>
        <v>1</v>
      </c>
      <c r="P336" s="39"/>
      <c r="Q336" s="39"/>
      <c r="R336" s="39" t="str">
        <f t="shared" si="7"/>
        <v/>
      </c>
      <c r="S336" s="43">
        <f t="shared" si="8"/>
        <v>7</v>
      </c>
      <c r="T336" s="21">
        <f>countif('v2022'!E:E,A336)</f>
        <v>1</v>
      </c>
      <c r="U336" s="21">
        <f>countif('v2018'!E:E,A336)</f>
        <v>1</v>
      </c>
      <c r="V336" s="21">
        <f>countif('v2014'!E:E,A336)</f>
        <v>1</v>
      </c>
      <c r="W336" s="21">
        <f>countif('v2010'!E:E,A336)</f>
        <v>1</v>
      </c>
      <c r="X336" s="21">
        <f>countif('v2006'!E:E,A336)</f>
        <v>1</v>
      </c>
      <c r="Y336" s="21">
        <f>countif('v2002'!E:E,A336)</f>
        <v>1</v>
      </c>
      <c r="Z336" s="21">
        <f>countif('v1998'!E:E,A336)</f>
        <v>1</v>
      </c>
    </row>
    <row r="337">
      <c r="A337" s="17" t="s">
        <v>4761</v>
      </c>
      <c r="B337" s="18" t="s">
        <v>1342</v>
      </c>
      <c r="C337" s="21" t="str">
        <f t="shared" si="37"/>
        <v>Thomson Cross Section</v>
      </c>
      <c r="D337" s="21" t="str">
        <f t="shared" si="10"/>
        <v>Section efficace de Thomson</v>
      </c>
      <c r="E337" s="17" t="s">
        <v>2943</v>
      </c>
      <c r="F337" s="17" t="s">
        <v>4846</v>
      </c>
      <c r="G337" s="18" t="s">
        <v>2946</v>
      </c>
      <c r="H337" s="18" t="str">
        <f t="shared" si="28"/>
        <v>m2</v>
      </c>
      <c r="I337" s="17">
        <f>if(H337="","", countif(Units!A:A,H337))</f>
        <v>1</v>
      </c>
      <c r="J337" s="18" t="s">
        <v>1342</v>
      </c>
      <c r="K337" s="28">
        <f>countif(Quantities!A:A,J337)</f>
        <v>1</v>
      </c>
      <c r="L337" s="30" t="b">
        <f t="shared" si="4"/>
        <v>1</v>
      </c>
      <c r="M337" s="17" t="s">
        <v>1342</v>
      </c>
      <c r="N337" s="34" t="str">
        <f t="shared" si="5"/>
        <v>qudt</v>
      </c>
      <c r="O337" s="18" t="b">
        <f t="shared" si="35"/>
        <v>1</v>
      </c>
      <c r="P337" s="39"/>
      <c r="Q337" s="39"/>
      <c r="R337" s="39" t="str">
        <f t="shared" si="7"/>
        <v/>
      </c>
      <c r="S337" s="43">
        <f t="shared" si="8"/>
        <v>7</v>
      </c>
      <c r="T337" s="21">
        <f>countif('v2022'!E:E,A337)</f>
        <v>1</v>
      </c>
      <c r="U337" s="21">
        <f>countif('v2018'!E:E,A337)</f>
        <v>1</v>
      </c>
      <c r="V337" s="21">
        <f>countif('v2014'!E:E,A337)</f>
        <v>1</v>
      </c>
      <c r="W337" s="21">
        <f>countif('v2010'!E:E,A337)</f>
        <v>1</v>
      </c>
      <c r="X337" s="21">
        <f>countif('v2006'!E:E,A337)</f>
        <v>1</v>
      </c>
      <c r="Y337" s="21">
        <f>countif('v2002'!E:E,A337)</f>
        <v>1</v>
      </c>
      <c r="Z337" s="21">
        <f>countif('v1998'!E:E,A337)</f>
        <v>1</v>
      </c>
    </row>
    <row r="338">
      <c r="A338" s="17" t="s">
        <v>4820</v>
      </c>
      <c r="B338" s="18" t="s">
        <v>1344</v>
      </c>
      <c r="C338" s="21" t="str">
        <f t="shared" si="37"/>
        <v>Triton - Electron Magnetic Moment Ratio</v>
      </c>
      <c r="D338" s="21" t="str">
        <f t="shared" si="10"/>
        <v>Rapport du moment magnétique du triton à celui de l'électron</v>
      </c>
      <c r="E338" s="17" t="s">
        <v>4850</v>
      </c>
      <c r="F338" s="17" t="s">
        <v>4852</v>
      </c>
      <c r="G338" s="18" t="s">
        <v>4853</v>
      </c>
      <c r="H338" s="18" t="str">
        <f t="shared" si="28"/>
        <v/>
      </c>
      <c r="I338" s="17" t="str">
        <f>if(H338="","", countif(Units!A:A,H338))</f>
        <v/>
      </c>
      <c r="J338" s="18" t="s">
        <v>1344</v>
      </c>
      <c r="K338" s="28">
        <f>countif(Quantities!A:A,J338)</f>
        <v>1</v>
      </c>
      <c r="L338" s="30" t="b">
        <f t="shared" si="4"/>
        <v>1</v>
      </c>
      <c r="M338" s="17" t="s">
        <v>1344</v>
      </c>
      <c r="N338" s="34" t="str">
        <f t="shared" si="5"/>
        <v>qudt</v>
      </c>
      <c r="O338" s="18" t="b">
        <f t="shared" si="35"/>
        <v>1</v>
      </c>
      <c r="P338" s="39"/>
      <c r="Q338" s="39"/>
      <c r="R338" s="39" t="str">
        <f t="shared" si="7"/>
        <v/>
      </c>
      <c r="S338" s="43">
        <f t="shared" si="8"/>
        <v>1</v>
      </c>
      <c r="T338" s="21">
        <f>countif('v2022'!E:E,A338)</f>
        <v>0</v>
      </c>
      <c r="U338" s="21">
        <f>countif('v2018'!E:E,A338)</f>
        <v>0</v>
      </c>
      <c r="V338" s="21">
        <f>countif('v2014'!E:E,A338)</f>
        <v>0</v>
      </c>
      <c r="W338" s="21">
        <f>countif('v2010'!E:E,A338)</f>
        <v>0</v>
      </c>
      <c r="X338" s="21">
        <f>countif('v2006'!E:E,A338)</f>
        <v>1</v>
      </c>
      <c r="Y338" s="21">
        <f>countif('v2002'!E:E,A338)</f>
        <v>0</v>
      </c>
      <c r="Z338" s="21">
        <f>countif('v1998'!E:E,A338)</f>
        <v>0</v>
      </c>
    </row>
    <row r="339">
      <c r="A339" s="17" t="s">
        <v>4826</v>
      </c>
      <c r="B339" s="18" t="s">
        <v>1347</v>
      </c>
      <c r="C339" s="21" t="str">
        <f t="shared" si="37"/>
        <v>Triton - Electron Mass Ratio</v>
      </c>
      <c r="D339" s="21" t="str">
        <f t="shared" si="10"/>
        <v>Rapport de la masse du triton à celle de l'électron</v>
      </c>
      <c r="E339" s="17" t="s">
        <v>4856</v>
      </c>
      <c r="F339" s="17" t="s">
        <v>4857</v>
      </c>
      <c r="H339" s="18" t="str">
        <f t="shared" si="28"/>
        <v/>
      </c>
      <c r="I339" s="17" t="str">
        <f>if(H339="","", countif(Units!A:A,H339))</f>
        <v/>
      </c>
      <c r="J339" s="18" t="s">
        <v>1347</v>
      </c>
      <c r="K339" s="28">
        <f>countif(Quantities!A:A,J339)</f>
        <v>1</v>
      </c>
      <c r="L339" s="30" t="b">
        <f t="shared" si="4"/>
        <v>1</v>
      </c>
      <c r="M339" s="17" t="s">
        <v>1347</v>
      </c>
      <c r="N339" s="34" t="str">
        <f t="shared" si="5"/>
        <v>qudt</v>
      </c>
      <c r="O339" s="18" t="b">
        <f t="shared" si="35"/>
        <v>1</v>
      </c>
      <c r="P339" s="39"/>
      <c r="Q339" s="39"/>
      <c r="R339" s="39" t="str">
        <f t="shared" si="7"/>
        <v/>
      </c>
      <c r="S339" s="43">
        <f t="shared" si="8"/>
        <v>5</v>
      </c>
      <c r="T339" s="21">
        <f>countif('v2022'!E:E,A339)</f>
        <v>1</v>
      </c>
      <c r="U339" s="21">
        <f>countif('v2018'!E:E,A339)</f>
        <v>1</v>
      </c>
      <c r="V339" s="21">
        <f>countif('v2014'!E:E,A339)</f>
        <v>1</v>
      </c>
      <c r="W339" s="21">
        <f>countif('v2010'!E:E,A339)</f>
        <v>1</v>
      </c>
      <c r="X339" s="21">
        <f>countif('v2006'!E:E,A339)</f>
        <v>1</v>
      </c>
      <c r="Y339" s="21">
        <f>countif('v2002'!E:E,A339)</f>
        <v>0</v>
      </c>
      <c r="Z339" s="21">
        <f>countif('v1998'!E:E,A339)</f>
        <v>0</v>
      </c>
    </row>
    <row r="340">
      <c r="A340" s="17" t="s">
        <v>4765</v>
      </c>
      <c r="B340" s="18" t="s">
        <v>1353</v>
      </c>
      <c r="C340" s="21" t="str">
        <f t="shared" si="37"/>
        <v>Triton G Factor</v>
      </c>
      <c r="D340" s="21" t="str">
        <f t="shared" si="10"/>
        <v>Facteur de Landé du triton</v>
      </c>
      <c r="E340" s="17" t="s">
        <v>2955</v>
      </c>
      <c r="F340" s="17" t="s">
        <v>4862</v>
      </c>
      <c r="H340" s="18" t="str">
        <f t="shared" si="28"/>
        <v/>
      </c>
      <c r="I340" s="17" t="str">
        <f>if(H340="","", countif(Units!A:A,H340))</f>
        <v/>
      </c>
      <c r="J340" s="18" t="s">
        <v>1353</v>
      </c>
      <c r="K340" s="28">
        <f>countif(Quantities!A:A,J340)</f>
        <v>1</v>
      </c>
      <c r="L340" s="30" t="b">
        <f t="shared" si="4"/>
        <v>1</v>
      </c>
      <c r="M340" s="17" t="s">
        <v>1353</v>
      </c>
      <c r="N340" s="34" t="str">
        <f t="shared" si="5"/>
        <v>qudt</v>
      </c>
      <c r="O340" s="18" t="b">
        <f t="shared" si="35"/>
        <v>1</v>
      </c>
      <c r="P340" s="39"/>
      <c r="Q340" s="39"/>
      <c r="R340" s="39" t="str">
        <f t="shared" si="7"/>
        <v/>
      </c>
      <c r="S340" s="43">
        <f t="shared" si="8"/>
        <v>5</v>
      </c>
      <c r="T340" s="21">
        <f>countif('v2022'!E:E,A340)</f>
        <v>1</v>
      </c>
      <c r="U340" s="21">
        <f>countif('v2018'!E:E,A340)</f>
        <v>1</v>
      </c>
      <c r="V340" s="21">
        <f>countif('v2014'!E:E,A340)</f>
        <v>1</v>
      </c>
      <c r="W340" s="21">
        <f>countif('v2010'!E:E,A340)</f>
        <v>1</v>
      </c>
      <c r="X340" s="21">
        <f>countif('v2006'!E:E,A340)</f>
        <v>1</v>
      </c>
      <c r="Y340" s="21">
        <f>countif('v2002'!E:E,A340)</f>
        <v>0</v>
      </c>
      <c r="Z340" s="21">
        <f>countif('v1998'!E:E,A340)</f>
        <v>0</v>
      </c>
    </row>
    <row r="341">
      <c r="A341" s="17" t="s">
        <v>4769</v>
      </c>
      <c r="B341" s="18" t="s">
        <v>1356</v>
      </c>
      <c r="C341" s="21" t="str">
        <f t="shared" si="37"/>
        <v>Triton Magnetic Moment</v>
      </c>
      <c r="D341" s="21" t="str">
        <f t="shared" si="10"/>
        <v>Moment magnétique du triton</v>
      </c>
      <c r="E341" s="17" t="s">
        <v>4773</v>
      </c>
      <c r="F341" s="17" t="s">
        <v>4870</v>
      </c>
      <c r="G341" s="18" t="s">
        <v>964</v>
      </c>
      <c r="H341" s="18" t="str">
        <f t="shared" si="28"/>
        <v>J_T-1</v>
      </c>
      <c r="I341" s="17">
        <f>if(H341="","", countif(Units!A:A,H341))</f>
        <v>1</v>
      </c>
      <c r="J341" s="18" t="s">
        <v>1356</v>
      </c>
      <c r="K341" s="28">
        <f>countif(Quantities!A:A,J341)</f>
        <v>1</v>
      </c>
      <c r="L341" s="30" t="b">
        <f t="shared" si="4"/>
        <v>1</v>
      </c>
      <c r="M341" s="17" t="s">
        <v>1356</v>
      </c>
      <c r="N341" s="34" t="str">
        <f t="shared" si="5"/>
        <v>qudt</v>
      </c>
      <c r="O341" s="18" t="b">
        <f t="shared" si="35"/>
        <v>1</v>
      </c>
      <c r="P341" s="39"/>
      <c r="Q341" s="39"/>
      <c r="R341" s="39" t="str">
        <f t="shared" si="7"/>
        <v/>
      </c>
      <c r="S341" s="43">
        <f t="shared" si="8"/>
        <v>5</v>
      </c>
      <c r="T341" s="21">
        <f>countif('v2022'!E:E,A341)</f>
        <v>1</v>
      </c>
      <c r="U341" s="21">
        <f>countif('v2018'!E:E,A341)</f>
        <v>1</v>
      </c>
      <c r="V341" s="21">
        <f>countif('v2014'!E:E,A341)</f>
        <v>1</v>
      </c>
      <c r="W341" s="21">
        <f>countif('v2010'!E:E,A341)</f>
        <v>1</v>
      </c>
      <c r="X341" s="21">
        <f>countif('v2006'!E:E,A341)</f>
        <v>1</v>
      </c>
      <c r="Y341" s="21">
        <f>countif('v2002'!E:E,A341)</f>
        <v>0</v>
      </c>
      <c r="Z341" s="21">
        <f>countif('v1998'!E:E,A341)</f>
        <v>0</v>
      </c>
    </row>
    <row r="342">
      <c r="A342" s="17" t="s">
        <v>4777</v>
      </c>
      <c r="B342" s="18" t="s">
        <v>1359</v>
      </c>
      <c r="C342" s="21" t="str">
        <f t="shared" si="37"/>
        <v>Triton Magnetic Moment To Bohr Magneton Ratio</v>
      </c>
      <c r="D342" s="21" t="str">
        <f t="shared" si="10"/>
        <v>Rapport du moment magnétique du triton au magnéton de Bohr électronique</v>
      </c>
      <c r="E342" s="17" t="s">
        <v>4780</v>
      </c>
      <c r="F342" s="17" t="s">
        <v>4879</v>
      </c>
      <c r="H342" s="18" t="str">
        <f t="shared" si="28"/>
        <v/>
      </c>
      <c r="I342" s="17" t="str">
        <f>if(H342="","", countif(Units!A:A,H342))</f>
        <v/>
      </c>
      <c r="J342" s="18" t="s">
        <v>1359</v>
      </c>
      <c r="K342" s="28">
        <f>countif(Quantities!A:A,J342)</f>
        <v>1</v>
      </c>
      <c r="L342" s="30" t="b">
        <f t="shared" si="4"/>
        <v>1</v>
      </c>
      <c r="M342" s="17" t="s">
        <v>1359</v>
      </c>
      <c r="N342" s="34" t="str">
        <f t="shared" si="5"/>
        <v>qudt</v>
      </c>
      <c r="O342" s="18" t="b">
        <f t="shared" si="35"/>
        <v>1</v>
      </c>
      <c r="P342" s="39"/>
      <c r="Q342" s="39"/>
      <c r="R342" s="39" t="str">
        <f t="shared" si="7"/>
        <v/>
      </c>
      <c r="S342" s="43">
        <f t="shared" si="8"/>
        <v>5</v>
      </c>
      <c r="T342" s="21">
        <f>countif('v2022'!E:E,A342)</f>
        <v>1</v>
      </c>
      <c r="U342" s="21">
        <f>countif('v2018'!E:E,A342)</f>
        <v>1</v>
      </c>
      <c r="V342" s="21">
        <f>countif('v2014'!E:E,A342)</f>
        <v>1</v>
      </c>
      <c r="W342" s="21">
        <f>countif('v2010'!E:E,A342)</f>
        <v>1</v>
      </c>
      <c r="X342" s="21">
        <f>countif('v2006'!E:E,A342)</f>
        <v>1</v>
      </c>
      <c r="Y342" s="21">
        <f>countif('v2002'!E:E,A342)</f>
        <v>0</v>
      </c>
      <c r="Z342" s="21">
        <f>countif('v1998'!E:E,A342)</f>
        <v>0</v>
      </c>
    </row>
    <row r="343">
      <c r="A343" s="17" t="s">
        <v>4783</v>
      </c>
      <c r="B343" s="18" t="s">
        <v>1361</v>
      </c>
      <c r="C343" s="21" t="str">
        <f t="shared" si="37"/>
        <v>Triton Magnetic Moment To Nuclear Magneton Ratio</v>
      </c>
      <c r="D343" s="21" t="str">
        <f t="shared" si="10"/>
        <v>Rapport du moment magnétique du triton au magnéton de Bohr nucléaire</v>
      </c>
      <c r="E343" s="17" t="s">
        <v>4786</v>
      </c>
      <c r="F343" s="17" t="s">
        <v>4884</v>
      </c>
      <c r="H343" s="18" t="str">
        <f t="shared" si="28"/>
        <v/>
      </c>
      <c r="I343" s="17" t="str">
        <f>if(H343="","", countif(Units!A:A,H343))</f>
        <v/>
      </c>
      <c r="J343" s="18" t="s">
        <v>1361</v>
      </c>
      <c r="K343" s="28">
        <f>countif(Quantities!A:A,J343)</f>
        <v>1</v>
      </c>
      <c r="L343" s="30" t="b">
        <f t="shared" si="4"/>
        <v>1</v>
      </c>
      <c r="M343" s="17" t="s">
        <v>1361</v>
      </c>
      <c r="N343" s="34" t="str">
        <f t="shared" si="5"/>
        <v>qudt</v>
      </c>
      <c r="O343" s="18" t="b">
        <f t="shared" si="35"/>
        <v>1</v>
      </c>
      <c r="P343" s="39"/>
      <c r="Q343" s="39"/>
      <c r="R343" s="39" t="str">
        <f t="shared" si="7"/>
        <v/>
      </c>
      <c r="S343" s="43">
        <f t="shared" si="8"/>
        <v>5</v>
      </c>
      <c r="T343" s="21">
        <f>countif('v2022'!E:E,A343)</f>
        <v>1</v>
      </c>
      <c r="U343" s="21">
        <f>countif('v2018'!E:E,A343)</f>
        <v>1</v>
      </c>
      <c r="V343" s="21">
        <f>countif('v2014'!E:E,A343)</f>
        <v>1</v>
      </c>
      <c r="W343" s="21">
        <f>countif('v2010'!E:E,A343)</f>
        <v>1</v>
      </c>
      <c r="X343" s="21">
        <f>countif('v2006'!E:E,A343)</f>
        <v>1</v>
      </c>
      <c r="Y343" s="21">
        <f>countif('v2002'!E:E,A343)</f>
        <v>0</v>
      </c>
      <c r="Z343" s="21">
        <f>countif('v1998'!E:E,A343)</f>
        <v>0</v>
      </c>
    </row>
    <row r="344">
      <c r="A344" s="17" t="s">
        <v>4788</v>
      </c>
      <c r="B344" s="18" t="s">
        <v>1365</v>
      </c>
      <c r="C344" s="21" t="str">
        <f t="shared" si="37"/>
        <v>Triton Mass</v>
      </c>
      <c r="D344" s="21" t="str">
        <f t="shared" si="10"/>
        <v>Masse du triton</v>
      </c>
      <c r="E344" s="17" t="s">
        <v>2972</v>
      </c>
      <c r="F344" s="17" t="s">
        <v>4889</v>
      </c>
      <c r="G344" s="18" t="s">
        <v>98</v>
      </c>
      <c r="H344" s="18" t="str">
        <f t="shared" si="28"/>
        <v>kg</v>
      </c>
      <c r="I344" s="17">
        <f>if(H344="","", countif(Units!A:A,H344))</f>
        <v>1</v>
      </c>
      <c r="J344" s="18" t="s">
        <v>1365</v>
      </c>
      <c r="K344" s="28">
        <f>countif(Quantities!A:A,J344)</f>
        <v>1</v>
      </c>
      <c r="L344" s="30" t="b">
        <f t="shared" si="4"/>
        <v>1</v>
      </c>
      <c r="M344" s="17" t="s">
        <v>1365</v>
      </c>
      <c r="N344" s="34" t="str">
        <f t="shared" si="5"/>
        <v>qudt</v>
      </c>
      <c r="O344" s="18" t="b">
        <f t="shared" si="35"/>
        <v>1</v>
      </c>
      <c r="P344" s="39"/>
      <c r="Q344" s="39"/>
      <c r="R344" s="39" t="str">
        <f t="shared" si="7"/>
        <v/>
      </c>
      <c r="S344" s="43">
        <f t="shared" si="8"/>
        <v>5</v>
      </c>
      <c r="T344" s="21">
        <f>countif('v2022'!E:E,A344)</f>
        <v>1</v>
      </c>
      <c r="U344" s="21">
        <f>countif('v2018'!E:E,A344)</f>
        <v>1</v>
      </c>
      <c r="V344" s="21">
        <f>countif('v2014'!E:E,A344)</f>
        <v>1</v>
      </c>
      <c r="W344" s="21">
        <f>countif('v2010'!E:E,A344)</f>
        <v>1</v>
      </c>
      <c r="X344" s="21">
        <f>countif('v2006'!E:E,A344)</f>
        <v>1</v>
      </c>
      <c r="Y344" s="21">
        <f>countif('v2002'!E:E,A344)</f>
        <v>0</v>
      </c>
      <c r="Z344" s="21">
        <f>countif('v1998'!E:E,A344)</f>
        <v>0</v>
      </c>
    </row>
    <row r="345">
      <c r="A345" s="17" t="s">
        <v>4790</v>
      </c>
      <c r="B345" s="18" t="s">
        <v>1368</v>
      </c>
      <c r="C345" s="21" t="str">
        <f t="shared" si="37"/>
        <v>Triton Mass Energy Equivalent</v>
      </c>
      <c r="D345" s="21" t="str">
        <f t="shared" si="10"/>
        <v>Énergie de masse du triton</v>
      </c>
      <c r="E345" s="17" t="s">
        <v>2977</v>
      </c>
      <c r="F345" s="17" t="s">
        <v>4893</v>
      </c>
      <c r="G345" s="18" t="s">
        <v>173</v>
      </c>
      <c r="H345" s="18" t="str">
        <f t="shared" si="28"/>
        <v>J</v>
      </c>
      <c r="I345" s="17">
        <f>if(H345="","", countif(Units!A:A,H345))</f>
        <v>1</v>
      </c>
      <c r="J345" s="17" t="s">
        <v>1368</v>
      </c>
      <c r="K345" s="28">
        <f>countif(Quantities!A:A,J345)</f>
        <v>1</v>
      </c>
      <c r="L345" s="30" t="b">
        <f t="shared" si="4"/>
        <v>1</v>
      </c>
      <c r="M345" s="17" t="s">
        <v>1368</v>
      </c>
      <c r="N345" s="34" t="str">
        <f t="shared" si="5"/>
        <v>qudt</v>
      </c>
      <c r="O345" s="18" t="b">
        <f t="shared" si="35"/>
        <v>1</v>
      </c>
      <c r="P345" s="39"/>
      <c r="Q345" s="39"/>
      <c r="R345" s="39" t="str">
        <f t="shared" si="7"/>
        <v/>
      </c>
      <c r="S345" s="43">
        <f t="shared" si="8"/>
        <v>5</v>
      </c>
      <c r="T345" s="21">
        <f>countif('v2022'!E:E,A345)</f>
        <v>1</v>
      </c>
      <c r="U345" s="21">
        <f>countif('v2018'!E:E,A345)</f>
        <v>1</v>
      </c>
      <c r="V345" s="21">
        <f>countif('v2014'!E:E,A345)</f>
        <v>1</v>
      </c>
      <c r="W345" s="21">
        <f>countif('v2010'!E:E,A345)</f>
        <v>1</v>
      </c>
      <c r="X345" s="21">
        <f>countif('v2006'!E:E,A345)</f>
        <v>1</v>
      </c>
      <c r="Y345" s="21">
        <f>countif('v2002'!E:E,A345)</f>
        <v>0</v>
      </c>
      <c r="Z345" s="21">
        <f>countif('v1998'!E:E,A345)</f>
        <v>0</v>
      </c>
    </row>
    <row r="346">
      <c r="A346" s="17" t="s">
        <v>4795</v>
      </c>
      <c r="B346" s="18" t="s">
        <v>4901</v>
      </c>
      <c r="C346" s="17" t="s">
        <v>4902</v>
      </c>
      <c r="D346" s="21" t="str">
        <f t="shared" si="10"/>
        <v>Énergie de masse du triton en MeV</v>
      </c>
      <c r="E346" s="17" t="s">
        <v>2980</v>
      </c>
      <c r="F346" s="17" t="s">
        <v>4903</v>
      </c>
      <c r="G346" s="18" t="s">
        <v>224</v>
      </c>
      <c r="H346" s="18" t="str">
        <f t="shared" si="28"/>
        <v>MeV</v>
      </c>
      <c r="I346" s="17">
        <f>if(H346="","", countif(Units!A:A,H346))</f>
        <v>1</v>
      </c>
      <c r="J346" s="18" t="s">
        <v>1365</v>
      </c>
      <c r="K346" s="28">
        <f>countif(Quantities!A:A,J346)</f>
        <v>1</v>
      </c>
      <c r="L346" s="30" t="b">
        <f t="shared" si="4"/>
        <v>0</v>
      </c>
      <c r="M346" s="17" t="s">
        <v>4901</v>
      </c>
      <c r="N346" s="34" t="str">
        <f t="shared" si="5"/>
        <v>qudt</v>
      </c>
      <c r="O346" s="18" t="b">
        <f t="shared" si="35"/>
        <v>1</v>
      </c>
      <c r="P346" s="39"/>
      <c r="Q346" s="39"/>
      <c r="R346" s="39" t="str">
        <f t="shared" si="7"/>
        <v/>
      </c>
      <c r="S346" s="43">
        <f t="shared" si="8"/>
        <v>5</v>
      </c>
      <c r="T346" s="21">
        <f>countif('v2022'!E:E,A346)</f>
        <v>1</v>
      </c>
      <c r="U346" s="21">
        <f>countif('v2018'!E:E,A346)</f>
        <v>1</v>
      </c>
      <c r="V346" s="21">
        <f>countif('v2014'!E:E,A346)</f>
        <v>1</v>
      </c>
      <c r="W346" s="21">
        <f>countif('v2010'!E:E,A346)</f>
        <v>1</v>
      </c>
      <c r="X346" s="21">
        <f>countif('v2006'!E:E,A346)</f>
        <v>1</v>
      </c>
      <c r="Y346" s="21">
        <f>countif('v2002'!E:E,A346)</f>
        <v>0</v>
      </c>
      <c r="Z346" s="21">
        <f>countif('v1998'!E:E,A346)</f>
        <v>0</v>
      </c>
    </row>
    <row r="347">
      <c r="A347" s="17" t="s">
        <v>4797</v>
      </c>
      <c r="B347" s="18" t="s">
        <v>4910</v>
      </c>
      <c r="C347" s="21" t="str">
        <f t="shared" ref="C347:C360" si="38">proper(E347)</f>
        <v>Triton Mass In U</v>
      </c>
      <c r="D347" s="21" t="str">
        <f t="shared" si="10"/>
        <v>Masse du triton en u</v>
      </c>
      <c r="E347" s="17" t="s">
        <v>2983</v>
      </c>
      <c r="F347" s="17" t="s">
        <v>4912</v>
      </c>
      <c r="G347" s="18" t="s">
        <v>249</v>
      </c>
      <c r="H347" s="18" t="str">
        <f t="shared" si="28"/>
        <v>u</v>
      </c>
      <c r="I347" s="17">
        <f>if(H347="","", countif(Units!A:A,H347))</f>
        <v>1</v>
      </c>
      <c r="J347" s="18" t="s">
        <v>1365</v>
      </c>
      <c r="K347" s="28">
        <f>countif(Quantities!A:A,J347)</f>
        <v>1</v>
      </c>
      <c r="L347" s="30" t="b">
        <f t="shared" si="4"/>
        <v>0</v>
      </c>
      <c r="M347" s="17" t="s">
        <v>4910</v>
      </c>
      <c r="N347" s="34" t="str">
        <f t="shared" si="5"/>
        <v>qudt</v>
      </c>
      <c r="O347" s="18" t="b">
        <f t="shared" si="35"/>
        <v>1</v>
      </c>
      <c r="P347" s="39"/>
      <c r="Q347" s="39"/>
      <c r="R347" s="39" t="str">
        <f t="shared" si="7"/>
        <v/>
      </c>
      <c r="S347" s="43">
        <f t="shared" si="8"/>
        <v>5</v>
      </c>
      <c r="T347" s="21">
        <f>countif('v2022'!E:E,A347)</f>
        <v>1</v>
      </c>
      <c r="U347" s="21">
        <f>countif('v2018'!E:E,A347)</f>
        <v>1</v>
      </c>
      <c r="V347" s="21">
        <f>countif('v2014'!E:E,A347)</f>
        <v>1</v>
      </c>
      <c r="W347" s="21">
        <f>countif('v2010'!E:E,A347)</f>
        <v>1</v>
      </c>
      <c r="X347" s="21">
        <f>countif('v2006'!E:E,A347)</f>
        <v>1</v>
      </c>
      <c r="Y347" s="21">
        <f>countif('v2002'!E:E,A347)</f>
        <v>0</v>
      </c>
      <c r="Z347" s="21">
        <f>countif('v1998'!E:E,A347)</f>
        <v>0</v>
      </c>
    </row>
    <row r="348">
      <c r="A348" s="17" t="s">
        <v>4802</v>
      </c>
      <c r="B348" s="18" t="s">
        <v>1373</v>
      </c>
      <c r="C348" s="21" t="str">
        <f t="shared" si="38"/>
        <v>Triton Molar Mass</v>
      </c>
      <c r="D348" s="21" t="str">
        <f t="shared" si="10"/>
        <v>Masse molaire du triton</v>
      </c>
      <c r="E348" s="17" t="s">
        <v>2989</v>
      </c>
      <c r="F348" s="17" t="s">
        <v>4917</v>
      </c>
      <c r="G348" s="18" t="s">
        <v>286</v>
      </c>
      <c r="H348" s="18" t="str">
        <f t="shared" si="28"/>
        <v>kg_mol-1</v>
      </c>
      <c r="I348" s="17">
        <f>if(H348="","", countif(Units!A:A,H348))</f>
        <v>1</v>
      </c>
      <c r="J348" s="18" t="s">
        <v>1373</v>
      </c>
      <c r="K348" s="28">
        <f>countif(Quantities!A:A,J348)</f>
        <v>1</v>
      </c>
      <c r="L348" s="30" t="b">
        <f t="shared" si="4"/>
        <v>1</v>
      </c>
      <c r="M348" s="17" t="s">
        <v>1373</v>
      </c>
      <c r="N348" s="34" t="str">
        <f t="shared" si="5"/>
        <v>qudt</v>
      </c>
      <c r="O348" s="18" t="b">
        <f t="shared" si="35"/>
        <v>1</v>
      </c>
      <c r="P348" s="39"/>
      <c r="Q348" s="39"/>
      <c r="R348" s="39" t="str">
        <f t="shared" si="7"/>
        <v/>
      </c>
      <c r="S348" s="43">
        <f t="shared" si="8"/>
        <v>5</v>
      </c>
      <c r="T348" s="21">
        <f>countif('v2022'!E:E,A348)</f>
        <v>1</v>
      </c>
      <c r="U348" s="21">
        <f>countif('v2018'!E:E,A348)</f>
        <v>1</v>
      </c>
      <c r="V348" s="21">
        <f>countif('v2014'!E:E,A348)</f>
        <v>1</v>
      </c>
      <c r="W348" s="21">
        <f>countif('v2010'!E:E,A348)</f>
        <v>1</v>
      </c>
      <c r="X348" s="21">
        <f>countif('v2006'!E:E,A348)</f>
        <v>1</v>
      </c>
      <c r="Y348" s="21">
        <f>countif('v2002'!E:E,A348)</f>
        <v>0</v>
      </c>
      <c r="Z348" s="21">
        <f>countif('v1998'!E:E,A348)</f>
        <v>0</v>
      </c>
    </row>
    <row r="349">
      <c r="A349" s="17" t="s">
        <v>4840</v>
      </c>
      <c r="B349" s="18" t="s">
        <v>1376</v>
      </c>
      <c r="C349" s="21" t="str">
        <f t="shared" si="38"/>
        <v>Triton - Neutron Magnetic Moment Ratio</v>
      </c>
      <c r="D349" s="21" t="str">
        <f t="shared" si="10"/>
        <v>Rapport du moment magnétique du triton à celui du neutron</v>
      </c>
      <c r="E349" s="17" t="s">
        <v>4922</v>
      </c>
      <c r="F349" s="17" t="s">
        <v>4923</v>
      </c>
      <c r="H349" s="18" t="str">
        <f t="shared" si="28"/>
        <v/>
      </c>
      <c r="I349" s="17" t="str">
        <f>if(H349="","", countif(Units!A:A,H349))</f>
        <v/>
      </c>
      <c r="J349" s="18" t="s">
        <v>1376</v>
      </c>
      <c r="K349" s="28">
        <f>countif(Quantities!A:A,J349)</f>
        <v>1</v>
      </c>
      <c r="L349" s="30" t="b">
        <f t="shared" si="4"/>
        <v>1</v>
      </c>
      <c r="M349" s="17" t="s">
        <v>1376</v>
      </c>
      <c r="N349" s="34" t="str">
        <f t="shared" si="5"/>
        <v>qudt</v>
      </c>
      <c r="O349" s="18" t="b">
        <f t="shared" si="35"/>
        <v>1</v>
      </c>
      <c r="P349" s="39"/>
      <c r="Q349" s="39"/>
      <c r="R349" s="39" t="str">
        <f t="shared" si="7"/>
        <v/>
      </c>
      <c r="S349" s="43">
        <f t="shared" si="8"/>
        <v>1</v>
      </c>
      <c r="T349" s="21">
        <f>countif('v2022'!E:E,A349)</f>
        <v>0</v>
      </c>
      <c r="U349" s="21">
        <f>countif('v2018'!E:E,A349)</f>
        <v>0</v>
      </c>
      <c r="V349" s="21">
        <f>countif('v2014'!E:E,A349)</f>
        <v>0</v>
      </c>
      <c r="W349" s="21">
        <f>countif('v2010'!E:E,A349)</f>
        <v>0</v>
      </c>
      <c r="X349" s="21">
        <f>countif('v2006'!E:E,A349)</f>
        <v>1</v>
      </c>
      <c r="Y349" s="21">
        <f>countif('v2002'!E:E,A349)</f>
        <v>0</v>
      </c>
      <c r="Z349" s="21">
        <f>countif('v1998'!E:E,A349)</f>
        <v>0</v>
      </c>
    </row>
    <row r="350">
      <c r="A350" s="17" t="s">
        <v>4844</v>
      </c>
      <c r="B350" s="18" t="s">
        <v>1381</v>
      </c>
      <c r="C350" s="21" t="str">
        <f t="shared" si="38"/>
        <v>Triton - Proton Mass Ratio</v>
      </c>
      <c r="D350" s="21" t="str">
        <f t="shared" si="10"/>
        <v>Rapport de la masse du triton à celle du proton</v>
      </c>
      <c r="E350" s="17" t="s">
        <v>4931</v>
      </c>
      <c r="F350" s="17" t="s">
        <v>4932</v>
      </c>
      <c r="H350" s="18" t="str">
        <f t="shared" si="28"/>
        <v/>
      </c>
      <c r="I350" s="17" t="str">
        <f>if(H350="","", countif(Units!A:A,H350))</f>
        <v/>
      </c>
      <c r="J350" s="18" t="s">
        <v>1381</v>
      </c>
      <c r="K350" s="28">
        <f>countif(Quantities!A:A,J350)</f>
        <v>1</v>
      </c>
      <c r="L350" s="30" t="b">
        <f t="shared" si="4"/>
        <v>1</v>
      </c>
      <c r="M350" s="17" t="s">
        <v>1381</v>
      </c>
      <c r="N350" s="34" t="str">
        <f t="shared" si="5"/>
        <v>qudt</v>
      </c>
      <c r="O350" s="18" t="b">
        <f t="shared" si="35"/>
        <v>1</v>
      </c>
      <c r="P350" s="39"/>
      <c r="Q350" s="39"/>
      <c r="R350" s="39" t="str">
        <f t="shared" si="7"/>
        <v/>
      </c>
      <c r="S350" s="43">
        <f t="shared" si="8"/>
        <v>5</v>
      </c>
      <c r="T350" s="21">
        <f>countif('v2022'!E:E,A350)</f>
        <v>1</v>
      </c>
      <c r="U350" s="21">
        <f>countif('v2018'!E:E,A350)</f>
        <v>1</v>
      </c>
      <c r="V350" s="21">
        <f>countif('v2014'!E:E,A350)</f>
        <v>1</v>
      </c>
      <c r="W350" s="21">
        <f>countif('v2010'!E:E,A350)</f>
        <v>1</v>
      </c>
      <c r="X350" s="21">
        <f>countif('v2006'!E:E,A350)</f>
        <v>1</v>
      </c>
      <c r="Y350" s="21">
        <f>countif('v2002'!E:E,A350)</f>
        <v>0</v>
      </c>
      <c r="Z350" s="21">
        <f>countif('v1998'!E:E,A350)</f>
        <v>0</v>
      </c>
    </row>
    <row r="351">
      <c r="A351" s="17" t="s">
        <v>4804</v>
      </c>
      <c r="B351" s="18" t="s">
        <v>1383</v>
      </c>
      <c r="C351" s="21" t="str">
        <f t="shared" si="38"/>
        <v>Triton Relative Atomic Mass</v>
      </c>
      <c r="D351" s="21" t="str">
        <f t="shared" si="10"/>
        <v>Masse atomique relative du triton</v>
      </c>
      <c r="E351" s="17" t="s">
        <v>2997</v>
      </c>
      <c r="F351" s="17" t="s">
        <v>4941</v>
      </c>
      <c r="H351" s="18" t="str">
        <f t="shared" si="28"/>
        <v/>
      </c>
      <c r="I351" s="17" t="str">
        <f>if(H351="","", countif(Units!A:A,H351))</f>
        <v/>
      </c>
      <c r="J351" s="18" t="s">
        <v>1383</v>
      </c>
      <c r="K351" s="28">
        <f>countif(Quantities!A:A,J351)</f>
        <v>1</v>
      </c>
      <c r="L351" s="30" t="b">
        <f t="shared" si="4"/>
        <v>1</v>
      </c>
      <c r="N351" s="39" t="str">
        <f t="shared" si="5"/>
        <v/>
      </c>
      <c r="O351" s="18" t="b">
        <f t="shared" si="35"/>
        <v>0</v>
      </c>
      <c r="P351" s="39"/>
      <c r="Q351" s="39"/>
      <c r="R351" s="39" t="str">
        <f t="shared" si="7"/>
        <v/>
      </c>
      <c r="S351" s="43">
        <f t="shared" si="8"/>
        <v>2</v>
      </c>
      <c r="T351" s="21">
        <f>countif('v2022'!E:E,A351)</f>
        <v>1</v>
      </c>
      <c r="U351" s="21">
        <f>countif('v2018'!E:E,A351)</f>
        <v>1</v>
      </c>
      <c r="V351" s="21">
        <f>countif('v2014'!E:E,A351)</f>
        <v>0</v>
      </c>
      <c r="W351" s="21">
        <f>countif('v2010'!E:E,A351)</f>
        <v>0</v>
      </c>
      <c r="X351" s="21">
        <f>countif('v2006'!E:E,A351)</f>
        <v>0</v>
      </c>
      <c r="Y351" s="21">
        <f>countif('v2002'!E:E,A351)</f>
        <v>0</v>
      </c>
      <c r="Z351" s="21">
        <f>countif('v1998'!E:E,A351)</f>
        <v>0</v>
      </c>
    </row>
    <row r="352">
      <c r="A352" s="17" t="s">
        <v>4808</v>
      </c>
      <c r="B352" s="18" t="s">
        <v>1379</v>
      </c>
      <c r="C352" s="21" t="str">
        <f t="shared" si="38"/>
        <v>Triton To Proton Magnetic Moment Ratio</v>
      </c>
      <c r="D352" s="21" t="str">
        <f t="shared" si="10"/>
        <v>Rapport du moment magnétique du triton à celui du proton</v>
      </c>
      <c r="E352" s="17" t="s">
        <v>4813</v>
      </c>
      <c r="F352" s="17" t="s">
        <v>4946</v>
      </c>
      <c r="H352" s="18" t="str">
        <f t="shared" si="28"/>
        <v/>
      </c>
      <c r="I352" s="17" t="str">
        <f>if(H352="","", countif(Units!A:A,H352))</f>
        <v/>
      </c>
      <c r="J352" s="18" t="s">
        <v>1379</v>
      </c>
      <c r="K352" s="28">
        <f>countif(Quantities!A:A,J352)</f>
        <v>1</v>
      </c>
      <c r="L352" s="30" t="b">
        <f t="shared" si="4"/>
        <v>1</v>
      </c>
      <c r="M352" s="17" t="s">
        <v>1379</v>
      </c>
      <c r="N352" s="34" t="str">
        <f t="shared" si="5"/>
        <v>qudt</v>
      </c>
      <c r="O352" s="18" t="b">
        <f t="shared" si="35"/>
        <v>1</v>
      </c>
      <c r="P352" s="39"/>
      <c r="Q352" s="39"/>
      <c r="R352" s="39" t="str">
        <f t="shared" si="7"/>
        <v/>
      </c>
      <c r="S352" s="43">
        <f t="shared" si="8"/>
        <v>3</v>
      </c>
      <c r="T352" s="21">
        <f>countif('v2022'!E:E,A352)</f>
        <v>1</v>
      </c>
      <c r="U352" s="21">
        <f>countif('v2018'!E:E,A352)</f>
        <v>1</v>
      </c>
      <c r="V352" s="21">
        <f>countif('v2014'!E:E,A352)</f>
        <v>0</v>
      </c>
      <c r="W352" s="21">
        <f>countif('v2010'!E:E,A352)</f>
        <v>0</v>
      </c>
      <c r="X352" s="21">
        <f>countif('v2006'!E:E,A352)</f>
        <v>1</v>
      </c>
      <c r="Y352" s="21">
        <f>countif('v2002'!E:E,A352)</f>
        <v>0</v>
      </c>
      <c r="Z352" s="21">
        <f>countif('v1998'!E:E,A352)</f>
        <v>0</v>
      </c>
    </row>
    <row r="353">
      <c r="A353" s="17" t="s">
        <v>4847</v>
      </c>
      <c r="B353" s="18" t="s">
        <v>1386</v>
      </c>
      <c r="C353" s="21" t="str">
        <f t="shared" si="38"/>
        <v>Unified Atomic Mass Unit</v>
      </c>
      <c r="D353" s="21" t="str">
        <f t="shared" si="10"/>
        <v>Unité de masse atomique unifiée</v>
      </c>
      <c r="E353" s="17" t="s">
        <v>3004</v>
      </c>
      <c r="F353" s="17" t="s">
        <v>4950</v>
      </c>
      <c r="G353" s="18" t="s">
        <v>98</v>
      </c>
      <c r="H353" s="18" t="str">
        <f t="shared" si="28"/>
        <v>kg</v>
      </c>
      <c r="I353" s="17">
        <f>if(H353="","", countif(Units!A:A,H353))</f>
        <v>1</v>
      </c>
      <c r="J353" s="18" t="s">
        <v>1386</v>
      </c>
      <c r="K353" s="28">
        <f>countif(Quantities!A:A,J353)</f>
        <v>1</v>
      </c>
      <c r="L353" s="30" t="b">
        <f t="shared" si="4"/>
        <v>1</v>
      </c>
      <c r="M353" s="17" t="s">
        <v>1386</v>
      </c>
      <c r="N353" s="34" t="str">
        <f t="shared" si="5"/>
        <v>qudt</v>
      </c>
      <c r="O353" s="18" t="b">
        <f t="shared" si="35"/>
        <v>1</v>
      </c>
      <c r="P353" s="39"/>
      <c r="Q353" s="39"/>
      <c r="R353" s="39" t="str">
        <f t="shared" si="7"/>
        <v/>
      </c>
      <c r="S353" s="43">
        <f t="shared" si="8"/>
        <v>7</v>
      </c>
      <c r="T353" s="21">
        <f>countif('v2022'!E:E,A353)</f>
        <v>1</v>
      </c>
      <c r="U353" s="21">
        <f>countif('v2018'!E:E,A353)</f>
        <v>1</v>
      </c>
      <c r="V353" s="21">
        <f>countif('v2014'!E:E,A353)</f>
        <v>1</v>
      </c>
      <c r="W353" s="21">
        <f>countif('v2010'!E:E,A353)</f>
        <v>1</v>
      </c>
      <c r="X353" s="21">
        <f>countif('v2006'!E:E,A353)</f>
        <v>1</v>
      </c>
      <c r="Y353" s="21">
        <f>countif('v2002'!E:E,A353)</f>
        <v>1</v>
      </c>
      <c r="Z353" s="21">
        <f>countif('v1998'!E:E,A353)</f>
        <v>1</v>
      </c>
    </row>
    <row r="354">
      <c r="A354" s="17" t="s">
        <v>2035</v>
      </c>
      <c r="B354" s="18" t="s">
        <v>813</v>
      </c>
      <c r="C354" s="21" t="str">
        <f t="shared" si="38"/>
        <v>Vacuum Electric Permittivity</v>
      </c>
      <c r="D354" s="21" t="str">
        <f t="shared" si="10"/>
        <v>Permittivité électrique du vide</v>
      </c>
      <c r="E354" s="17" t="s">
        <v>3005</v>
      </c>
      <c r="F354" s="17" t="s">
        <v>4955</v>
      </c>
      <c r="G354" s="18" t="s">
        <v>1078</v>
      </c>
      <c r="H354" s="18" t="str">
        <f t="shared" si="28"/>
        <v>F_m-1</v>
      </c>
      <c r="I354" s="17">
        <f>if(H354="","", countif(Units!A:A,H354))</f>
        <v>1</v>
      </c>
      <c r="J354" s="18" t="s">
        <v>813</v>
      </c>
      <c r="K354" s="28">
        <f>countif(Quantities!A:A,J354)</f>
        <v>1</v>
      </c>
      <c r="L354" s="30" t="b">
        <f t="shared" si="4"/>
        <v>1</v>
      </c>
      <c r="M354" s="17" t="s">
        <v>813</v>
      </c>
      <c r="N354" s="34" t="str">
        <f t="shared" si="5"/>
        <v>qudt</v>
      </c>
      <c r="O354" s="18" t="b">
        <f t="shared" si="35"/>
        <v>1</v>
      </c>
      <c r="P354" s="39" t="s">
        <v>4957</v>
      </c>
      <c r="Q354" s="39"/>
      <c r="R354" s="39" t="str">
        <f t="shared" si="7"/>
        <v/>
      </c>
      <c r="S354" s="43">
        <f t="shared" si="8"/>
        <v>7</v>
      </c>
      <c r="T354" s="21">
        <f>countif('v2022'!E:E,A354)</f>
        <v>1</v>
      </c>
      <c r="U354" s="21">
        <f>countif('v2018'!E:E,A354)</f>
        <v>1</v>
      </c>
      <c r="V354" s="21">
        <f>countif('v2014'!E:E,A354)</f>
        <v>1</v>
      </c>
      <c r="W354" s="21">
        <f>countif('v2010'!E:E,A354)</f>
        <v>1</v>
      </c>
      <c r="X354" s="21">
        <f>countif('v2006'!E:E,A354)</f>
        <v>1</v>
      </c>
      <c r="Y354" s="21">
        <f>countif('v2002'!E:E,A354)</f>
        <v>1</v>
      </c>
      <c r="Z354" s="21">
        <f>countif('v1998'!E:E,A354)</f>
        <v>1</v>
      </c>
    </row>
    <row r="355">
      <c r="A355" s="17" t="s">
        <v>3301</v>
      </c>
      <c r="B355" s="18" t="s">
        <v>495</v>
      </c>
      <c r="C355" s="21" t="str">
        <f t="shared" si="38"/>
        <v>Vacuum Magnetic Permeability</v>
      </c>
      <c r="D355" s="21" t="str">
        <f t="shared" si="10"/>
        <v>Perméabilité magnétique du vide</v>
      </c>
      <c r="E355" s="17" t="s">
        <v>4961</v>
      </c>
      <c r="F355" s="17" t="s">
        <v>4962</v>
      </c>
      <c r="G355" s="18" t="s">
        <v>3011</v>
      </c>
      <c r="H355" s="18" t="str">
        <f t="shared" si="28"/>
        <v>N_A-2</v>
      </c>
      <c r="I355" s="17">
        <f>if(H355="","", countif(Units!A:A,H355))</f>
        <v>1</v>
      </c>
      <c r="J355" s="18" t="s">
        <v>495</v>
      </c>
      <c r="K355" s="28">
        <f>countif(Quantities!A:A,J355)</f>
        <v>1</v>
      </c>
      <c r="L355" s="30" t="b">
        <f t="shared" si="4"/>
        <v>1</v>
      </c>
      <c r="M355" s="17" t="s">
        <v>495</v>
      </c>
      <c r="N355" s="34" t="str">
        <f t="shared" si="5"/>
        <v>qudt</v>
      </c>
      <c r="O355" s="18" t="b">
        <f t="shared" si="35"/>
        <v>1</v>
      </c>
      <c r="P355" s="39" t="s">
        <v>4965</v>
      </c>
      <c r="Q355" s="39"/>
      <c r="R355" s="39" t="str">
        <f t="shared" si="7"/>
        <v/>
      </c>
      <c r="S355" s="43">
        <f t="shared" si="8"/>
        <v>7</v>
      </c>
      <c r="T355" s="21">
        <f>countif('v2022'!E:E,A355)</f>
        <v>1</v>
      </c>
      <c r="U355" s="21">
        <f>countif('v2018'!E:E,A355)</f>
        <v>1</v>
      </c>
      <c r="V355" s="21">
        <f>countif('v2014'!E:E,A355)</f>
        <v>1</v>
      </c>
      <c r="W355" s="21">
        <f>countif('v2010'!E:E,A355)</f>
        <v>1</v>
      </c>
      <c r="X355" s="21">
        <f>countif('v2006'!E:E,A355)</f>
        <v>1</v>
      </c>
      <c r="Y355" s="21">
        <f>countif('v2002'!E:E,A355)</f>
        <v>1</v>
      </c>
      <c r="Z355" s="21">
        <f>countif('v1998'!E:E,A355)</f>
        <v>1</v>
      </c>
    </row>
    <row r="356">
      <c r="A356" s="17" t="s">
        <v>4861</v>
      </c>
      <c r="B356" s="18" t="s">
        <v>1390</v>
      </c>
      <c r="C356" s="21" t="str">
        <f t="shared" si="38"/>
        <v>Von Klitzing Constant</v>
      </c>
      <c r="D356" s="21" t="str">
        <f t="shared" si="10"/>
        <v>Constante de Von Klitzing</v>
      </c>
      <c r="E356" s="17" t="s">
        <v>4969</v>
      </c>
      <c r="F356" s="17" t="s">
        <v>4970</v>
      </c>
      <c r="G356" s="18" t="s">
        <v>500</v>
      </c>
      <c r="H356" s="18" t="str">
        <f t="shared" si="28"/>
        <v>ohm</v>
      </c>
      <c r="I356" s="17">
        <f>if(H356="","", countif(Units!A:A,H356))</f>
        <v>1</v>
      </c>
      <c r="J356" s="18" t="s">
        <v>1390</v>
      </c>
      <c r="K356" s="28">
        <f>countif(Quantities!A:A,J356)</f>
        <v>1</v>
      </c>
      <c r="L356" s="30" t="b">
        <f t="shared" si="4"/>
        <v>1</v>
      </c>
      <c r="M356" s="17" t="s">
        <v>1390</v>
      </c>
      <c r="N356" s="34" t="str">
        <f t="shared" si="5"/>
        <v>qudt</v>
      </c>
      <c r="O356" s="18" t="b">
        <f t="shared" si="35"/>
        <v>1</v>
      </c>
      <c r="P356" s="39"/>
      <c r="Q356" s="39"/>
      <c r="R356" s="39" t="str">
        <f t="shared" si="7"/>
        <v/>
      </c>
      <c r="S356" s="43">
        <f t="shared" si="8"/>
        <v>7</v>
      </c>
      <c r="T356" s="21">
        <f>countif('v2022'!E:E,A356)</f>
        <v>1</v>
      </c>
      <c r="U356" s="21">
        <f>countif('v2018'!E:E,A356)</f>
        <v>1</v>
      </c>
      <c r="V356" s="21">
        <f>countif('v2014'!E:E,A356)</f>
        <v>1</v>
      </c>
      <c r="W356" s="21">
        <f>countif('v2010'!E:E,A356)</f>
        <v>1</v>
      </c>
      <c r="X356" s="21">
        <f>countif('v2006'!E:E,A356)</f>
        <v>1</v>
      </c>
      <c r="Y356" s="21">
        <f>countif('v2002'!E:E,A356)</f>
        <v>1</v>
      </c>
      <c r="Z356" s="21">
        <f>countif('v1998'!E:E,A356)</f>
        <v>1</v>
      </c>
    </row>
    <row r="357">
      <c r="A357" s="17" t="s">
        <v>4871</v>
      </c>
      <c r="B357" s="18" t="s">
        <v>1392</v>
      </c>
      <c r="C357" s="21" t="str">
        <f t="shared" si="38"/>
        <v>Weak Mixing Angle</v>
      </c>
      <c r="D357" s="21" t="str">
        <f t="shared" si="10"/>
        <v>L'angle de mélange faible</v>
      </c>
      <c r="E357" s="17" t="s">
        <v>3014</v>
      </c>
      <c r="F357" s="17" t="s">
        <v>4989</v>
      </c>
      <c r="H357" s="18" t="str">
        <f t="shared" si="28"/>
        <v/>
      </c>
      <c r="I357" s="17" t="str">
        <f>if(H357="","", countif(Units!A:A,H357))</f>
        <v/>
      </c>
      <c r="J357" s="18" t="s">
        <v>1392</v>
      </c>
      <c r="K357" s="28">
        <f>countif(Quantities!A:A,J357)</f>
        <v>1</v>
      </c>
      <c r="L357" s="30" t="b">
        <f t="shared" si="4"/>
        <v>1</v>
      </c>
      <c r="M357" s="17" t="s">
        <v>1392</v>
      </c>
      <c r="N357" s="34" t="str">
        <f t="shared" si="5"/>
        <v>qudt</v>
      </c>
      <c r="O357" s="18" t="b">
        <f t="shared" si="35"/>
        <v>1</v>
      </c>
      <c r="P357" s="39"/>
      <c r="Q357" s="39"/>
      <c r="R357" s="39" t="str">
        <f t="shared" si="7"/>
        <v/>
      </c>
      <c r="S357" s="43">
        <f t="shared" si="8"/>
        <v>7</v>
      </c>
      <c r="T357" s="21">
        <f>countif('v2022'!E:E,A357)</f>
        <v>1</v>
      </c>
      <c r="U357" s="21">
        <f>countif('v2018'!E:E,A357)</f>
        <v>1</v>
      </c>
      <c r="V357" s="21">
        <f>countif('v2014'!E:E,A357)</f>
        <v>1</v>
      </c>
      <c r="W357" s="21">
        <f>countif('v2010'!E:E,A357)</f>
        <v>1</v>
      </c>
      <c r="X357" s="21">
        <f>countif('v2006'!E:E,A357)</f>
        <v>1</v>
      </c>
      <c r="Y357" s="21">
        <f>countif('v2002'!E:E,A357)</f>
        <v>1</v>
      </c>
      <c r="Z357" s="21">
        <f>countif('v1998'!E:E,A357)</f>
        <v>1</v>
      </c>
    </row>
    <row r="358">
      <c r="A358" s="17" t="s">
        <v>4874</v>
      </c>
      <c r="B358" s="18" t="s">
        <v>1394</v>
      </c>
      <c r="C358" s="21" t="str">
        <f t="shared" si="38"/>
        <v>Wien Frequency Displacement Law Constant</v>
      </c>
      <c r="D358" s="21" t="str">
        <f t="shared" si="10"/>
        <v>Constante de Wien de décalage en fréquence</v>
      </c>
      <c r="E358" s="17" t="s">
        <v>3018</v>
      </c>
      <c r="F358" s="17" t="s">
        <v>4994</v>
      </c>
      <c r="G358" s="18" t="s">
        <v>1303</v>
      </c>
      <c r="H358" s="18" t="str">
        <f t="shared" si="28"/>
        <v>Hz_K-1</v>
      </c>
      <c r="I358" s="17">
        <f>if(H358="","", countif(Units!A:A,H358))</f>
        <v>1</v>
      </c>
      <c r="J358" s="18" t="s">
        <v>1394</v>
      </c>
      <c r="K358" s="28">
        <f>countif(Quantities!A:A,J358)</f>
        <v>1</v>
      </c>
      <c r="L358" s="30" t="b">
        <f t="shared" si="4"/>
        <v>1</v>
      </c>
      <c r="M358" s="17" t="s">
        <v>1394</v>
      </c>
      <c r="N358" s="34" t="str">
        <f t="shared" si="5"/>
        <v>qudt</v>
      </c>
      <c r="O358" s="18" t="b">
        <f t="shared" si="35"/>
        <v>1</v>
      </c>
      <c r="P358" s="39"/>
      <c r="Q358" s="39"/>
      <c r="R358" s="39" t="str">
        <f t="shared" si="7"/>
        <v/>
      </c>
      <c r="S358" s="43">
        <f t="shared" si="8"/>
        <v>5</v>
      </c>
      <c r="T358" s="21">
        <f>countif('v2022'!E:E,A358)</f>
        <v>1</v>
      </c>
      <c r="U358" s="21">
        <f>countif('v2018'!E:E,A358)</f>
        <v>1</v>
      </c>
      <c r="V358" s="21">
        <f>countif('v2014'!E:E,A358)</f>
        <v>1</v>
      </c>
      <c r="W358" s="21">
        <f>countif('v2010'!E:E,A358)</f>
        <v>1</v>
      </c>
      <c r="X358" s="21">
        <f>countif('v2006'!E:E,A358)</f>
        <v>1</v>
      </c>
      <c r="Y358" s="21">
        <f>countif('v2002'!E:E,A358)</f>
        <v>0</v>
      </c>
      <c r="Z358" s="21">
        <f>countif('v1998'!E:E,A358)</f>
        <v>0</v>
      </c>
    </row>
    <row r="359">
      <c r="A359" s="17" t="s">
        <v>4873</v>
      </c>
      <c r="B359" s="18" t="s">
        <v>1396</v>
      </c>
      <c r="C359" s="21" t="str">
        <f t="shared" si="38"/>
        <v>Wien Wavelength Displacement Law Constant</v>
      </c>
      <c r="D359" s="21" t="str">
        <f t="shared" si="10"/>
        <v>Constante de Wien de décalage en longueur d'onde</v>
      </c>
      <c r="E359" s="17" t="s">
        <v>3022</v>
      </c>
      <c r="F359" s="17" t="s">
        <v>4998</v>
      </c>
      <c r="G359" s="18" t="s">
        <v>2800</v>
      </c>
      <c r="H359" s="18" t="str">
        <f t="shared" si="28"/>
        <v>m_K</v>
      </c>
      <c r="I359" s="17">
        <f>if(H359="","", countif(Units!A:A,H359))</f>
        <v>1</v>
      </c>
      <c r="J359" s="18" t="s">
        <v>1396</v>
      </c>
      <c r="K359" s="28">
        <f>countif(Quantities!A:A,J359)</f>
        <v>1</v>
      </c>
      <c r="L359" s="30" t="b">
        <f t="shared" si="4"/>
        <v>1</v>
      </c>
      <c r="M359" s="17" t="s">
        <v>1396</v>
      </c>
      <c r="N359" s="34" t="str">
        <f t="shared" si="5"/>
        <v>qudt</v>
      </c>
      <c r="O359" s="18" t="b">
        <f t="shared" si="35"/>
        <v>1</v>
      </c>
      <c r="P359" s="39"/>
      <c r="Q359" s="39"/>
      <c r="R359" s="39" t="str">
        <f t="shared" si="7"/>
        <v/>
      </c>
      <c r="S359" s="43">
        <f t="shared" si="8"/>
        <v>7</v>
      </c>
      <c r="T359" s="21">
        <f>countif('v2022'!E:E,A359)</f>
        <v>1</v>
      </c>
      <c r="U359" s="21">
        <f>countif('v2018'!E:E,A359)</f>
        <v>1</v>
      </c>
      <c r="V359" s="21">
        <f>countif('v2014'!E:E,A359)</f>
        <v>1</v>
      </c>
      <c r="W359" s="21">
        <f>countif('v2010'!E:E,A359)</f>
        <v>1</v>
      </c>
      <c r="X359" s="21">
        <f>countif('v2006'!E:E,A359)</f>
        <v>1</v>
      </c>
      <c r="Y359" s="21">
        <f>countif('v2002'!E:E,A359)</f>
        <v>1</v>
      </c>
      <c r="Z359" s="21">
        <f>countif('v1998'!E:E,A359)</f>
        <v>1</v>
      </c>
    </row>
    <row r="360">
      <c r="A360" s="17" t="s">
        <v>4866</v>
      </c>
      <c r="B360" s="18" t="s">
        <v>1398</v>
      </c>
      <c r="C360" s="21" t="str">
        <f t="shared" si="38"/>
        <v>W To Z Mass Ratio</v>
      </c>
      <c r="D360" s="21" t="str">
        <f t="shared" si="10"/>
        <v>Rapport de la masse de W à la masse de Z</v>
      </c>
      <c r="E360" s="17" t="s">
        <v>3024</v>
      </c>
      <c r="F360" s="17" t="s">
        <v>5000</v>
      </c>
      <c r="H360" s="18" t="str">
        <f t="shared" si="28"/>
        <v/>
      </c>
      <c r="I360" s="17" t="str">
        <f>if(H360="","", countif(Units!A:A,H360))</f>
        <v/>
      </c>
      <c r="J360" s="18" t="s">
        <v>1398</v>
      </c>
      <c r="K360" s="28">
        <f>countif(Quantities!A:A,J360)</f>
        <v>1</v>
      </c>
      <c r="L360" s="30" t="b">
        <f t="shared" si="4"/>
        <v>1</v>
      </c>
      <c r="N360" s="39" t="str">
        <f t="shared" si="5"/>
        <v/>
      </c>
      <c r="O360" s="18" t="b">
        <f t="shared" si="35"/>
        <v>0</v>
      </c>
      <c r="P360" s="23"/>
      <c r="Q360" s="23"/>
      <c r="R360" s="39" t="str">
        <f t="shared" si="7"/>
        <v/>
      </c>
      <c r="S360" s="43">
        <f t="shared" si="8"/>
        <v>2</v>
      </c>
      <c r="T360" s="21">
        <f>countif('v2022'!E:E,A360)</f>
        <v>1</v>
      </c>
      <c r="U360" s="21">
        <f>countif('v2018'!E:E,A360)</f>
        <v>1</v>
      </c>
      <c r="V360" s="21">
        <f>countif('v2014'!E:E,A360)</f>
        <v>0</v>
      </c>
      <c r="W360" s="21">
        <f>countif('v2010'!E:E,A360)</f>
        <v>0</v>
      </c>
      <c r="X360" s="21">
        <f>countif('v2006'!E:E,A360)</f>
        <v>0</v>
      </c>
      <c r="Y360" s="21">
        <f>countif('v2002'!E:E,A360)</f>
        <v>0</v>
      </c>
      <c r="Z360" s="21">
        <f>countif('v1998'!E:E,A360)</f>
        <v>0</v>
      </c>
    </row>
  </sheetData>
  <conditionalFormatting sqref="I1:I360 P1:Q360 R1">
    <cfRule type="cellIs" dxfId="0" priority="1" operator="equal">
      <formula>"?"</formula>
    </cfRule>
  </conditionalFormatting>
  <conditionalFormatting sqref="T2:Z360">
    <cfRule type="cellIs" dxfId="4" priority="2" operator="equal">
      <formula>0</formula>
    </cfRule>
  </conditionalFormatting>
  <conditionalFormatting sqref="T2:Z360">
    <cfRule type="cellIs" dxfId="1" priority="3" operator="greaterThan">
      <formula>1</formula>
    </cfRule>
  </conditionalFormatting>
  <conditionalFormatting sqref="K2:K360">
    <cfRule type="cellIs" dxfId="1" priority="4" operator="equal">
      <formula>0</formula>
    </cfRule>
  </conditionalFormatting>
  <conditionalFormatting sqref="A1:A360">
    <cfRule type="expression" dxfId="1" priority="5">
      <formula>COUNTIF(A:A,A1) &gt; 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7.38"/>
    <col customWidth="1" min="3" max="4" width="17.25"/>
    <col customWidth="1" min="5" max="5" width="25.75"/>
    <col customWidth="1" min="6" max="6" width="56.75"/>
    <col customWidth="1" min="7" max="7" width="12.75"/>
    <col customWidth="1" min="8" max="8" width="25.88"/>
  </cols>
  <sheetData>
    <row r="1">
      <c r="A1" s="7" t="s">
        <v>0</v>
      </c>
      <c r="B1" s="7" t="s">
        <v>1</v>
      </c>
      <c r="C1" s="7" t="s">
        <v>7</v>
      </c>
      <c r="D1" s="7" t="s">
        <v>35</v>
      </c>
      <c r="E1" s="7" t="s">
        <v>31</v>
      </c>
      <c r="F1" s="7" t="s">
        <v>38</v>
      </c>
      <c r="G1" s="7" t="s">
        <v>30</v>
      </c>
      <c r="H1" s="7" t="s">
        <v>48</v>
      </c>
      <c r="I1" s="7" t="s">
        <v>52</v>
      </c>
      <c r="J1" s="7" t="s">
        <v>12</v>
      </c>
      <c r="K1" s="7" t="s">
        <v>54</v>
      </c>
    </row>
    <row r="2">
      <c r="A2" s="18" t="s">
        <v>55</v>
      </c>
      <c r="B2" s="17" t="s">
        <v>56</v>
      </c>
      <c r="D2" s="18" t="str">
        <f>substitute(A2,"_",".")</f>
        <v>A</v>
      </c>
      <c r="E2" s="24" t="s">
        <v>56</v>
      </c>
      <c r="F2" s="26" t="str">
        <f>if(isblank(E2),"",hyperlink("https://si-digital-framework.org/SI/units/"&amp;E2))</f>
        <v>https://si-digital-framework.org/SI/units/ampere</v>
      </c>
      <c r="G2" s="17" t="s">
        <v>55</v>
      </c>
      <c r="H2" s="29" t="str">
        <f>if(or(isblank(G2),G2="?"),"",hyperlink(concatenate("https://w3id.org/uom/",G2)))</f>
        <v>https://w3id.org/uom/A</v>
      </c>
      <c r="I2" s="18">
        <f>countif(Constants!H:H,A2)</f>
        <v>1</v>
      </c>
    </row>
    <row r="3">
      <c r="A3" s="35" t="s">
        <v>64</v>
      </c>
      <c r="B3" s="35" t="s">
        <v>65</v>
      </c>
      <c r="C3" s="35"/>
      <c r="D3" s="36"/>
      <c r="E3" s="24"/>
      <c r="F3" s="37"/>
      <c r="G3" s="38"/>
      <c r="H3" s="40"/>
      <c r="I3" s="41">
        <f>countif(Constants!H:H,A3)</f>
        <v>1</v>
      </c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>
      <c r="A4" s="17" t="s">
        <v>69</v>
      </c>
      <c r="B4" s="17" t="s">
        <v>70</v>
      </c>
      <c r="C4" s="17" t="s">
        <v>72</v>
      </c>
      <c r="D4" s="18" t="str">
        <f t="shared" ref="D4:D5" si="1">substitute(A4,"_",".")</f>
        <v>A.J-1</v>
      </c>
      <c r="E4" s="24" t="s">
        <v>75</v>
      </c>
      <c r="F4" s="26" t="str">
        <f t="shared" ref="F4:F5" si="2">if(isblank(E4),"",hyperlink("https://si-digital-framework.org/SI/units/"&amp;E4))</f>
        <v>https://si-digital-framework.org/SI/units/ampere.joule-1</v>
      </c>
      <c r="G4" s="17" t="s">
        <v>77</v>
      </c>
      <c r="H4" s="29" t="str">
        <f t="shared" ref="H4:H5" si="3">if(or(isblank(G4),G4="?"),"",hyperlink(concatenate("https://w3id.org/uom/",G4)))</f>
        <v>https://w3id.org/uom/A.J-1</v>
      </c>
      <c r="I4" s="18">
        <f>countif(Constants!H:H,A4)</f>
        <v>1</v>
      </c>
    </row>
    <row r="5">
      <c r="A5" s="18" t="s">
        <v>81</v>
      </c>
      <c r="B5" s="17" t="s">
        <v>82</v>
      </c>
      <c r="C5" s="17" t="s">
        <v>81</v>
      </c>
      <c r="D5" s="18" t="str">
        <f t="shared" si="1"/>
        <v>C</v>
      </c>
      <c r="E5" s="24" t="s">
        <v>82</v>
      </c>
      <c r="F5" s="26" t="str">
        <f t="shared" si="2"/>
        <v>https://si-digital-framework.org/SI/units/coulomb</v>
      </c>
      <c r="G5" s="17" t="s">
        <v>81</v>
      </c>
      <c r="H5" s="29" t="str">
        <f t="shared" si="3"/>
        <v>https://w3id.org/uom/C</v>
      </c>
      <c r="I5" s="18">
        <f>countif(Constants!H:H,A5)</f>
        <v>2</v>
      </c>
    </row>
    <row r="6">
      <c r="A6" s="17" t="s">
        <v>85</v>
      </c>
      <c r="B6" s="17" t="s">
        <v>86</v>
      </c>
      <c r="D6" s="44"/>
      <c r="E6" s="24"/>
      <c r="F6" s="37"/>
      <c r="G6" s="44"/>
      <c r="I6" s="18">
        <f>countif(Constants!H:H,A6)</f>
        <v>0</v>
      </c>
    </row>
    <row r="7">
      <c r="A7" s="17" t="s">
        <v>90</v>
      </c>
      <c r="C7" s="17" t="s">
        <v>91</v>
      </c>
      <c r="F7" s="37" t="str">
        <f t="shared" ref="F7:F22" si="4">if(isblank(E7),"",hyperlink("https://si-digital-framework.org/SI/units/"&amp;E7))</f>
        <v/>
      </c>
      <c r="I7" s="18">
        <f>countif(Constants!H:H,A7)</f>
        <v>1</v>
      </c>
    </row>
    <row r="8">
      <c r="A8" s="17" t="s">
        <v>100</v>
      </c>
      <c r="C8" s="17" t="s">
        <v>101</v>
      </c>
      <c r="D8" s="18" t="str">
        <f t="shared" ref="D8:D15" si="5">substitute(A8,"_",".")</f>
        <v>C.kg-1</v>
      </c>
      <c r="E8" s="24" t="s">
        <v>112</v>
      </c>
      <c r="F8" s="26" t="str">
        <f t="shared" si="4"/>
        <v>https://si-digital-framework.org/SI/units/coulomb.kilogram-1</v>
      </c>
      <c r="G8" s="17" t="s">
        <v>113</v>
      </c>
      <c r="H8" s="29" t="str">
        <f t="shared" ref="H8:H22" si="6">if(or(isblank(G8),G8="?"),"",hyperlink(concatenate("https://w3id.org/uom/",G8)))</f>
        <v>https://w3id.org/uom/C.kg-1</v>
      </c>
      <c r="I8" s="18">
        <f>countif(Constants!H:H,A8)</f>
        <v>2</v>
      </c>
    </row>
    <row r="9">
      <c r="A9" s="17" t="s">
        <v>126</v>
      </c>
      <c r="C9" s="17" t="s">
        <v>127</v>
      </c>
      <c r="D9" s="18" t="str">
        <f t="shared" si="5"/>
        <v>C.m</v>
      </c>
      <c r="E9" s="45" t="s">
        <v>128</v>
      </c>
      <c r="F9" s="26" t="str">
        <f t="shared" si="4"/>
        <v>https://si-digital-framework.org/SI/units/coulomb.metre</v>
      </c>
      <c r="G9" s="17" t="s">
        <v>131</v>
      </c>
      <c r="H9" s="29" t="str">
        <f t="shared" si="6"/>
        <v>https://w3id.org/uom/C.m</v>
      </c>
      <c r="I9" s="18">
        <f>countif(Constants!H:H,A9)</f>
        <v>1</v>
      </c>
    </row>
    <row r="10">
      <c r="A10" s="17" t="s">
        <v>134</v>
      </c>
      <c r="C10" s="17" t="s">
        <v>127</v>
      </c>
      <c r="D10" s="18" t="str">
        <f t="shared" si="5"/>
        <v>C.m-3</v>
      </c>
      <c r="E10" s="24" t="s">
        <v>135</v>
      </c>
      <c r="F10" s="26" t="str">
        <f t="shared" si="4"/>
        <v>https://si-digital-framework.org/SI/units/coulomb.metre-3</v>
      </c>
      <c r="G10" s="17" t="s">
        <v>136</v>
      </c>
      <c r="H10" s="29" t="str">
        <f t="shared" si="6"/>
        <v>https://w3id.org/uom/C.m-3</v>
      </c>
      <c r="I10" s="18">
        <f>countif(Constants!H:H,A10)</f>
        <v>1</v>
      </c>
    </row>
    <row r="11">
      <c r="A11" s="17" t="s">
        <v>141</v>
      </c>
      <c r="C11" s="17" t="s">
        <v>127</v>
      </c>
      <c r="D11" s="18" t="str">
        <f t="shared" si="5"/>
        <v>C.m2</v>
      </c>
      <c r="E11" s="24" t="s">
        <v>142</v>
      </c>
      <c r="F11" s="26" t="str">
        <f t="shared" si="4"/>
        <v>https://si-digital-framework.org/SI/units/coulomb.metre2</v>
      </c>
      <c r="G11" s="17" t="s">
        <v>145</v>
      </c>
      <c r="H11" s="29" t="str">
        <f t="shared" si="6"/>
        <v>https://w3id.org/uom/C.m2</v>
      </c>
      <c r="I11" s="18">
        <f>countif(Constants!H:H,A11)</f>
        <v>1</v>
      </c>
    </row>
    <row r="12">
      <c r="A12" s="17" t="s">
        <v>148</v>
      </c>
      <c r="C12" s="17" t="s">
        <v>149</v>
      </c>
      <c r="D12" s="18" t="str">
        <f t="shared" si="5"/>
        <v>C.mol-1</v>
      </c>
      <c r="E12" s="24" t="s">
        <v>150</v>
      </c>
      <c r="F12" s="26" t="str">
        <f t="shared" si="4"/>
        <v>https://si-digital-framework.org/SI/units/coulomb.mole-1</v>
      </c>
      <c r="G12" s="17" t="s">
        <v>152</v>
      </c>
      <c r="H12" s="29" t="str">
        <f t="shared" si="6"/>
        <v>https://w3id.org/uom/C.mol-1</v>
      </c>
      <c r="I12" s="18">
        <f>countif(Constants!H:H,A12)</f>
        <v>1</v>
      </c>
    </row>
    <row r="13">
      <c r="A13" s="17" t="s">
        <v>155</v>
      </c>
      <c r="C13" s="17" t="s">
        <v>156</v>
      </c>
      <c r="D13" s="18" t="str">
        <f t="shared" si="5"/>
        <v>C2.m2.J-1</v>
      </c>
      <c r="E13" s="24" t="s">
        <v>157</v>
      </c>
      <c r="F13" s="26" t="str">
        <f t="shared" si="4"/>
        <v>https://si-digital-framework.org/SI/units/coulomb2.metre2.joule-1</v>
      </c>
      <c r="G13" s="17" t="s">
        <v>158</v>
      </c>
      <c r="H13" s="29" t="str">
        <f t="shared" si="6"/>
        <v>https://w3id.org/uom/C2.m2.J-1</v>
      </c>
      <c r="I13" s="18">
        <f>countif(Constants!H:H,A13)</f>
        <v>1</v>
      </c>
    </row>
    <row r="14">
      <c r="A14" s="17" t="s">
        <v>161</v>
      </c>
      <c r="C14" s="17" t="s">
        <v>156</v>
      </c>
      <c r="D14" s="18" t="str">
        <f t="shared" si="5"/>
        <v>C3.m3.J-2</v>
      </c>
      <c r="E14" s="24" t="s">
        <v>162</v>
      </c>
      <c r="F14" s="26" t="str">
        <f t="shared" si="4"/>
        <v>https://si-digital-framework.org/SI/units/coulomb3.metre3.joule-2</v>
      </c>
      <c r="G14" s="17" t="s">
        <v>163</v>
      </c>
      <c r="H14" s="29" t="str">
        <f t="shared" si="6"/>
        <v>https://w3id.org/uom/C3.m3.J-2</v>
      </c>
      <c r="I14" s="18">
        <f>countif(Constants!H:H,A14)</f>
        <v>1</v>
      </c>
    </row>
    <row r="15">
      <c r="A15" s="17" t="s">
        <v>167</v>
      </c>
      <c r="C15" s="17" t="s">
        <v>156</v>
      </c>
      <c r="D15" s="18" t="str">
        <f t="shared" si="5"/>
        <v>C4.m4.J-3</v>
      </c>
      <c r="E15" s="24" t="s">
        <v>168</v>
      </c>
      <c r="F15" s="26" t="str">
        <f t="shared" si="4"/>
        <v>https://si-digital-framework.org/SI/units/coulomb4.metre4.joule-3</v>
      </c>
      <c r="G15" s="17" t="s">
        <v>169</v>
      </c>
      <c r="H15" s="29" t="str">
        <f t="shared" si="6"/>
        <v>https://w3id.org/uom/C4.m4.J-3</v>
      </c>
      <c r="I15" s="18">
        <f>countif(Constants!H:H,A15)</f>
        <v>1</v>
      </c>
    </row>
    <row r="16">
      <c r="A16" s="18" t="s">
        <v>170</v>
      </c>
      <c r="B16" s="17" t="s">
        <v>171</v>
      </c>
      <c r="C16" s="44"/>
      <c r="D16" s="44" t="s">
        <v>173</v>
      </c>
      <c r="E16" s="24" t="s">
        <v>174</v>
      </c>
      <c r="F16" s="26" t="str">
        <f t="shared" si="4"/>
        <v>https://si-digital-framework.org/SI/units/joule</v>
      </c>
      <c r="G16" s="17" t="s">
        <v>173</v>
      </c>
      <c r="H16" s="29" t="str">
        <f t="shared" si="6"/>
        <v>https://w3id.org/uom/J</v>
      </c>
      <c r="I16" s="18">
        <f>countif(Constants!H:H,A16)</f>
        <v>7</v>
      </c>
      <c r="J16" s="17" t="s">
        <v>178</v>
      </c>
      <c r="K16" s="26" t="s">
        <v>179</v>
      </c>
    </row>
    <row r="17">
      <c r="A17" s="18" t="s">
        <v>181</v>
      </c>
      <c r="D17" s="18" t="str">
        <f t="shared" ref="D17:D22" si="7">substitute(A17,"_",".")</f>
        <v>eV</v>
      </c>
      <c r="E17" s="24" t="s">
        <v>182</v>
      </c>
      <c r="F17" s="26" t="str">
        <f t="shared" si="4"/>
        <v>https://si-digital-framework.org/SI/units/electronvolt</v>
      </c>
      <c r="G17" s="17" t="s">
        <v>181</v>
      </c>
      <c r="H17" s="29" t="str">
        <f t="shared" si="6"/>
        <v>https://w3id.org/uom/eV</v>
      </c>
      <c r="I17" s="18">
        <f>countif(Constants!H:H,A17)</f>
        <v>9</v>
      </c>
    </row>
    <row r="18">
      <c r="A18" s="17" t="s">
        <v>183</v>
      </c>
      <c r="C18" s="17" t="s">
        <v>184</v>
      </c>
      <c r="D18" s="18" t="str">
        <f t="shared" si="7"/>
        <v>eV.Hz-1</v>
      </c>
      <c r="E18" s="24" t="s">
        <v>186</v>
      </c>
      <c r="F18" s="26" t="str">
        <f t="shared" si="4"/>
        <v>https://si-digital-framework.org/SI/units/electronvolt.hertz-1</v>
      </c>
      <c r="G18" s="17" t="s">
        <v>187</v>
      </c>
      <c r="H18" s="29" t="str">
        <f t="shared" si="6"/>
        <v>https://w3id.org/uom/eV.Hz-1</v>
      </c>
      <c r="I18" s="18">
        <f>countif(Constants!H:H,A18)</f>
        <v>1</v>
      </c>
    </row>
    <row r="19">
      <c r="A19" s="17" t="s">
        <v>188</v>
      </c>
      <c r="C19" s="17" t="s">
        <v>189</v>
      </c>
      <c r="D19" s="18" t="str">
        <f t="shared" si="7"/>
        <v>eV.K-1</v>
      </c>
      <c r="E19" s="24" t="s">
        <v>190</v>
      </c>
      <c r="F19" s="26" t="str">
        <f t="shared" si="4"/>
        <v>https://si-digital-framework.org/SI/units/electronvolt.kelvin-1</v>
      </c>
      <c r="G19" s="17" t="s">
        <v>191</v>
      </c>
      <c r="H19" s="29" t="str">
        <f t="shared" si="6"/>
        <v>https://w3id.org/uom/eV.K-1</v>
      </c>
      <c r="I19" s="18">
        <f>countif(Constants!H:H,A19)</f>
        <v>1</v>
      </c>
    </row>
    <row r="20">
      <c r="A20" s="17" t="s">
        <v>193</v>
      </c>
      <c r="C20" s="17" t="s">
        <v>195</v>
      </c>
      <c r="D20" s="18" t="str">
        <f t="shared" si="7"/>
        <v>eV.s</v>
      </c>
      <c r="E20" s="24" t="s">
        <v>196</v>
      </c>
      <c r="F20" s="26" t="str">
        <f t="shared" si="4"/>
        <v>https://si-digital-framework.org/SI/units/electronvolt.second</v>
      </c>
      <c r="G20" s="17" t="s">
        <v>197</v>
      </c>
      <c r="H20" s="29" t="str">
        <f t="shared" si="6"/>
        <v>https://w3id.org/uom/eV.s</v>
      </c>
      <c r="I20" s="18">
        <f>countif(Constants!H:H,A20)</f>
        <v>2</v>
      </c>
    </row>
    <row r="21">
      <c r="A21" s="17" t="s">
        <v>199</v>
      </c>
      <c r="C21" s="17" t="s">
        <v>200</v>
      </c>
      <c r="D21" s="18" t="str">
        <f t="shared" si="7"/>
        <v>eV.T-1</v>
      </c>
      <c r="E21" s="24" t="s">
        <v>201</v>
      </c>
      <c r="F21" s="26" t="str">
        <f t="shared" si="4"/>
        <v>https://si-digital-framework.org/SI/units/electronvolt.tesla-1</v>
      </c>
      <c r="G21" s="17" t="s">
        <v>202</v>
      </c>
      <c r="H21" s="29" t="str">
        <f t="shared" si="6"/>
        <v>https://w3id.org/uom/eV.T-1</v>
      </c>
      <c r="I21" s="18">
        <f>countif(Constants!H:H,A21)</f>
        <v>2</v>
      </c>
    </row>
    <row r="22">
      <c r="A22" s="18" t="s">
        <v>205</v>
      </c>
      <c r="D22" s="18" t="str">
        <f t="shared" si="7"/>
        <v>F</v>
      </c>
      <c r="E22" s="24" t="s">
        <v>206</v>
      </c>
      <c r="F22" s="26" t="str">
        <f t="shared" si="4"/>
        <v>https://si-digital-framework.org/SI/units/farad</v>
      </c>
      <c r="G22" s="17" t="s">
        <v>205</v>
      </c>
      <c r="H22" s="29" t="str">
        <f t="shared" si="6"/>
        <v>https://w3id.org/uom/F</v>
      </c>
      <c r="I22" s="18">
        <f>countif(Constants!H:H,A22)</f>
        <v>0</v>
      </c>
    </row>
    <row r="23">
      <c r="A23" s="17" t="s">
        <v>210</v>
      </c>
      <c r="B23" s="17" t="s">
        <v>211</v>
      </c>
      <c r="D23" s="44"/>
      <c r="E23" s="24"/>
      <c r="F23" s="37"/>
      <c r="G23" s="44"/>
      <c r="I23" s="18">
        <f>countif(Constants!H:H,A23)</f>
        <v>1</v>
      </c>
    </row>
    <row r="24">
      <c r="A24" s="17" t="s">
        <v>216</v>
      </c>
      <c r="C24" s="17" t="s">
        <v>218</v>
      </c>
      <c r="D24" s="18" t="str">
        <f t="shared" ref="D24:D27" si="8">substitute(A24,"_",".")</f>
        <v>F.m-1</v>
      </c>
      <c r="E24" s="24" t="s">
        <v>225</v>
      </c>
      <c r="F24" s="26" t="str">
        <f t="shared" ref="F24:F27" si="9">if(isblank(E24),"",hyperlink("https://si-digital-framework.org/SI/units/"&amp;E24))</f>
        <v>https://si-digital-framework.org/SI/units/farad.metre-1</v>
      </c>
      <c r="G24" s="17" t="s">
        <v>228</v>
      </c>
      <c r="H24" s="29" t="str">
        <f t="shared" ref="H24:H27" si="10">if(or(isblank(G24),G24="?"),"",hyperlink(concatenate("https://w3id.org/uom/",G24)))</f>
        <v>https://w3id.org/uom/F.m-1</v>
      </c>
      <c r="I24" s="18">
        <f>countif(Constants!H:H,A24)</f>
        <v>2</v>
      </c>
    </row>
    <row r="25">
      <c r="A25" s="18" t="s">
        <v>234</v>
      </c>
      <c r="D25" s="18" t="str">
        <f t="shared" si="8"/>
        <v>GeV</v>
      </c>
      <c r="E25" s="24" t="s">
        <v>235</v>
      </c>
      <c r="F25" s="26" t="str">
        <f t="shared" si="9"/>
        <v>https://si-digital-framework.org/SI/units/gigaelectronvolt</v>
      </c>
      <c r="G25" s="17" t="s">
        <v>234</v>
      </c>
      <c r="H25" s="29" t="str">
        <f t="shared" si="10"/>
        <v>https://w3id.org/uom/GeV</v>
      </c>
      <c r="I25" s="18">
        <f>countif(Constants!H:H,A25)</f>
        <v>1</v>
      </c>
    </row>
    <row r="26">
      <c r="A26" s="18" t="s">
        <v>240</v>
      </c>
      <c r="D26" s="18" t="str">
        <f t="shared" si="8"/>
        <v>GeV-2</v>
      </c>
      <c r="E26" s="24" t="s">
        <v>242</v>
      </c>
      <c r="F26" s="26" t="str">
        <f t="shared" si="9"/>
        <v>https://si-digital-framework.org/SI/units/gigaelectronvolt-2</v>
      </c>
      <c r="G26" s="17" t="s">
        <v>240</v>
      </c>
      <c r="H26" s="29" t="str">
        <f t="shared" si="10"/>
        <v>https://w3id.org/uom/GeV-2</v>
      </c>
      <c r="I26" s="18">
        <f>countif(Constants!H:H,A26)</f>
        <v>1</v>
      </c>
    </row>
    <row r="27">
      <c r="A27" s="18" t="s">
        <v>248</v>
      </c>
      <c r="D27" s="18" t="str">
        <f t="shared" si="8"/>
        <v>H</v>
      </c>
      <c r="E27" s="24" t="s">
        <v>251</v>
      </c>
      <c r="F27" s="26" t="str">
        <f t="shared" si="9"/>
        <v>https://si-digital-framework.org/SI/units/henry</v>
      </c>
      <c r="G27" s="17" t="s">
        <v>248</v>
      </c>
      <c r="H27" s="29" t="str">
        <f t="shared" si="10"/>
        <v>https://w3id.org/uom/H</v>
      </c>
      <c r="I27" s="18">
        <f>countif(Constants!H:H,A27)</f>
        <v>0</v>
      </c>
    </row>
    <row r="28">
      <c r="A28" s="17" t="s">
        <v>253</v>
      </c>
      <c r="B28" s="17" t="s">
        <v>254</v>
      </c>
      <c r="D28" s="44"/>
      <c r="E28" s="24"/>
      <c r="F28" s="37"/>
      <c r="G28" s="44"/>
      <c r="I28" s="18">
        <f>countif(Constants!H:H,A28)</f>
        <v>1</v>
      </c>
    </row>
    <row r="29">
      <c r="A29" s="18" t="s">
        <v>257</v>
      </c>
      <c r="D29" s="18" t="str">
        <f t="shared" ref="D29:D31" si="11">substitute(A29,"_",".")</f>
        <v>Hz</v>
      </c>
      <c r="E29" s="24" t="s">
        <v>258</v>
      </c>
      <c r="F29" s="26" t="str">
        <f t="shared" ref="F29:F31" si="12">if(isblank(E29),"",hyperlink("https://si-digital-framework.org/SI/units/"&amp;E29))</f>
        <v>https://si-digital-framework.org/SI/units/hertz</v>
      </c>
      <c r="G29" s="17" t="s">
        <v>257</v>
      </c>
      <c r="H29" s="29" t="str">
        <f t="shared" ref="H29:H31" si="13">if(or(isblank(G29),G29="?"),"",hyperlink(concatenate("https://w3id.org/uom/",G29)))</f>
        <v>https://w3id.org/uom/Hz</v>
      </c>
      <c r="I29" s="18">
        <f>countif(Constants!H:H,A29)</f>
        <v>9</v>
      </c>
    </row>
    <row r="30">
      <c r="A30" s="17" t="s">
        <v>266</v>
      </c>
      <c r="C30" s="17" t="s">
        <v>267</v>
      </c>
      <c r="D30" s="18" t="str">
        <f t="shared" si="11"/>
        <v>Hz.K-1</v>
      </c>
      <c r="E30" s="24" t="s">
        <v>268</v>
      </c>
      <c r="F30" s="26" t="str">
        <f t="shared" si="12"/>
        <v>https://si-digital-framework.org/SI/units/hertz.kelvin-1</v>
      </c>
      <c r="G30" s="17" t="s">
        <v>269</v>
      </c>
      <c r="H30" s="29" t="str">
        <f t="shared" si="13"/>
        <v>https://w3id.org/uom/Hz.K-1</v>
      </c>
      <c r="I30" s="18">
        <f>countif(Constants!H:H,A30)</f>
        <v>2</v>
      </c>
    </row>
    <row r="31">
      <c r="A31" s="17" t="s">
        <v>271</v>
      </c>
      <c r="C31" s="17" t="s">
        <v>272</v>
      </c>
      <c r="D31" s="18" t="str">
        <f t="shared" si="11"/>
        <v>Hz.T-1</v>
      </c>
      <c r="E31" s="24" t="s">
        <v>274</v>
      </c>
      <c r="F31" s="26" t="str">
        <f t="shared" si="12"/>
        <v>https://si-digital-framework.org/SI/units/hertz.tesla-1</v>
      </c>
      <c r="G31" s="17" t="s">
        <v>276</v>
      </c>
      <c r="H31" s="29" t="str">
        <f t="shared" si="13"/>
        <v>https://w3id.org/uom/Hz.T-1</v>
      </c>
      <c r="I31" s="18">
        <f>countif(Constants!H:H,A31)</f>
        <v>1</v>
      </c>
    </row>
    <row r="32">
      <c r="A32" s="17" t="s">
        <v>277</v>
      </c>
      <c r="B32" s="17" t="s">
        <v>278</v>
      </c>
      <c r="C32" s="17" t="s">
        <v>279</v>
      </c>
      <c r="E32" s="24"/>
      <c r="F32" s="37"/>
      <c r="I32" s="18">
        <f>countif(Constants!H:H,A32)</f>
        <v>1</v>
      </c>
    </row>
    <row r="33">
      <c r="A33" s="18" t="s">
        <v>173</v>
      </c>
      <c r="D33" s="18" t="str">
        <f t="shared" ref="D33:D61" si="14">substitute(A33,"_",".")</f>
        <v>J</v>
      </c>
      <c r="E33" s="24" t="s">
        <v>174</v>
      </c>
      <c r="F33" s="26" t="str">
        <f t="shared" ref="F33:F67" si="15">if(isblank(E33),"",hyperlink("https://si-digital-framework.org/SI/units/"&amp;E33))</f>
        <v>https://si-digital-framework.org/SI/units/joule</v>
      </c>
      <c r="G33" s="17" t="s">
        <v>173</v>
      </c>
      <c r="H33" s="29" t="str">
        <f t="shared" ref="H33:H67" si="16">if(or(isblank(G33),G33="?"),"",hyperlink(concatenate("https://w3id.org/uom/",G33)))</f>
        <v>https://w3id.org/uom/J</v>
      </c>
      <c r="I33" s="18">
        <f>countif(Constants!H:H,A33)</f>
        <v>23</v>
      </c>
    </row>
    <row r="34">
      <c r="A34" s="17" t="s">
        <v>294</v>
      </c>
      <c r="C34" s="17" t="s">
        <v>295</v>
      </c>
      <c r="D34" s="18" t="str">
        <f t="shared" si="14"/>
        <v>J.Hz-1</v>
      </c>
      <c r="E34" s="24" t="s">
        <v>298</v>
      </c>
      <c r="F34" s="26" t="str">
        <f t="shared" si="15"/>
        <v>https://si-digital-framework.org/SI/units/joule.hertz-1</v>
      </c>
      <c r="G34" s="17" t="s">
        <v>299</v>
      </c>
      <c r="H34" s="29" t="str">
        <f t="shared" si="16"/>
        <v>https://w3id.org/uom/J.Hz-1</v>
      </c>
      <c r="I34" s="18">
        <f>countif(Constants!H:H,A34)</f>
        <v>1</v>
      </c>
    </row>
    <row r="35">
      <c r="A35" s="17" t="s">
        <v>301</v>
      </c>
      <c r="C35" s="17" t="s">
        <v>302</v>
      </c>
      <c r="D35" s="18" t="str">
        <f t="shared" si="14"/>
        <v>J.Hz-1.mol-1</v>
      </c>
      <c r="E35" s="24" t="s">
        <v>305</v>
      </c>
      <c r="F35" s="26" t="str">
        <f t="shared" si="15"/>
        <v>https://si-digital-framework.org/SI/units/joule.hertz-1.mole-1</v>
      </c>
      <c r="G35" s="17" t="s">
        <v>306</v>
      </c>
      <c r="H35" s="29" t="str">
        <f t="shared" si="16"/>
        <v>https://w3id.org/uom/J.Hz-1.mol-1</v>
      </c>
      <c r="I35" s="18">
        <f>countif(Constants!H:H,A35)</f>
        <v>1</v>
      </c>
    </row>
    <row r="36">
      <c r="A36" s="17" t="s">
        <v>308</v>
      </c>
      <c r="C36" s="17" t="s">
        <v>309</v>
      </c>
      <c r="D36" s="18" t="str">
        <f t="shared" si="14"/>
        <v>J.K-1</v>
      </c>
      <c r="E36" s="24" t="s">
        <v>311</v>
      </c>
      <c r="F36" s="26" t="str">
        <f t="shared" si="15"/>
        <v>https://si-digital-framework.org/SI/units/joule.kelvin-1</v>
      </c>
      <c r="G36" s="17" t="s">
        <v>312</v>
      </c>
      <c r="H36" s="29" t="str">
        <f t="shared" si="16"/>
        <v>https://w3id.org/uom/J.K-1</v>
      </c>
      <c r="I36" s="18">
        <f>countif(Constants!H:H,A36)</f>
        <v>1</v>
      </c>
    </row>
    <row r="37">
      <c r="A37" s="17" t="s">
        <v>315</v>
      </c>
      <c r="C37" s="17" t="s">
        <v>316</v>
      </c>
      <c r="D37" s="18" t="str">
        <f t="shared" si="14"/>
        <v>J.m.mol-1</v>
      </c>
      <c r="E37" s="24" t="s">
        <v>318</v>
      </c>
      <c r="F37" s="26" t="str">
        <f t="shared" si="15"/>
        <v>https://si-digital-framework.org/SI/units/joule.metre.mole-1</v>
      </c>
      <c r="G37" s="17" t="s">
        <v>321</v>
      </c>
      <c r="H37" s="29" t="str">
        <f t="shared" si="16"/>
        <v>https://w3id.org/uom/J.m.mol-1</v>
      </c>
      <c r="I37" s="18">
        <f>countif(Constants!H:H,A37)</f>
        <v>1</v>
      </c>
    </row>
    <row r="38">
      <c r="A38" s="17" t="s">
        <v>324</v>
      </c>
      <c r="C38" s="17" t="s">
        <v>325</v>
      </c>
      <c r="D38" s="18" t="str">
        <f t="shared" si="14"/>
        <v>J.mol-1.K-1</v>
      </c>
      <c r="E38" s="24" t="s">
        <v>326</v>
      </c>
      <c r="F38" s="26" t="str">
        <f t="shared" si="15"/>
        <v>https://si-digital-framework.org/SI/units/joule.mole-1.kelvin-1</v>
      </c>
      <c r="G38" s="17" t="s">
        <v>327</v>
      </c>
      <c r="H38" s="29" t="str">
        <f t="shared" si="16"/>
        <v>https://w3id.org/uom/J.mol-1.K-1</v>
      </c>
      <c r="I38" s="18">
        <f>countif(Constants!H:H,A38)</f>
        <v>1</v>
      </c>
    </row>
    <row r="39">
      <c r="A39" s="17" t="s">
        <v>328</v>
      </c>
      <c r="C39" s="17" t="s">
        <v>329</v>
      </c>
      <c r="D39" s="18" t="str">
        <f t="shared" si="14"/>
        <v>J.s</v>
      </c>
      <c r="E39" s="24" t="s">
        <v>330</v>
      </c>
      <c r="F39" s="26" t="str">
        <f t="shared" si="15"/>
        <v>https://si-digital-framework.org/SI/units/joule.second</v>
      </c>
      <c r="G39" s="17" t="s">
        <v>331</v>
      </c>
      <c r="H39" s="29" t="str">
        <f t="shared" si="16"/>
        <v>https://w3id.org/uom/J.s</v>
      </c>
      <c r="I39" s="18">
        <f>countif(Constants!H:H,A39)</f>
        <v>3</v>
      </c>
    </row>
    <row r="40">
      <c r="A40" s="17" t="s">
        <v>333</v>
      </c>
      <c r="C40" s="17" t="s">
        <v>335</v>
      </c>
      <c r="D40" s="18" t="str">
        <f t="shared" si="14"/>
        <v>J.T-1</v>
      </c>
      <c r="E40" s="24" t="s">
        <v>336</v>
      </c>
      <c r="F40" s="26" t="str">
        <f t="shared" si="15"/>
        <v>https://si-digital-framework.org/SI/units/joule.tesla-1</v>
      </c>
      <c r="G40" s="17" t="s">
        <v>337</v>
      </c>
      <c r="H40" s="29" t="str">
        <f t="shared" si="16"/>
        <v>https://w3id.org/uom/J.T-1</v>
      </c>
      <c r="I40" s="18">
        <f>countif(Constants!H:H,A40)</f>
        <v>12</v>
      </c>
    </row>
    <row r="41">
      <c r="A41" s="17" t="s">
        <v>339</v>
      </c>
      <c r="C41" s="17" t="s">
        <v>335</v>
      </c>
      <c r="D41" s="18" t="str">
        <f t="shared" si="14"/>
        <v>J.T-2</v>
      </c>
      <c r="E41" s="24" t="s">
        <v>343</v>
      </c>
      <c r="F41" s="26" t="str">
        <f t="shared" si="15"/>
        <v>https://si-digital-framework.org/SI/units/joule.tesla-2</v>
      </c>
      <c r="G41" s="17" t="s">
        <v>344</v>
      </c>
      <c r="H41" s="29" t="str">
        <f t="shared" si="16"/>
        <v>https://w3id.org/uom/J.T-2</v>
      </c>
      <c r="I41" s="18">
        <f>countif(Constants!H:H,A41)</f>
        <v>1</v>
      </c>
    </row>
    <row r="42">
      <c r="A42" s="18" t="s">
        <v>345</v>
      </c>
      <c r="D42" s="18" t="str">
        <f t="shared" si="14"/>
        <v>K</v>
      </c>
      <c r="E42" s="24" t="s">
        <v>346</v>
      </c>
      <c r="F42" s="26" t="str">
        <f t="shared" si="15"/>
        <v>https://si-digital-framework.org/SI/units/kelvin</v>
      </c>
      <c r="G42" s="17" t="s">
        <v>345</v>
      </c>
      <c r="H42" s="29" t="str">
        <f t="shared" si="16"/>
        <v>https://w3id.org/uom/K</v>
      </c>
      <c r="I42" s="18">
        <f>countif(Constants!H:H,A42)</f>
        <v>8</v>
      </c>
    </row>
    <row r="43">
      <c r="A43" s="17" t="s">
        <v>349</v>
      </c>
      <c r="C43" s="17" t="s">
        <v>350</v>
      </c>
      <c r="D43" s="18" t="str">
        <f t="shared" si="14"/>
        <v>K.T-1</v>
      </c>
      <c r="E43" s="24" t="s">
        <v>351</v>
      </c>
      <c r="F43" s="26" t="str">
        <f t="shared" si="15"/>
        <v>https://si-digital-framework.org/SI/units/kelvin.tesla-1</v>
      </c>
      <c r="G43" s="17" t="s">
        <v>352</v>
      </c>
      <c r="H43" s="29" t="str">
        <f t="shared" si="16"/>
        <v>https://w3id.org/uom/K.T-1</v>
      </c>
      <c r="I43" s="18">
        <f>countif(Constants!H:H,A43)</f>
        <v>2</v>
      </c>
    </row>
    <row r="44">
      <c r="A44" s="18" t="s">
        <v>98</v>
      </c>
      <c r="D44" s="18" t="str">
        <f t="shared" si="14"/>
        <v>kg</v>
      </c>
      <c r="E44" s="24" t="s">
        <v>355</v>
      </c>
      <c r="F44" s="26" t="str">
        <f t="shared" si="15"/>
        <v>https://si-digital-framework.org/SI/units/kilogram</v>
      </c>
      <c r="G44" s="17" t="s">
        <v>98</v>
      </c>
      <c r="H44" s="29" t="str">
        <f t="shared" si="16"/>
        <v>https://w3id.org/uom/kg</v>
      </c>
      <c r="I44" s="18">
        <f>countif(Constants!H:H,A44)</f>
        <v>22</v>
      </c>
    </row>
    <row r="45">
      <c r="A45" s="17" t="s">
        <v>359</v>
      </c>
      <c r="C45" s="17" t="s">
        <v>360</v>
      </c>
      <c r="D45" s="18" t="str">
        <f t="shared" si="14"/>
        <v>kg.m.s-1</v>
      </c>
      <c r="E45" s="24" t="s">
        <v>361</v>
      </c>
      <c r="F45" s="26" t="str">
        <f t="shared" si="15"/>
        <v>https://si-digital-framework.org/SI/units/kilogram.metre.second-1</v>
      </c>
      <c r="G45" s="17" t="s">
        <v>362</v>
      </c>
      <c r="H45" s="29" t="str">
        <f t="shared" si="16"/>
        <v>https://w3id.org/uom/kg.m.s-1</v>
      </c>
      <c r="I45" s="18">
        <f>countif(Constants!H:H,A45)</f>
        <v>2</v>
      </c>
    </row>
    <row r="46">
      <c r="A46" s="17" t="s">
        <v>366</v>
      </c>
      <c r="C46" s="17" t="s">
        <v>367</v>
      </c>
      <c r="D46" s="18" t="str">
        <f t="shared" si="14"/>
        <v>kg.mol-1</v>
      </c>
      <c r="E46" s="24" t="s">
        <v>368</v>
      </c>
      <c r="F46" s="26" t="str">
        <f t="shared" si="15"/>
        <v>https://si-digital-framework.org/SI/units/kilogram.mole-1</v>
      </c>
      <c r="G46" s="17" t="s">
        <v>369</v>
      </c>
      <c r="H46" s="29" t="str">
        <f t="shared" si="16"/>
        <v>https://w3id.org/uom/kg.mol-1</v>
      </c>
      <c r="I46" s="18">
        <f>countif(Constants!H:H,A46)</f>
        <v>11</v>
      </c>
    </row>
    <row r="47">
      <c r="A47" s="17" t="s">
        <v>373</v>
      </c>
      <c r="C47" s="17" t="s">
        <v>374</v>
      </c>
      <c r="D47" s="18" t="str">
        <f t="shared" si="14"/>
        <v>lm.W-1</v>
      </c>
      <c r="E47" s="24" t="s">
        <v>375</v>
      </c>
      <c r="F47" s="26" t="str">
        <f t="shared" si="15"/>
        <v>https://si-digital-framework.org/SI/units/lumen.watt-1</v>
      </c>
      <c r="G47" s="17" t="s">
        <v>376</v>
      </c>
      <c r="H47" s="29" t="str">
        <f t="shared" si="16"/>
        <v>https://w3id.org/uom/lm.W-1</v>
      </c>
      <c r="I47" s="18">
        <f>countif(Constants!H:H,A47)</f>
        <v>1</v>
      </c>
    </row>
    <row r="48">
      <c r="A48" s="18" t="s">
        <v>381</v>
      </c>
      <c r="D48" s="18" t="str">
        <f t="shared" si="14"/>
        <v>m</v>
      </c>
      <c r="E48" s="24" t="s">
        <v>382</v>
      </c>
      <c r="F48" s="26" t="str">
        <f t="shared" si="15"/>
        <v>https://si-digital-framework.org/SI/units/metre</v>
      </c>
      <c r="G48" s="17" t="s">
        <v>381</v>
      </c>
      <c r="H48" s="29" t="str">
        <f t="shared" si="16"/>
        <v>https://w3id.org/uom/m</v>
      </c>
      <c r="I48" s="18">
        <f>countif(Constants!H:H,A48)</f>
        <v>22</v>
      </c>
    </row>
    <row r="49">
      <c r="A49" s="18" t="s">
        <v>384</v>
      </c>
      <c r="D49" s="18" t="str">
        <f t="shared" si="14"/>
        <v>m-1</v>
      </c>
      <c r="E49" s="24" t="s">
        <v>386</v>
      </c>
      <c r="F49" s="26" t="str">
        <f t="shared" si="15"/>
        <v>https://si-digital-framework.org/SI/units/metre-1</v>
      </c>
      <c r="G49" s="17" t="s">
        <v>384</v>
      </c>
      <c r="H49" s="29" t="str">
        <f t="shared" si="16"/>
        <v>https://w3id.org/uom/m-1</v>
      </c>
      <c r="I49" s="18">
        <f>countif(Constants!H:H,A49)</f>
        <v>8</v>
      </c>
    </row>
    <row r="50">
      <c r="A50" s="17" t="s">
        <v>388</v>
      </c>
      <c r="C50" s="17" t="s">
        <v>389</v>
      </c>
      <c r="D50" s="18" t="str">
        <f t="shared" si="14"/>
        <v>m-1.K-1</v>
      </c>
      <c r="E50" s="24" t="s">
        <v>390</v>
      </c>
      <c r="F50" s="26" t="str">
        <f t="shared" si="15"/>
        <v>https://si-digital-framework.org/SI/units/metre-1.kelvin-1</v>
      </c>
      <c r="G50" s="17" t="s">
        <v>392</v>
      </c>
      <c r="H50" s="29" t="str">
        <f t="shared" si="16"/>
        <v>https://w3id.org/uom/m-1.K-1</v>
      </c>
      <c r="I50" s="18">
        <f>countif(Constants!H:H,A50)</f>
        <v>1</v>
      </c>
    </row>
    <row r="51">
      <c r="A51" s="17" t="s">
        <v>394</v>
      </c>
      <c r="C51" s="17" t="s">
        <v>395</v>
      </c>
      <c r="D51" s="18" t="str">
        <f t="shared" si="14"/>
        <v>m-1.T-1</v>
      </c>
      <c r="E51" s="24" t="s">
        <v>396</v>
      </c>
      <c r="F51" s="26" t="str">
        <f t="shared" si="15"/>
        <v>https://si-digital-framework.org/SI/units/metre-1.tesla-1</v>
      </c>
      <c r="G51" s="17" t="s">
        <v>397</v>
      </c>
      <c r="H51" s="29" t="str">
        <f t="shared" si="16"/>
        <v>https://w3id.org/uom/m-1.T-1</v>
      </c>
      <c r="I51" s="18">
        <f>countif(Constants!H:H,A51)</f>
        <v>2</v>
      </c>
    </row>
    <row r="52">
      <c r="A52" s="18" t="s">
        <v>401</v>
      </c>
      <c r="D52" s="18" t="str">
        <f t="shared" si="14"/>
        <v>m-3</v>
      </c>
      <c r="E52" s="24" t="s">
        <v>402</v>
      </c>
      <c r="F52" s="26" t="str">
        <f t="shared" si="15"/>
        <v>https://si-digital-framework.org/SI/units/metre-3</v>
      </c>
      <c r="G52" s="17" t="s">
        <v>401</v>
      </c>
      <c r="H52" s="29" t="str">
        <f t="shared" si="16"/>
        <v>https://w3id.org/uom/m-3</v>
      </c>
      <c r="I52" s="18">
        <f>countif(Constants!H:H,A52)</f>
        <v>2</v>
      </c>
    </row>
    <row r="53">
      <c r="A53" s="17" t="s">
        <v>406</v>
      </c>
      <c r="C53" s="17" t="s">
        <v>407</v>
      </c>
      <c r="D53" s="18" t="str">
        <f t="shared" si="14"/>
        <v>m.K</v>
      </c>
      <c r="E53" s="24" t="s">
        <v>408</v>
      </c>
      <c r="F53" s="26" t="str">
        <f t="shared" si="15"/>
        <v>https://si-digital-framework.org/SI/units/metre.kelvin</v>
      </c>
      <c r="G53" s="17" t="s">
        <v>389</v>
      </c>
      <c r="H53" s="29" t="str">
        <f t="shared" si="16"/>
        <v>https://w3id.org/uom/m.K</v>
      </c>
      <c r="I53" s="18">
        <f>countif(Constants!H:H,A53)</f>
        <v>2</v>
      </c>
    </row>
    <row r="54">
      <c r="A54" s="17" t="s">
        <v>410</v>
      </c>
      <c r="C54" s="17" t="s">
        <v>411</v>
      </c>
      <c r="D54" s="18" t="str">
        <f t="shared" si="14"/>
        <v>m.s-1</v>
      </c>
      <c r="E54" s="24" t="s">
        <v>412</v>
      </c>
      <c r="F54" s="26" t="str">
        <f t="shared" si="15"/>
        <v>https://si-digital-framework.org/SI/units/metre.second-1</v>
      </c>
      <c r="G54" s="17" t="s">
        <v>413</v>
      </c>
      <c r="H54" s="29" t="str">
        <f t="shared" si="16"/>
        <v>https://w3id.org/uom/m.s-1</v>
      </c>
      <c r="I54" s="18">
        <f>countif(Constants!H:H,A54)</f>
        <v>3</v>
      </c>
    </row>
    <row r="55">
      <c r="A55" s="17" t="s">
        <v>416</v>
      </c>
      <c r="C55" s="17" t="s">
        <v>411</v>
      </c>
      <c r="D55" s="18" t="str">
        <f t="shared" si="14"/>
        <v>m.s-2</v>
      </c>
      <c r="E55" s="24" t="s">
        <v>417</v>
      </c>
      <c r="F55" s="26" t="str">
        <f t="shared" si="15"/>
        <v>https://si-digital-framework.org/SI/units/metre.second-2</v>
      </c>
      <c r="G55" s="17" t="s">
        <v>418</v>
      </c>
      <c r="H55" s="29" t="str">
        <f t="shared" si="16"/>
        <v>https://w3id.org/uom/m.s-2</v>
      </c>
      <c r="I55" s="18">
        <f>countif(Constants!H:H,A55)</f>
        <v>1</v>
      </c>
    </row>
    <row r="56">
      <c r="A56" s="18" t="s">
        <v>422</v>
      </c>
      <c r="D56" s="18" t="str">
        <f t="shared" si="14"/>
        <v>m2</v>
      </c>
      <c r="E56" s="24" t="s">
        <v>423</v>
      </c>
      <c r="F56" s="26" t="str">
        <f t="shared" si="15"/>
        <v>https://si-digital-framework.org/SI/units/metre2</v>
      </c>
      <c r="G56" s="17" t="s">
        <v>422</v>
      </c>
      <c r="H56" s="29" t="str">
        <f t="shared" si="16"/>
        <v>https://w3id.org/uom/m2</v>
      </c>
      <c r="I56" s="18">
        <f>countif(Constants!H:H,A56)</f>
        <v>1</v>
      </c>
    </row>
    <row r="57">
      <c r="A57" s="17" t="s">
        <v>424</v>
      </c>
      <c r="C57" s="17" t="s">
        <v>411</v>
      </c>
      <c r="D57" s="18" t="str">
        <f t="shared" si="14"/>
        <v>m2.s-1</v>
      </c>
      <c r="E57" s="24" t="s">
        <v>425</v>
      </c>
      <c r="F57" s="26" t="str">
        <f t="shared" si="15"/>
        <v>https://si-digital-framework.org/SI/units/metre2.second-1</v>
      </c>
      <c r="G57" s="17" t="s">
        <v>426</v>
      </c>
      <c r="H57" s="29" t="str">
        <f t="shared" si="16"/>
        <v>https://w3id.org/uom/m2.s-1</v>
      </c>
      <c r="I57" s="18">
        <f>countif(Constants!H:H,A57)</f>
        <v>2</v>
      </c>
    </row>
    <row r="58">
      <c r="A58" s="17" t="s">
        <v>430</v>
      </c>
      <c r="C58" s="17" t="s">
        <v>433</v>
      </c>
      <c r="D58" s="18" t="str">
        <f t="shared" si="14"/>
        <v>m3.kg-1.s-2</v>
      </c>
      <c r="E58" s="24" t="s">
        <v>436</v>
      </c>
      <c r="F58" s="26" t="str">
        <f t="shared" si="15"/>
        <v>https://si-digital-framework.org/SI/units/metre3.kilogram-1.second-2</v>
      </c>
      <c r="G58" s="17" t="s">
        <v>437</v>
      </c>
      <c r="H58" s="29" t="str">
        <f t="shared" si="16"/>
        <v>https://w3id.org/uom/m3.kg-1.s-2</v>
      </c>
      <c r="I58" s="18">
        <f>countif(Constants!H:H,A58)</f>
        <v>2</v>
      </c>
    </row>
    <row r="59">
      <c r="A59" s="17" t="s">
        <v>438</v>
      </c>
      <c r="C59" s="17" t="s">
        <v>439</v>
      </c>
      <c r="D59" s="18" t="str">
        <f t="shared" si="14"/>
        <v>m3.mol-1</v>
      </c>
      <c r="E59" s="24" t="s">
        <v>440</v>
      </c>
      <c r="F59" s="26" t="str">
        <f t="shared" si="15"/>
        <v>https://si-digital-framework.org/SI/units/metre3.mole-1</v>
      </c>
      <c r="G59" s="17" t="s">
        <v>443</v>
      </c>
      <c r="H59" s="29" t="str">
        <f t="shared" si="16"/>
        <v>https://w3id.org/uom/m3.mol-1</v>
      </c>
      <c r="I59" s="18">
        <f>countif(Constants!H:H,A59)</f>
        <v>3</v>
      </c>
    </row>
    <row r="60">
      <c r="A60" s="18" t="s">
        <v>224</v>
      </c>
      <c r="D60" s="18" t="str">
        <f t="shared" si="14"/>
        <v>MeV</v>
      </c>
      <c r="E60" s="24" t="s">
        <v>446</v>
      </c>
      <c r="F60" s="26" t="str">
        <f t="shared" si="15"/>
        <v>https://si-digital-framework.org/SI/units/megaelectronvolt</v>
      </c>
      <c r="G60" s="18" t="s">
        <v>224</v>
      </c>
      <c r="H60" s="29" t="str">
        <f t="shared" si="16"/>
        <v>https://w3id.org/uom/MeV</v>
      </c>
      <c r="I60" s="18">
        <f>countif(Constants!H:H,A60)</f>
        <v>12</v>
      </c>
    </row>
    <row r="61">
      <c r="A61" s="46" t="s">
        <v>449</v>
      </c>
      <c r="B61" s="47"/>
      <c r="C61" s="46" t="s">
        <v>455</v>
      </c>
      <c r="D61" s="48" t="str">
        <f t="shared" si="14"/>
        <v>MeV.fm</v>
      </c>
      <c r="E61" s="24" t="s">
        <v>458</v>
      </c>
      <c r="F61" s="26" t="str">
        <f t="shared" si="15"/>
        <v>https://si-digital-framework.org/SI/units/megaelectronvolt.femtometre</v>
      </c>
      <c r="G61" s="49" t="s">
        <v>459</v>
      </c>
      <c r="H61" s="50" t="str">
        <f t="shared" si="16"/>
        <v>https://w3id.org/uom/MeV.fm</v>
      </c>
      <c r="I61" s="18">
        <f>countif(Constants!H:H,A61)</f>
        <v>1</v>
      </c>
    </row>
    <row r="62">
      <c r="A62" s="17" t="s">
        <v>463</v>
      </c>
      <c r="B62" s="17"/>
      <c r="C62" s="17" t="s">
        <v>455</v>
      </c>
      <c r="D62" s="44" t="s">
        <v>464</v>
      </c>
      <c r="E62" s="24" t="s">
        <v>465</v>
      </c>
      <c r="F62" s="26" t="str">
        <f t="shared" si="15"/>
        <v>https://si-digital-framework.org/SI/units/megaelectronvolt.metre-1.second</v>
      </c>
      <c r="G62" s="17" t="s">
        <v>466</v>
      </c>
      <c r="H62" s="29" t="str">
        <f t="shared" si="16"/>
        <v>https://w3id.org/uom/MeV.[c]-1</v>
      </c>
      <c r="I62" s="18">
        <f>countif(Constants!H:H,A62)</f>
        <v>1</v>
      </c>
    </row>
    <row r="63">
      <c r="A63" s="17" t="s">
        <v>469</v>
      </c>
      <c r="C63" s="17" t="s">
        <v>272</v>
      </c>
      <c r="D63" s="18" t="str">
        <f t="shared" ref="D63:D66" si="17">substitute(A63,"_",".")</f>
        <v>MHz.T-1</v>
      </c>
      <c r="E63" s="24" t="s">
        <v>474</v>
      </c>
      <c r="F63" s="26" t="str">
        <f t="shared" si="15"/>
        <v>https://si-digital-framework.org/SI/units/megahertz.tesla-1</v>
      </c>
      <c r="G63" s="17" t="s">
        <v>475</v>
      </c>
      <c r="H63" s="29" t="str">
        <f t="shared" si="16"/>
        <v>https://w3id.org/uom/MHz.T-1</v>
      </c>
      <c r="I63" s="18">
        <f>countif(Constants!H:H,A63)</f>
        <v>6</v>
      </c>
    </row>
    <row r="64">
      <c r="A64" s="18" t="s">
        <v>480</v>
      </c>
      <c r="D64" s="18" t="str">
        <f t="shared" si="17"/>
        <v>mol-1</v>
      </c>
      <c r="E64" s="24" t="s">
        <v>482</v>
      </c>
      <c r="F64" s="26" t="str">
        <f t="shared" si="15"/>
        <v>https://si-digital-framework.org/SI/units/mole-1</v>
      </c>
      <c r="G64" s="17" t="s">
        <v>480</v>
      </c>
      <c r="H64" s="29" t="str">
        <f t="shared" si="16"/>
        <v>https://w3id.org/uom/mol-1</v>
      </c>
      <c r="I64" s="18">
        <f>countif(Constants!H:H,A64)</f>
        <v>1</v>
      </c>
    </row>
    <row r="65">
      <c r="A65" s="18" t="s">
        <v>486</v>
      </c>
      <c r="D65" s="18" t="str">
        <f t="shared" si="17"/>
        <v>N</v>
      </c>
      <c r="E65" s="24" t="s">
        <v>487</v>
      </c>
      <c r="F65" s="26" t="str">
        <f t="shared" si="15"/>
        <v>https://si-digital-framework.org/SI/units/newton</v>
      </c>
      <c r="G65" s="17" t="s">
        <v>486</v>
      </c>
      <c r="H65" s="29" t="str">
        <f t="shared" si="16"/>
        <v>https://w3id.org/uom/N</v>
      </c>
      <c r="I65" s="18">
        <f>countif(Constants!H:H,A65)</f>
        <v>1</v>
      </c>
    </row>
    <row r="66">
      <c r="A66" s="17" t="s">
        <v>490</v>
      </c>
      <c r="C66" s="17" t="s">
        <v>491</v>
      </c>
      <c r="D66" s="18" t="str">
        <f t="shared" si="17"/>
        <v>N.A-2</v>
      </c>
      <c r="E66" s="24" t="s">
        <v>492</v>
      </c>
      <c r="F66" s="26" t="str">
        <f t="shared" si="15"/>
        <v>https://si-digital-framework.org/SI/units/newton.ampere-2</v>
      </c>
      <c r="G66" s="17" t="s">
        <v>493</v>
      </c>
      <c r="H66" s="29" t="str">
        <f t="shared" si="16"/>
        <v>https://w3id.org/uom/N.A-2</v>
      </c>
      <c r="I66" s="18">
        <f>countif(Constants!H:H,A66)</f>
        <v>1</v>
      </c>
    </row>
    <row r="67">
      <c r="A67" s="18" t="s">
        <v>500</v>
      </c>
      <c r="B67" s="17"/>
      <c r="C67" s="44"/>
      <c r="D67" s="44" t="s">
        <v>501</v>
      </c>
      <c r="E67" s="24" t="s">
        <v>500</v>
      </c>
      <c r="F67" s="26" t="str">
        <f t="shared" si="15"/>
        <v>https://si-digital-framework.org/SI/units/ohm</v>
      </c>
      <c r="G67" s="17" t="s">
        <v>506</v>
      </c>
      <c r="H67" s="29" t="str">
        <f t="shared" si="16"/>
        <v>https://w3id.org/uom/Ohm</v>
      </c>
      <c r="I67" s="18">
        <f>countif(Constants!H:H,A67)</f>
        <v>3</v>
      </c>
    </row>
    <row r="68">
      <c r="A68" s="17" t="s">
        <v>508</v>
      </c>
      <c r="B68" s="17" t="s">
        <v>509</v>
      </c>
      <c r="D68" s="44"/>
      <c r="E68" s="24"/>
      <c r="F68" s="37"/>
      <c r="G68" s="44"/>
      <c r="I68" s="18">
        <f>countif(Constants!H:H,A68)</f>
        <v>2</v>
      </c>
    </row>
    <row r="69">
      <c r="A69" s="18" t="s">
        <v>512</v>
      </c>
      <c r="D69" s="18" t="str">
        <f t="shared" ref="D69:D73" si="18">substitute(A69,"_",".")</f>
        <v>Pa</v>
      </c>
      <c r="E69" s="24" t="s">
        <v>513</v>
      </c>
      <c r="F69" s="26" t="str">
        <f t="shared" ref="F69:F75" si="19">if(isblank(E69),"",hyperlink("https://si-digital-framework.org/SI/units/"&amp;E69))</f>
        <v>https://si-digital-framework.org/SI/units/pascal</v>
      </c>
      <c r="G69" s="17" t="s">
        <v>512</v>
      </c>
      <c r="H69" s="29" t="str">
        <f t="shared" ref="H69:H75" si="20">if(or(isblank(G69),G69="?"),"",hyperlink(concatenate("https://w3id.org/uom/",G69)))</f>
        <v>https://w3id.org/uom/Pa</v>
      </c>
      <c r="I69" s="18">
        <f>countif(Constants!H:H,A69)</f>
        <v>2</v>
      </c>
    </row>
    <row r="70">
      <c r="A70" s="18" t="s">
        <v>520</v>
      </c>
      <c r="D70" s="18" t="str">
        <f t="shared" si="18"/>
        <v>s</v>
      </c>
      <c r="E70" s="24" t="s">
        <v>521</v>
      </c>
      <c r="F70" s="26" t="str">
        <f t="shared" si="19"/>
        <v>https://si-digital-framework.org/SI/units/second</v>
      </c>
      <c r="G70" s="17" t="s">
        <v>520</v>
      </c>
      <c r="H70" s="29" t="str">
        <f t="shared" si="20"/>
        <v>https://w3id.org/uom/s</v>
      </c>
      <c r="I70" s="18">
        <f>countif(Constants!H:H,A70)</f>
        <v>4</v>
      </c>
    </row>
    <row r="71">
      <c r="A71" s="18" t="s">
        <v>526</v>
      </c>
      <c r="D71" s="18" t="str">
        <f t="shared" si="18"/>
        <v>S</v>
      </c>
      <c r="E71" s="24" t="s">
        <v>528</v>
      </c>
      <c r="F71" s="26" t="str">
        <f t="shared" si="19"/>
        <v>https://si-digital-framework.org/SI/units/siemens</v>
      </c>
      <c r="G71" s="17" t="s">
        <v>526</v>
      </c>
      <c r="H71" s="29" t="str">
        <f t="shared" si="20"/>
        <v>https://w3id.org/uom/S</v>
      </c>
      <c r="I71" s="18">
        <f>countif(Constants!H:H,A71)</f>
        <v>4</v>
      </c>
    </row>
    <row r="72">
      <c r="A72" s="17" t="s">
        <v>529</v>
      </c>
      <c r="C72" s="17" t="s">
        <v>530</v>
      </c>
      <c r="D72" s="18" t="str">
        <f t="shared" si="18"/>
        <v>s-1.T-1</v>
      </c>
      <c r="E72" s="24" t="s">
        <v>531</v>
      </c>
      <c r="F72" s="26" t="str">
        <f t="shared" si="19"/>
        <v>https://si-digital-framework.org/SI/units/second-1.tesla-1</v>
      </c>
      <c r="G72" s="17" t="s">
        <v>532</v>
      </c>
      <c r="H72" s="29" t="str">
        <f t="shared" si="20"/>
        <v>https://w3id.org/uom/s-1.T-1</v>
      </c>
      <c r="I72" s="18">
        <f>countif(Constants!H:H,A72)</f>
        <v>5</v>
      </c>
    </row>
    <row r="73">
      <c r="A73" s="18" t="s">
        <v>535</v>
      </c>
      <c r="D73" s="18" t="str">
        <f t="shared" si="18"/>
        <v>T</v>
      </c>
      <c r="E73" s="24" t="s">
        <v>537</v>
      </c>
      <c r="F73" s="26" t="str">
        <f t="shared" si="19"/>
        <v>https://si-digital-framework.org/SI/units/tesla</v>
      </c>
      <c r="G73" s="17" t="s">
        <v>535</v>
      </c>
      <c r="H73" s="29" t="str">
        <f t="shared" si="20"/>
        <v>https://w3id.org/uom/T</v>
      </c>
      <c r="I73" s="18">
        <f>countif(Constants!H:H,A73)</f>
        <v>1</v>
      </c>
    </row>
    <row r="74">
      <c r="A74" s="18" t="s">
        <v>249</v>
      </c>
      <c r="B74" s="17" t="s">
        <v>541</v>
      </c>
      <c r="C74" s="44"/>
      <c r="D74" s="44" t="s">
        <v>542</v>
      </c>
      <c r="E74" s="24" t="s">
        <v>543</v>
      </c>
      <c r="F74" s="26" t="str">
        <f t="shared" si="19"/>
        <v>https://si-digital-framework.org/SI/units/dalton</v>
      </c>
      <c r="G74" s="17" t="s">
        <v>249</v>
      </c>
      <c r="H74" s="29" t="str">
        <f t="shared" si="20"/>
        <v>https://w3id.org/uom/u</v>
      </c>
      <c r="I74" s="18">
        <f>countif(Constants!H:H,A74)</f>
        <v>17</v>
      </c>
    </row>
    <row r="75">
      <c r="A75" s="18" t="s">
        <v>546</v>
      </c>
      <c r="D75" s="18" t="str">
        <f>substitute(A75,"_",".")</f>
        <v>V</v>
      </c>
      <c r="E75" s="24" t="s">
        <v>551</v>
      </c>
      <c r="F75" s="26" t="str">
        <f t="shared" si="19"/>
        <v>https://si-digital-framework.org/SI/units/volt</v>
      </c>
      <c r="G75" s="17" t="s">
        <v>546</v>
      </c>
      <c r="H75" s="29" t="str">
        <f t="shared" si="20"/>
        <v>https://w3id.org/uom/V</v>
      </c>
      <c r="I75" s="18">
        <f>countif(Constants!H:H,A75)</f>
        <v>1</v>
      </c>
    </row>
    <row r="76">
      <c r="A76" s="17" t="s">
        <v>555</v>
      </c>
      <c r="B76" s="17" t="s">
        <v>556</v>
      </c>
      <c r="D76" s="44"/>
      <c r="E76" s="24"/>
      <c r="F76" s="37"/>
      <c r="G76" s="44"/>
      <c r="I76" s="18">
        <f>countif(Constants!H:H,A76)</f>
        <v>1</v>
      </c>
    </row>
    <row r="77">
      <c r="A77" s="17" t="s">
        <v>562</v>
      </c>
      <c r="C77" s="17" t="s">
        <v>563</v>
      </c>
      <c r="D77" s="18" t="str">
        <f t="shared" ref="D77:D79" si="21">substitute(A77,"_",".")</f>
        <v>V.m-1</v>
      </c>
      <c r="E77" s="24" t="s">
        <v>567</v>
      </c>
      <c r="F77" s="26" t="str">
        <f t="shared" ref="F77:F79" si="22">if(isblank(E77),"",hyperlink("https://si-digital-framework.org/SI/units/"&amp;E77))</f>
        <v>https://si-digital-framework.org/SI/units/volt.metre-1</v>
      </c>
      <c r="G77" s="17" t="s">
        <v>568</v>
      </c>
      <c r="H77" s="29" t="str">
        <f t="shared" ref="H77:H79" si="23">if(or(isblank(G77),G77="?"),"",hyperlink(concatenate("https://w3id.org/uom/",G77)))</f>
        <v>https://w3id.org/uom/V.m-1</v>
      </c>
      <c r="I77" s="18">
        <f>countif(Constants!H:H,A77)</f>
        <v>1</v>
      </c>
    </row>
    <row r="78">
      <c r="A78" s="17" t="s">
        <v>572</v>
      </c>
      <c r="C78" s="17" t="s">
        <v>563</v>
      </c>
      <c r="D78" s="18" t="str">
        <f t="shared" si="21"/>
        <v>V.m-2</v>
      </c>
      <c r="E78" s="24" t="s">
        <v>575</v>
      </c>
      <c r="F78" s="26" t="str">
        <f t="shared" si="22"/>
        <v>https://si-digital-framework.org/SI/units/volt.metre-2</v>
      </c>
      <c r="G78" s="17" t="s">
        <v>576</v>
      </c>
      <c r="H78" s="29" t="str">
        <f t="shared" si="23"/>
        <v>https://w3id.org/uom/V.m-2</v>
      </c>
      <c r="I78" s="18">
        <f>countif(Constants!H:H,A78)</f>
        <v>1</v>
      </c>
    </row>
    <row r="79">
      <c r="A79" s="18" t="s">
        <v>577</v>
      </c>
      <c r="D79" s="18" t="str">
        <f t="shared" si="21"/>
        <v>W</v>
      </c>
      <c r="E79" s="24" t="s">
        <v>580</v>
      </c>
      <c r="F79" s="26" t="str">
        <f t="shared" si="22"/>
        <v>https://si-digital-framework.org/SI/units/watt</v>
      </c>
      <c r="G79" s="17" t="s">
        <v>577</v>
      </c>
      <c r="H79" s="29" t="str">
        <f t="shared" si="23"/>
        <v>https://w3id.org/uom/W</v>
      </c>
      <c r="I79" s="18">
        <f>countif(Constants!H:H,A79)</f>
        <v>0</v>
      </c>
    </row>
    <row r="80">
      <c r="A80" s="17" t="s">
        <v>592</v>
      </c>
      <c r="B80" s="17" t="s">
        <v>594</v>
      </c>
      <c r="D80" s="44"/>
      <c r="E80" s="24"/>
      <c r="F80" s="37"/>
      <c r="G80" s="44"/>
      <c r="I80" s="18">
        <f>countif(Constants!H:H,A80)</f>
        <v>1</v>
      </c>
    </row>
    <row r="81">
      <c r="A81" s="17" t="s">
        <v>596</v>
      </c>
      <c r="C81" s="17" t="s">
        <v>597</v>
      </c>
      <c r="D81" s="18" t="str">
        <f t="shared" ref="D81:D84" si="24">substitute(A81,"_",".")</f>
        <v>W.m-2.K-4</v>
      </c>
      <c r="E81" s="24" t="s">
        <v>601</v>
      </c>
      <c r="F81" s="26" t="str">
        <f t="shared" ref="F81:F84" si="25">if(isblank(E81),"",hyperlink("https://si-digital-framework.org/SI/units/"&amp;E81))</f>
        <v>https://si-digital-framework.org/SI/units/watt.metre-2.kelvin-4</v>
      </c>
      <c r="G81" s="17" t="s">
        <v>603</v>
      </c>
      <c r="H81" s="29" t="str">
        <f t="shared" ref="H81:H84" si="26">if(or(isblank(G81),G81="?"),"",hyperlink(concatenate("https://w3id.org/uom/",G81)))</f>
        <v>https://w3id.org/uom/W.m-2.K-4</v>
      </c>
      <c r="I81" s="18">
        <f>countif(Constants!H:H,A81)</f>
        <v>1</v>
      </c>
    </row>
    <row r="82">
      <c r="A82" s="17" t="s">
        <v>607</v>
      </c>
      <c r="C82" s="17" t="s">
        <v>608</v>
      </c>
      <c r="D82" s="18" t="str">
        <f t="shared" si="24"/>
        <v>W.m2</v>
      </c>
      <c r="E82" s="24" t="s">
        <v>609</v>
      </c>
      <c r="F82" s="26" t="str">
        <f t="shared" si="25"/>
        <v>https://si-digital-framework.org/SI/units/watt.metre2</v>
      </c>
      <c r="G82" s="17" t="s">
        <v>610</v>
      </c>
      <c r="H82" s="29" t="str">
        <f t="shared" si="26"/>
        <v>https://w3id.org/uom/W.m2</v>
      </c>
      <c r="I82" s="18">
        <f>countif(Constants!H:H,A82)</f>
        <v>1</v>
      </c>
    </row>
    <row r="83">
      <c r="A83" s="17" t="s">
        <v>614</v>
      </c>
      <c r="C83" s="17" t="s">
        <v>615</v>
      </c>
      <c r="D83" s="18" t="str">
        <f t="shared" si="24"/>
        <v>W.m2.sr-1</v>
      </c>
      <c r="E83" s="24" t="s">
        <v>616</v>
      </c>
      <c r="F83" s="26" t="str">
        <f t="shared" si="25"/>
        <v>https://si-digital-framework.org/SI/units/watt.metre2.steradian-1</v>
      </c>
      <c r="G83" s="17" t="s">
        <v>618</v>
      </c>
      <c r="H83" s="29" t="str">
        <f t="shared" si="26"/>
        <v>https://w3id.org/uom/W.m2.sr-1</v>
      </c>
      <c r="I83" s="18">
        <f>countif(Constants!H:H,A83)</f>
        <v>1</v>
      </c>
    </row>
    <row r="84">
      <c r="A84" s="18" t="s">
        <v>622</v>
      </c>
      <c r="D84" s="18" t="str">
        <f t="shared" si="24"/>
        <v>Wb</v>
      </c>
      <c r="E84" s="24" t="s">
        <v>623</v>
      </c>
      <c r="F84" s="26" t="str">
        <f t="shared" si="25"/>
        <v>https://si-digital-framework.org/SI/units/weber</v>
      </c>
      <c r="G84" s="17" t="s">
        <v>622</v>
      </c>
      <c r="H84" s="29" t="str">
        <f t="shared" si="26"/>
        <v>https://w3id.org/uom/Wb</v>
      </c>
      <c r="I84" s="18">
        <f>countif(Constants!H:H,A84)</f>
        <v>1</v>
      </c>
    </row>
  </sheetData>
  <autoFilter ref="$A$1:$AA$84"/>
  <conditionalFormatting sqref="G1:G5 G7:G22 G24:G27 G29:G67 G69:G75 G77:G79 G81:G108">
    <cfRule type="cellIs" dxfId="0" priority="1" operator="equal">
      <formula>"?"</formula>
    </cfRule>
  </conditionalFormatting>
  <hyperlinks>
    <hyperlink r:id="rId1" ref="K1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1.38"/>
    <col customWidth="1" min="3" max="3" width="25.75"/>
  </cols>
  <sheetData>
    <row r="1">
      <c r="A1" s="51" t="s">
        <v>0</v>
      </c>
      <c r="B1" s="8" t="s">
        <v>646</v>
      </c>
      <c r="C1" s="7" t="s">
        <v>647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>
      <c r="A2" s="52" t="s">
        <v>654</v>
      </c>
      <c r="B2" s="53">
        <v>45421.0</v>
      </c>
    </row>
    <row r="3">
      <c r="A3" s="52" t="s">
        <v>655</v>
      </c>
      <c r="B3" s="53">
        <v>43605.0</v>
      </c>
    </row>
    <row r="4">
      <c r="A4" s="52" t="s">
        <v>656</v>
      </c>
      <c r="B4" s="53">
        <v>42170.0</v>
      </c>
    </row>
    <row r="5">
      <c r="A5" s="52" t="s">
        <v>657</v>
      </c>
      <c r="B5" s="53">
        <v>40696.0</v>
      </c>
    </row>
    <row r="6">
      <c r="A6" s="52" t="s">
        <v>660</v>
      </c>
      <c r="B6" s="53">
        <v>39148.0</v>
      </c>
    </row>
    <row r="7">
      <c r="A7" s="52" t="s">
        <v>662</v>
      </c>
      <c r="B7" s="53">
        <v>37964.0</v>
      </c>
    </row>
    <row r="8">
      <c r="A8" s="52" t="s">
        <v>663</v>
      </c>
      <c r="B8" s="53">
        <v>36364.0</v>
      </c>
    </row>
    <row r="9">
      <c r="A9" s="54"/>
      <c r="B9" s="23"/>
    </row>
    <row r="10">
      <c r="A10" s="54"/>
      <c r="B10" s="23"/>
    </row>
    <row r="11">
      <c r="A11" s="54"/>
      <c r="B11" s="23"/>
    </row>
    <row r="12">
      <c r="A12" s="54"/>
      <c r="B12" s="23"/>
    </row>
    <row r="13">
      <c r="A13" s="54"/>
      <c r="B13" s="23"/>
    </row>
    <row r="14">
      <c r="A14" s="54"/>
      <c r="B14" s="23"/>
    </row>
    <row r="15">
      <c r="A15" s="54"/>
      <c r="B15" s="23"/>
    </row>
    <row r="16">
      <c r="A16" s="54"/>
      <c r="B16" s="23"/>
    </row>
    <row r="17">
      <c r="A17" s="54"/>
      <c r="B17" s="23"/>
    </row>
    <row r="18">
      <c r="A18" s="54"/>
      <c r="B18" s="23"/>
    </row>
    <row r="19">
      <c r="A19" s="54"/>
      <c r="B19" s="23"/>
    </row>
    <row r="20">
      <c r="A20" s="54"/>
      <c r="B20" s="23"/>
    </row>
    <row r="21">
      <c r="A21" s="54"/>
      <c r="B21" s="23"/>
    </row>
    <row r="22">
      <c r="A22" s="54"/>
      <c r="B22" s="23"/>
    </row>
    <row r="23">
      <c r="A23" s="54"/>
      <c r="B23" s="23"/>
    </row>
    <row r="24">
      <c r="A24" s="54"/>
      <c r="B24" s="23"/>
    </row>
    <row r="25">
      <c r="A25" s="54"/>
      <c r="B25" s="23"/>
    </row>
    <row r="26">
      <c r="A26" s="54"/>
      <c r="B26" s="23"/>
    </row>
    <row r="27">
      <c r="A27" s="54"/>
      <c r="B27" s="23"/>
    </row>
    <row r="28">
      <c r="A28" s="54"/>
      <c r="B28" s="23"/>
    </row>
    <row r="29">
      <c r="A29" s="54"/>
      <c r="B29" s="23"/>
    </row>
    <row r="30">
      <c r="A30" s="54"/>
      <c r="B30" s="23"/>
    </row>
    <row r="31">
      <c r="A31" s="54"/>
      <c r="B31" s="23"/>
    </row>
    <row r="32">
      <c r="A32" s="54"/>
      <c r="B32" s="23"/>
    </row>
    <row r="33">
      <c r="A33" s="54"/>
      <c r="B33" s="23"/>
    </row>
    <row r="34">
      <c r="A34" s="54"/>
      <c r="B34" s="23"/>
    </row>
    <row r="35">
      <c r="A35" s="54"/>
      <c r="B35" s="23"/>
    </row>
    <row r="36">
      <c r="A36" s="54"/>
      <c r="B36" s="23"/>
    </row>
    <row r="37">
      <c r="A37" s="54"/>
      <c r="B37" s="23"/>
    </row>
    <row r="38">
      <c r="A38" s="54"/>
      <c r="B38" s="23"/>
    </row>
    <row r="39">
      <c r="A39" s="54"/>
      <c r="B39" s="23"/>
    </row>
    <row r="40">
      <c r="A40" s="54"/>
      <c r="B40" s="23"/>
    </row>
    <row r="41">
      <c r="A41" s="54"/>
      <c r="B41" s="23"/>
    </row>
    <row r="42">
      <c r="A42" s="54"/>
      <c r="B42" s="23"/>
    </row>
    <row r="43">
      <c r="A43" s="54"/>
      <c r="B43" s="23"/>
    </row>
    <row r="44">
      <c r="A44" s="54"/>
      <c r="B44" s="23"/>
    </row>
    <row r="45">
      <c r="A45" s="54"/>
      <c r="B45" s="23"/>
    </row>
    <row r="46">
      <c r="A46" s="54"/>
      <c r="B46" s="23"/>
    </row>
    <row r="47">
      <c r="A47" s="54"/>
      <c r="B47" s="23"/>
    </row>
    <row r="48">
      <c r="A48" s="54"/>
      <c r="B48" s="23"/>
    </row>
    <row r="49">
      <c r="A49" s="54"/>
      <c r="B49" s="23"/>
    </row>
    <row r="50">
      <c r="A50" s="54"/>
      <c r="B50" s="23"/>
    </row>
    <row r="51">
      <c r="A51" s="54"/>
      <c r="B51" s="23"/>
    </row>
    <row r="52">
      <c r="A52" s="54"/>
      <c r="B52" s="23"/>
    </row>
    <row r="53">
      <c r="A53" s="54"/>
      <c r="B53" s="23"/>
    </row>
    <row r="54">
      <c r="A54" s="54"/>
      <c r="B54" s="23"/>
    </row>
    <row r="55">
      <c r="A55" s="54"/>
      <c r="B55" s="23"/>
    </row>
    <row r="56">
      <c r="A56" s="54"/>
      <c r="B56" s="23"/>
    </row>
    <row r="57">
      <c r="A57" s="54"/>
      <c r="B57" s="23"/>
    </row>
    <row r="58">
      <c r="A58" s="54"/>
      <c r="B58" s="23"/>
    </row>
    <row r="59">
      <c r="A59" s="54"/>
      <c r="B59" s="23"/>
    </row>
    <row r="60">
      <c r="A60" s="54"/>
      <c r="B60" s="23"/>
    </row>
    <row r="61">
      <c r="A61" s="54"/>
      <c r="B61" s="23"/>
    </row>
    <row r="62">
      <c r="A62" s="54"/>
      <c r="B62" s="23"/>
    </row>
    <row r="63">
      <c r="A63" s="54"/>
      <c r="B63" s="23"/>
    </row>
    <row r="64">
      <c r="A64" s="54"/>
      <c r="B64" s="23"/>
    </row>
    <row r="65">
      <c r="A65" s="54"/>
      <c r="B65" s="23"/>
    </row>
    <row r="66">
      <c r="A66" s="54"/>
      <c r="B66" s="23"/>
    </row>
    <row r="67">
      <c r="A67" s="54"/>
      <c r="B67" s="23"/>
    </row>
    <row r="68">
      <c r="A68" s="54"/>
      <c r="B68" s="23"/>
    </row>
    <row r="69">
      <c r="A69" s="54"/>
      <c r="B69" s="23"/>
    </row>
    <row r="70">
      <c r="A70" s="54"/>
      <c r="B70" s="23"/>
    </row>
    <row r="71">
      <c r="A71" s="54"/>
      <c r="B71" s="23"/>
    </row>
    <row r="72">
      <c r="A72" s="54"/>
      <c r="B72" s="23"/>
    </row>
    <row r="73">
      <c r="A73" s="54"/>
      <c r="B73" s="23"/>
    </row>
    <row r="74">
      <c r="A74" s="54"/>
      <c r="B74" s="23"/>
    </row>
    <row r="75">
      <c r="A75" s="54"/>
      <c r="B75" s="23"/>
    </row>
    <row r="76">
      <c r="A76" s="54"/>
      <c r="B76" s="23"/>
    </row>
    <row r="77">
      <c r="A77" s="54"/>
      <c r="B77" s="23"/>
    </row>
    <row r="78">
      <c r="A78" s="54"/>
      <c r="B78" s="23"/>
    </row>
    <row r="79">
      <c r="A79" s="54"/>
      <c r="B79" s="23"/>
    </row>
    <row r="80">
      <c r="A80" s="54"/>
      <c r="B80" s="23"/>
    </row>
    <row r="81">
      <c r="A81" s="54"/>
      <c r="B81" s="23"/>
    </row>
    <row r="82">
      <c r="A82" s="54"/>
      <c r="B82" s="23"/>
    </row>
    <row r="83">
      <c r="A83" s="54"/>
      <c r="B83" s="23"/>
    </row>
    <row r="84">
      <c r="A84" s="54"/>
      <c r="B84" s="23"/>
    </row>
    <row r="85">
      <c r="A85" s="54"/>
      <c r="B85" s="23"/>
    </row>
    <row r="86">
      <c r="A86" s="54"/>
      <c r="B86" s="23"/>
    </row>
    <row r="87">
      <c r="A87" s="54"/>
      <c r="B87" s="23"/>
    </row>
    <row r="88">
      <c r="A88" s="54"/>
      <c r="B88" s="23"/>
    </row>
    <row r="89">
      <c r="A89" s="54"/>
      <c r="B89" s="23"/>
    </row>
    <row r="90">
      <c r="A90" s="54"/>
      <c r="B90" s="23"/>
    </row>
    <row r="91">
      <c r="A91" s="54"/>
      <c r="B91" s="23"/>
    </row>
    <row r="92">
      <c r="A92" s="54"/>
      <c r="B92" s="23"/>
    </row>
    <row r="93">
      <c r="A93" s="54"/>
      <c r="B93" s="23"/>
    </row>
    <row r="94">
      <c r="A94" s="54"/>
      <c r="B94" s="23"/>
    </row>
    <row r="95">
      <c r="A95" s="54"/>
      <c r="B95" s="23"/>
    </row>
    <row r="96">
      <c r="A96" s="54"/>
      <c r="B96" s="23"/>
    </row>
    <row r="97">
      <c r="A97" s="54"/>
      <c r="B97" s="23"/>
    </row>
    <row r="98">
      <c r="A98" s="54"/>
      <c r="B98" s="23"/>
    </row>
    <row r="99">
      <c r="A99" s="54"/>
      <c r="B99" s="23"/>
    </row>
    <row r="100">
      <c r="A100" s="54"/>
      <c r="B100" s="23"/>
    </row>
    <row r="101">
      <c r="A101" s="54"/>
      <c r="B101" s="23"/>
    </row>
    <row r="102">
      <c r="A102" s="54"/>
      <c r="B102" s="23"/>
    </row>
    <row r="103">
      <c r="A103" s="54"/>
      <c r="B103" s="23"/>
    </row>
    <row r="104">
      <c r="A104" s="54"/>
      <c r="B104" s="23"/>
    </row>
    <row r="105">
      <c r="A105" s="54"/>
      <c r="B105" s="23"/>
    </row>
    <row r="106">
      <c r="A106" s="54"/>
      <c r="B106" s="23"/>
    </row>
    <row r="107">
      <c r="A107" s="54"/>
      <c r="B107" s="23"/>
    </row>
    <row r="108">
      <c r="A108" s="54"/>
      <c r="B108" s="23"/>
    </row>
    <row r="109">
      <c r="A109" s="54"/>
      <c r="B109" s="23"/>
    </row>
    <row r="110">
      <c r="A110" s="54"/>
      <c r="B110" s="23"/>
    </row>
    <row r="111">
      <c r="A111" s="54"/>
      <c r="B111" s="23"/>
    </row>
    <row r="112">
      <c r="A112" s="54"/>
      <c r="B112" s="23"/>
    </row>
    <row r="113">
      <c r="A113" s="54"/>
      <c r="B113" s="23"/>
    </row>
    <row r="114">
      <c r="A114" s="54"/>
      <c r="B114" s="23"/>
    </row>
    <row r="115">
      <c r="A115" s="54"/>
      <c r="B115" s="23"/>
    </row>
    <row r="116">
      <c r="A116" s="54"/>
      <c r="B116" s="23"/>
    </row>
    <row r="117">
      <c r="A117" s="54"/>
      <c r="B117" s="23"/>
    </row>
    <row r="118">
      <c r="A118" s="54"/>
      <c r="B118" s="23"/>
    </row>
    <row r="119">
      <c r="A119" s="54"/>
      <c r="B119" s="23"/>
    </row>
    <row r="120">
      <c r="A120" s="54"/>
      <c r="B120" s="23"/>
    </row>
    <row r="121">
      <c r="A121" s="54"/>
      <c r="B121" s="23"/>
    </row>
    <row r="122">
      <c r="A122" s="54"/>
      <c r="B122" s="23"/>
    </row>
    <row r="123">
      <c r="A123" s="54"/>
      <c r="B123" s="23"/>
    </row>
    <row r="124">
      <c r="A124" s="54"/>
      <c r="B124" s="23"/>
    </row>
    <row r="125">
      <c r="A125" s="54"/>
      <c r="B125" s="23"/>
    </row>
    <row r="126">
      <c r="A126" s="54"/>
      <c r="B126" s="23"/>
    </row>
    <row r="127">
      <c r="A127" s="54"/>
      <c r="B127" s="23"/>
    </row>
    <row r="128">
      <c r="A128" s="54"/>
      <c r="B128" s="23"/>
    </row>
    <row r="129">
      <c r="A129" s="54"/>
      <c r="B129" s="23"/>
    </row>
    <row r="130">
      <c r="A130" s="54"/>
      <c r="B130" s="23"/>
    </row>
    <row r="131">
      <c r="A131" s="54"/>
      <c r="B131" s="23"/>
    </row>
    <row r="132">
      <c r="A132" s="54"/>
      <c r="B132" s="23"/>
    </row>
    <row r="133">
      <c r="A133" s="54"/>
      <c r="B133" s="23"/>
    </row>
    <row r="134">
      <c r="A134" s="54"/>
      <c r="B134" s="23"/>
    </row>
    <row r="135">
      <c r="A135" s="54"/>
      <c r="B135" s="23"/>
    </row>
    <row r="136">
      <c r="A136" s="54"/>
      <c r="B136" s="23"/>
    </row>
    <row r="137">
      <c r="A137" s="54"/>
      <c r="B137" s="23"/>
    </row>
    <row r="138">
      <c r="A138" s="54"/>
      <c r="B138" s="23"/>
    </row>
    <row r="139">
      <c r="A139" s="54"/>
      <c r="B139" s="23"/>
    </row>
    <row r="140">
      <c r="A140" s="54"/>
      <c r="B140" s="23"/>
    </row>
    <row r="141">
      <c r="A141" s="54"/>
      <c r="B141" s="23"/>
    </row>
    <row r="142">
      <c r="A142" s="54"/>
      <c r="B142" s="23"/>
    </row>
    <row r="143">
      <c r="A143" s="54"/>
      <c r="B143" s="23"/>
    </row>
    <row r="144">
      <c r="A144" s="54"/>
      <c r="B144" s="23"/>
    </row>
    <row r="145">
      <c r="A145" s="54"/>
      <c r="B145" s="23"/>
    </row>
    <row r="146">
      <c r="A146" s="54"/>
      <c r="B146" s="23"/>
    </row>
    <row r="147">
      <c r="A147" s="54"/>
      <c r="B147" s="23"/>
    </row>
    <row r="148">
      <c r="A148" s="54"/>
      <c r="B148" s="23"/>
    </row>
    <row r="149">
      <c r="A149" s="54"/>
      <c r="B149" s="23"/>
    </row>
    <row r="150">
      <c r="A150" s="54"/>
      <c r="B150" s="23"/>
    </row>
    <row r="151">
      <c r="A151" s="54"/>
      <c r="B151" s="23"/>
    </row>
    <row r="152">
      <c r="A152" s="54"/>
      <c r="B152" s="23"/>
    </row>
    <row r="153">
      <c r="A153" s="54"/>
      <c r="B153" s="23"/>
    </row>
    <row r="154">
      <c r="A154" s="54"/>
      <c r="B154" s="23"/>
    </row>
    <row r="155">
      <c r="A155" s="54"/>
      <c r="B155" s="23"/>
    </row>
    <row r="156">
      <c r="A156" s="54"/>
      <c r="B156" s="23"/>
    </row>
    <row r="157">
      <c r="A157" s="54"/>
      <c r="B157" s="23"/>
    </row>
    <row r="158">
      <c r="A158" s="54"/>
      <c r="B158" s="23"/>
    </row>
    <row r="159">
      <c r="A159" s="54"/>
      <c r="B159" s="23"/>
    </row>
    <row r="160">
      <c r="A160" s="54"/>
      <c r="B160" s="23"/>
    </row>
    <row r="161">
      <c r="A161" s="54"/>
      <c r="B161" s="23"/>
    </row>
    <row r="162">
      <c r="A162" s="54"/>
      <c r="B162" s="23"/>
    </row>
    <row r="163">
      <c r="A163" s="54"/>
      <c r="B163" s="23"/>
    </row>
    <row r="164">
      <c r="A164" s="54"/>
      <c r="B164" s="23"/>
    </row>
    <row r="165">
      <c r="A165" s="54"/>
      <c r="B165" s="23"/>
    </row>
    <row r="166">
      <c r="A166" s="54"/>
      <c r="B166" s="23"/>
    </row>
    <row r="167">
      <c r="A167" s="54"/>
      <c r="B167" s="23"/>
    </row>
    <row r="168">
      <c r="A168" s="54"/>
      <c r="B168" s="23"/>
    </row>
    <row r="169">
      <c r="A169" s="54"/>
      <c r="B169" s="23"/>
    </row>
    <row r="170">
      <c r="A170" s="54"/>
      <c r="B170" s="23"/>
    </row>
    <row r="171">
      <c r="A171" s="54"/>
      <c r="B171" s="23"/>
    </row>
    <row r="172">
      <c r="A172" s="54"/>
      <c r="B172" s="23"/>
    </row>
    <row r="173">
      <c r="A173" s="54"/>
      <c r="B173" s="23"/>
    </row>
    <row r="174">
      <c r="A174" s="54"/>
      <c r="B174" s="23"/>
    </row>
    <row r="175">
      <c r="A175" s="54"/>
      <c r="B175" s="23"/>
    </row>
    <row r="176">
      <c r="A176" s="54"/>
      <c r="B176" s="23"/>
    </row>
    <row r="177">
      <c r="A177" s="54"/>
      <c r="B177" s="23"/>
    </row>
    <row r="178">
      <c r="A178" s="54"/>
      <c r="B178" s="23"/>
    </row>
    <row r="179">
      <c r="A179" s="54"/>
      <c r="B179" s="23"/>
    </row>
    <row r="180">
      <c r="A180" s="54"/>
      <c r="B180" s="23"/>
    </row>
    <row r="181">
      <c r="A181" s="54"/>
      <c r="B181" s="23"/>
    </row>
    <row r="182">
      <c r="A182" s="54"/>
      <c r="B182" s="23"/>
    </row>
    <row r="183">
      <c r="A183" s="54"/>
      <c r="B183" s="23"/>
    </row>
    <row r="184">
      <c r="A184" s="54"/>
      <c r="B184" s="23"/>
    </row>
    <row r="185">
      <c r="A185" s="54"/>
      <c r="B185" s="23"/>
    </row>
    <row r="186">
      <c r="A186" s="54"/>
      <c r="B186" s="23"/>
    </row>
    <row r="187">
      <c r="A187" s="54"/>
      <c r="B187" s="23"/>
    </row>
    <row r="188">
      <c r="A188" s="54"/>
      <c r="B188" s="23"/>
    </row>
    <row r="189">
      <c r="A189" s="54"/>
      <c r="B189" s="23"/>
    </row>
    <row r="190">
      <c r="A190" s="54"/>
      <c r="B190" s="23"/>
    </row>
    <row r="191">
      <c r="A191" s="54"/>
      <c r="B191" s="23"/>
    </row>
    <row r="192">
      <c r="A192" s="54"/>
      <c r="B192" s="23"/>
    </row>
    <row r="193">
      <c r="A193" s="54"/>
      <c r="B193" s="23"/>
    </row>
    <row r="194">
      <c r="A194" s="54"/>
      <c r="B194" s="23"/>
    </row>
    <row r="195">
      <c r="A195" s="54"/>
      <c r="B195" s="23"/>
    </row>
    <row r="196">
      <c r="A196" s="54"/>
      <c r="B196" s="23"/>
    </row>
    <row r="197">
      <c r="A197" s="54"/>
      <c r="B197" s="23"/>
    </row>
    <row r="198">
      <c r="A198" s="54"/>
      <c r="B198" s="23"/>
    </row>
    <row r="199">
      <c r="A199" s="54"/>
      <c r="B199" s="23"/>
    </row>
    <row r="200">
      <c r="A200" s="54"/>
      <c r="B200" s="23"/>
    </row>
    <row r="201">
      <c r="A201" s="54"/>
      <c r="B201" s="23"/>
    </row>
    <row r="202">
      <c r="A202" s="54"/>
      <c r="B202" s="23"/>
    </row>
    <row r="203">
      <c r="A203" s="54"/>
      <c r="B203" s="23"/>
    </row>
    <row r="204">
      <c r="A204" s="54"/>
      <c r="B204" s="23"/>
    </row>
    <row r="205">
      <c r="A205" s="54"/>
      <c r="B205" s="23"/>
    </row>
    <row r="206">
      <c r="A206" s="54"/>
      <c r="B206" s="23"/>
    </row>
    <row r="207">
      <c r="A207" s="54"/>
      <c r="B207" s="23"/>
    </row>
    <row r="208">
      <c r="A208" s="54"/>
      <c r="B208" s="23"/>
    </row>
    <row r="209">
      <c r="A209" s="54"/>
      <c r="B209" s="23"/>
    </row>
    <row r="210">
      <c r="A210" s="54"/>
      <c r="B210" s="23"/>
    </row>
    <row r="211">
      <c r="A211" s="54"/>
      <c r="B211" s="23"/>
    </row>
    <row r="212">
      <c r="A212" s="54"/>
      <c r="B212" s="23"/>
    </row>
    <row r="213">
      <c r="A213" s="54"/>
      <c r="B213" s="23"/>
    </row>
    <row r="214">
      <c r="A214" s="54"/>
      <c r="B214" s="23"/>
    </row>
    <row r="215">
      <c r="A215" s="54"/>
      <c r="B215" s="23"/>
    </row>
    <row r="216">
      <c r="A216" s="54"/>
      <c r="B216" s="23"/>
    </row>
    <row r="217">
      <c r="A217" s="54"/>
      <c r="B217" s="23"/>
    </row>
    <row r="218">
      <c r="A218" s="54"/>
      <c r="B218" s="23"/>
    </row>
    <row r="219">
      <c r="A219" s="54"/>
      <c r="B219" s="23"/>
    </row>
    <row r="220">
      <c r="A220" s="54"/>
      <c r="B220" s="23"/>
    </row>
    <row r="221">
      <c r="A221" s="54"/>
      <c r="B221" s="23"/>
    </row>
    <row r="222">
      <c r="A222" s="54"/>
      <c r="B222" s="23"/>
    </row>
    <row r="223">
      <c r="A223" s="54"/>
      <c r="B223" s="23"/>
    </row>
    <row r="224">
      <c r="A224" s="54"/>
      <c r="B224" s="23"/>
    </row>
    <row r="225">
      <c r="A225" s="54"/>
      <c r="B225" s="23"/>
    </row>
    <row r="226">
      <c r="A226" s="54"/>
      <c r="B226" s="23"/>
    </row>
    <row r="227">
      <c r="A227" s="54"/>
      <c r="B227" s="23"/>
    </row>
    <row r="228">
      <c r="A228" s="54"/>
      <c r="B228" s="23"/>
    </row>
    <row r="229">
      <c r="A229" s="54"/>
      <c r="B229" s="23"/>
    </row>
    <row r="230">
      <c r="A230" s="54"/>
      <c r="B230" s="23"/>
    </row>
    <row r="231">
      <c r="A231" s="54"/>
      <c r="B231" s="23"/>
    </row>
    <row r="232">
      <c r="A232" s="54"/>
      <c r="B232" s="23"/>
    </row>
    <row r="233">
      <c r="A233" s="54"/>
      <c r="B233" s="23"/>
    </row>
    <row r="234">
      <c r="A234" s="54"/>
      <c r="B234" s="23"/>
    </row>
    <row r="235">
      <c r="A235" s="54"/>
      <c r="B235" s="23"/>
    </row>
    <row r="236">
      <c r="A236" s="54"/>
      <c r="B236" s="23"/>
    </row>
    <row r="237">
      <c r="A237" s="54"/>
      <c r="B237" s="23"/>
    </row>
    <row r="238">
      <c r="A238" s="54"/>
      <c r="B238" s="23"/>
    </row>
    <row r="239">
      <c r="A239" s="54"/>
      <c r="B239" s="23"/>
    </row>
    <row r="240">
      <c r="A240" s="54"/>
      <c r="B240" s="23"/>
    </row>
    <row r="241">
      <c r="A241" s="54"/>
      <c r="B241" s="23"/>
    </row>
    <row r="242">
      <c r="A242" s="54"/>
      <c r="B242" s="23"/>
    </row>
    <row r="243">
      <c r="A243" s="54"/>
      <c r="B243" s="23"/>
    </row>
    <row r="244">
      <c r="A244" s="54"/>
      <c r="B244" s="23"/>
    </row>
    <row r="245">
      <c r="A245" s="54"/>
      <c r="B245" s="23"/>
    </row>
    <row r="246">
      <c r="A246" s="54"/>
      <c r="B246" s="23"/>
    </row>
    <row r="247">
      <c r="A247" s="54"/>
      <c r="B247" s="23"/>
    </row>
    <row r="248">
      <c r="A248" s="54"/>
      <c r="B248" s="23"/>
    </row>
    <row r="249">
      <c r="A249" s="54"/>
      <c r="B249" s="23"/>
    </row>
    <row r="250">
      <c r="A250" s="54"/>
      <c r="B250" s="23"/>
    </row>
    <row r="251">
      <c r="A251" s="54"/>
      <c r="B251" s="23"/>
    </row>
    <row r="252">
      <c r="A252" s="54"/>
      <c r="B252" s="23"/>
    </row>
    <row r="253">
      <c r="A253" s="54"/>
      <c r="B253" s="23"/>
    </row>
    <row r="254">
      <c r="A254" s="54"/>
      <c r="B254" s="23"/>
    </row>
    <row r="255">
      <c r="A255" s="54"/>
      <c r="B255" s="23"/>
    </row>
    <row r="256">
      <c r="A256" s="54"/>
      <c r="B256" s="23"/>
    </row>
    <row r="257">
      <c r="A257" s="54"/>
      <c r="B257" s="23"/>
    </row>
    <row r="258">
      <c r="A258" s="54"/>
      <c r="B258" s="23"/>
    </row>
    <row r="259">
      <c r="A259" s="54"/>
      <c r="B259" s="23"/>
    </row>
    <row r="260">
      <c r="A260" s="54"/>
      <c r="B260" s="23"/>
    </row>
    <row r="261">
      <c r="A261" s="54"/>
      <c r="B261" s="23"/>
    </row>
    <row r="262">
      <c r="A262" s="54"/>
      <c r="B262" s="23"/>
    </row>
    <row r="263">
      <c r="A263" s="54"/>
      <c r="B263" s="23"/>
    </row>
    <row r="264">
      <c r="A264" s="54"/>
      <c r="B264" s="23"/>
    </row>
    <row r="265">
      <c r="A265" s="54"/>
      <c r="B265" s="23"/>
    </row>
    <row r="266">
      <c r="A266" s="54"/>
      <c r="B266" s="23"/>
    </row>
    <row r="267">
      <c r="A267" s="54"/>
      <c r="B267" s="23"/>
    </row>
    <row r="268">
      <c r="A268" s="54"/>
      <c r="B268" s="23"/>
    </row>
    <row r="269">
      <c r="A269" s="54"/>
      <c r="B269" s="23"/>
    </row>
    <row r="270">
      <c r="A270" s="54"/>
      <c r="B270" s="23"/>
    </row>
    <row r="271">
      <c r="A271" s="54"/>
      <c r="B271" s="23"/>
    </row>
    <row r="272">
      <c r="A272" s="54"/>
      <c r="B272" s="23"/>
    </row>
    <row r="273">
      <c r="A273" s="54"/>
      <c r="B273" s="23"/>
    </row>
    <row r="274">
      <c r="A274" s="54"/>
      <c r="B274" s="23"/>
    </row>
    <row r="275">
      <c r="A275" s="54"/>
      <c r="B275" s="23"/>
    </row>
    <row r="276">
      <c r="A276" s="54"/>
      <c r="B276" s="23"/>
    </row>
    <row r="277">
      <c r="A277" s="54"/>
      <c r="B277" s="23"/>
    </row>
    <row r="278">
      <c r="A278" s="54"/>
      <c r="B278" s="23"/>
    </row>
    <row r="279">
      <c r="A279" s="54"/>
      <c r="B279" s="23"/>
    </row>
    <row r="280">
      <c r="A280" s="54"/>
      <c r="B280" s="23"/>
    </row>
    <row r="281">
      <c r="A281" s="54"/>
      <c r="B281" s="23"/>
    </row>
    <row r="282">
      <c r="A282" s="54"/>
      <c r="B282" s="23"/>
    </row>
    <row r="283">
      <c r="A283" s="54"/>
      <c r="B283" s="23"/>
    </row>
    <row r="284">
      <c r="A284" s="54"/>
      <c r="B284" s="23"/>
    </row>
    <row r="285">
      <c r="A285" s="54"/>
      <c r="B285" s="23"/>
    </row>
    <row r="286">
      <c r="A286" s="54"/>
      <c r="B286" s="23"/>
    </row>
    <row r="287">
      <c r="A287" s="54"/>
      <c r="B287" s="23"/>
    </row>
    <row r="288">
      <c r="A288" s="54"/>
      <c r="B288" s="23"/>
    </row>
    <row r="289">
      <c r="A289" s="54"/>
      <c r="B289" s="23"/>
    </row>
    <row r="290">
      <c r="A290" s="54"/>
      <c r="B290" s="23"/>
    </row>
    <row r="291">
      <c r="A291" s="54"/>
      <c r="B291" s="23"/>
    </row>
    <row r="292">
      <c r="A292" s="54"/>
      <c r="B292" s="23"/>
    </row>
    <row r="293">
      <c r="A293" s="54"/>
      <c r="B293" s="23"/>
    </row>
    <row r="294">
      <c r="A294" s="54"/>
      <c r="B294" s="23"/>
    </row>
    <row r="295">
      <c r="A295" s="54"/>
      <c r="B295" s="23"/>
    </row>
    <row r="296">
      <c r="A296" s="54"/>
      <c r="B296" s="23"/>
    </row>
    <row r="297">
      <c r="A297" s="54"/>
      <c r="B297" s="23"/>
    </row>
    <row r="298">
      <c r="A298" s="54"/>
      <c r="B298" s="23"/>
    </row>
    <row r="299">
      <c r="A299" s="54"/>
      <c r="B299" s="23"/>
    </row>
    <row r="300">
      <c r="A300" s="54"/>
      <c r="B300" s="23"/>
    </row>
    <row r="301">
      <c r="A301" s="54"/>
      <c r="B301" s="23"/>
    </row>
    <row r="302">
      <c r="A302" s="54"/>
      <c r="B302" s="23"/>
    </row>
    <row r="303">
      <c r="A303" s="54"/>
      <c r="B303" s="23"/>
    </row>
    <row r="304">
      <c r="A304" s="54"/>
      <c r="B304" s="23"/>
    </row>
    <row r="305">
      <c r="A305" s="54"/>
      <c r="B305" s="23"/>
    </row>
    <row r="306">
      <c r="A306" s="54"/>
      <c r="B306" s="23"/>
    </row>
    <row r="307">
      <c r="A307" s="54"/>
      <c r="B307" s="23"/>
    </row>
    <row r="308">
      <c r="A308" s="54"/>
      <c r="B308" s="23"/>
    </row>
    <row r="309">
      <c r="A309" s="54"/>
      <c r="B309" s="23"/>
    </row>
    <row r="310">
      <c r="A310" s="54"/>
      <c r="B310" s="23"/>
    </row>
    <row r="311">
      <c r="A311" s="54"/>
      <c r="B311" s="23"/>
    </row>
    <row r="312">
      <c r="A312" s="54"/>
      <c r="B312" s="23"/>
    </row>
    <row r="313">
      <c r="A313" s="54"/>
      <c r="B313" s="23"/>
    </row>
    <row r="314">
      <c r="A314" s="54"/>
      <c r="B314" s="23"/>
    </row>
    <row r="315">
      <c r="A315" s="54"/>
      <c r="B315" s="23"/>
    </row>
    <row r="316">
      <c r="A316" s="54"/>
      <c r="B316" s="23"/>
    </row>
    <row r="317">
      <c r="A317" s="54"/>
      <c r="B317" s="23"/>
    </row>
    <row r="318">
      <c r="A318" s="54"/>
      <c r="B318" s="23"/>
    </row>
    <row r="319">
      <c r="A319" s="54"/>
      <c r="B319" s="23"/>
    </row>
    <row r="320">
      <c r="A320" s="54"/>
      <c r="B320" s="23"/>
    </row>
    <row r="321">
      <c r="A321" s="54"/>
      <c r="B321" s="23"/>
    </row>
    <row r="322">
      <c r="A322" s="54"/>
      <c r="B322" s="23"/>
    </row>
    <row r="323">
      <c r="A323" s="54"/>
      <c r="B323" s="23"/>
    </row>
    <row r="324">
      <c r="A324" s="54"/>
      <c r="B324" s="23"/>
    </row>
    <row r="325">
      <c r="A325" s="54"/>
      <c r="B325" s="23"/>
    </row>
    <row r="326">
      <c r="A326" s="54"/>
      <c r="B326" s="23"/>
    </row>
    <row r="327">
      <c r="A327" s="54"/>
      <c r="B327" s="23"/>
    </row>
    <row r="328">
      <c r="A328" s="54"/>
      <c r="B328" s="23"/>
    </row>
    <row r="329">
      <c r="A329" s="54"/>
      <c r="B329" s="23"/>
    </row>
    <row r="330">
      <c r="A330" s="54"/>
      <c r="B330" s="23"/>
    </row>
    <row r="331">
      <c r="A331" s="54"/>
      <c r="B331" s="23"/>
    </row>
    <row r="332">
      <c r="A332" s="54"/>
      <c r="B332" s="23"/>
    </row>
    <row r="333">
      <c r="A333" s="54"/>
      <c r="B333" s="23"/>
    </row>
    <row r="334">
      <c r="A334" s="54"/>
      <c r="B334" s="23"/>
    </row>
    <row r="335">
      <c r="A335" s="54"/>
      <c r="B335" s="23"/>
    </row>
    <row r="336">
      <c r="A336" s="54"/>
      <c r="B336" s="23"/>
    </row>
    <row r="337">
      <c r="A337" s="54"/>
      <c r="B337" s="23"/>
    </row>
    <row r="338">
      <c r="A338" s="54"/>
      <c r="B338" s="23"/>
    </row>
    <row r="339">
      <c r="A339" s="54"/>
      <c r="B339" s="23"/>
    </row>
    <row r="340">
      <c r="A340" s="54"/>
      <c r="B340" s="23"/>
    </row>
    <row r="341">
      <c r="A341" s="54"/>
      <c r="B341" s="23"/>
    </row>
    <row r="342">
      <c r="A342" s="54"/>
      <c r="B342" s="23"/>
    </row>
    <row r="343">
      <c r="A343" s="54"/>
      <c r="B343" s="23"/>
    </row>
    <row r="344">
      <c r="A344" s="54"/>
      <c r="B344" s="23"/>
    </row>
    <row r="345">
      <c r="A345" s="54"/>
      <c r="B345" s="23"/>
    </row>
    <row r="346">
      <c r="A346" s="54"/>
      <c r="B346" s="23"/>
    </row>
    <row r="347">
      <c r="A347" s="54"/>
      <c r="B347" s="23"/>
    </row>
    <row r="348">
      <c r="A348" s="54"/>
      <c r="B348" s="23"/>
    </row>
    <row r="349">
      <c r="A349" s="54"/>
      <c r="B349" s="23"/>
    </row>
    <row r="350">
      <c r="A350" s="54"/>
      <c r="B350" s="23"/>
    </row>
    <row r="351">
      <c r="A351" s="54"/>
      <c r="B351" s="23"/>
    </row>
    <row r="352">
      <c r="A352" s="54"/>
      <c r="B352" s="23"/>
    </row>
    <row r="353">
      <c r="A353" s="54"/>
      <c r="B353" s="23"/>
    </row>
    <row r="354">
      <c r="A354" s="54"/>
      <c r="B354" s="23"/>
    </row>
    <row r="355">
      <c r="A355" s="54"/>
      <c r="B355" s="23"/>
    </row>
    <row r="356">
      <c r="A356" s="54"/>
      <c r="B356" s="23"/>
    </row>
    <row r="357">
      <c r="A357" s="54"/>
      <c r="B357" s="23"/>
    </row>
    <row r="358">
      <c r="A358" s="54"/>
      <c r="B358" s="23"/>
    </row>
    <row r="359">
      <c r="A359" s="54"/>
      <c r="B359" s="23"/>
    </row>
    <row r="360">
      <c r="A360" s="54"/>
      <c r="B360" s="23"/>
    </row>
    <row r="361">
      <c r="A361" s="54"/>
      <c r="B361" s="23"/>
    </row>
    <row r="362">
      <c r="A362" s="54"/>
      <c r="B362" s="23"/>
    </row>
    <row r="363">
      <c r="A363" s="54"/>
      <c r="B363" s="23"/>
    </row>
    <row r="364">
      <c r="A364" s="54"/>
      <c r="B364" s="23"/>
    </row>
    <row r="365">
      <c r="A365" s="54"/>
      <c r="B365" s="23"/>
    </row>
    <row r="366">
      <c r="A366" s="54"/>
      <c r="B366" s="23"/>
    </row>
    <row r="367">
      <c r="A367" s="54"/>
      <c r="B367" s="23"/>
    </row>
    <row r="368">
      <c r="A368" s="54"/>
      <c r="B368" s="23"/>
    </row>
    <row r="369">
      <c r="A369" s="54"/>
      <c r="B369" s="23"/>
    </row>
    <row r="370">
      <c r="A370" s="54"/>
      <c r="B370" s="23"/>
    </row>
    <row r="371">
      <c r="A371" s="54"/>
      <c r="B371" s="23"/>
    </row>
    <row r="372">
      <c r="A372" s="54"/>
      <c r="B372" s="23"/>
    </row>
    <row r="373">
      <c r="A373" s="54"/>
      <c r="B373" s="23"/>
    </row>
    <row r="374">
      <c r="A374" s="54"/>
      <c r="B374" s="23"/>
    </row>
    <row r="375">
      <c r="A375" s="54"/>
      <c r="B375" s="23"/>
    </row>
    <row r="376">
      <c r="A376" s="54"/>
      <c r="B376" s="23"/>
    </row>
    <row r="377">
      <c r="A377" s="54"/>
      <c r="B377" s="23"/>
    </row>
    <row r="378">
      <c r="A378" s="54"/>
      <c r="B378" s="23"/>
    </row>
    <row r="379">
      <c r="A379" s="54"/>
      <c r="B379" s="23"/>
    </row>
    <row r="380">
      <c r="A380" s="54"/>
      <c r="B380" s="23"/>
    </row>
    <row r="381">
      <c r="A381" s="54"/>
      <c r="B381" s="23"/>
    </row>
    <row r="382">
      <c r="A382" s="54"/>
      <c r="B382" s="23"/>
    </row>
    <row r="383">
      <c r="A383" s="54"/>
      <c r="B383" s="23"/>
    </row>
    <row r="384">
      <c r="A384" s="54"/>
      <c r="B384" s="23"/>
    </row>
    <row r="385">
      <c r="A385" s="54"/>
      <c r="B385" s="23"/>
    </row>
    <row r="386">
      <c r="A386" s="54"/>
      <c r="B386" s="23"/>
    </row>
    <row r="387">
      <c r="A387" s="54"/>
      <c r="B387" s="23"/>
    </row>
    <row r="388">
      <c r="A388" s="54"/>
      <c r="B388" s="23"/>
    </row>
    <row r="389">
      <c r="A389" s="54"/>
      <c r="B389" s="23"/>
    </row>
    <row r="390">
      <c r="A390" s="54"/>
      <c r="B390" s="23"/>
    </row>
    <row r="391">
      <c r="A391" s="54"/>
      <c r="B391" s="23"/>
    </row>
    <row r="392">
      <c r="A392" s="54"/>
      <c r="B392" s="23"/>
    </row>
    <row r="393">
      <c r="A393" s="54"/>
      <c r="B393" s="23"/>
    </row>
    <row r="394">
      <c r="A394" s="54"/>
      <c r="B394" s="23"/>
    </row>
    <row r="395">
      <c r="A395" s="54"/>
      <c r="B395" s="23"/>
    </row>
    <row r="396">
      <c r="A396" s="54"/>
      <c r="B396" s="23"/>
    </row>
    <row r="397">
      <c r="A397" s="54"/>
      <c r="B397" s="23"/>
    </row>
    <row r="398">
      <c r="A398" s="54"/>
      <c r="B398" s="23"/>
    </row>
    <row r="399">
      <c r="A399" s="54"/>
      <c r="B399" s="23"/>
    </row>
    <row r="400">
      <c r="A400" s="54"/>
      <c r="B400" s="23"/>
    </row>
    <row r="401">
      <c r="A401" s="54"/>
      <c r="B401" s="23"/>
    </row>
    <row r="402">
      <c r="A402" s="54"/>
      <c r="B402" s="23"/>
    </row>
    <row r="403">
      <c r="A403" s="54"/>
      <c r="B403" s="23"/>
    </row>
    <row r="404">
      <c r="A404" s="54"/>
      <c r="B404" s="23"/>
    </row>
    <row r="405">
      <c r="A405" s="54"/>
      <c r="B405" s="23"/>
    </row>
    <row r="406">
      <c r="A406" s="54"/>
      <c r="B406" s="23"/>
    </row>
    <row r="407">
      <c r="A407" s="54"/>
      <c r="B407" s="23"/>
    </row>
    <row r="408">
      <c r="A408" s="54"/>
      <c r="B408" s="23"/>
    </row>
    <row r="409">
      <c r="A409" s="54"/>
      <c r="B409" s="23"/>
    </row>
    <row r="410">
      <c r="A410" s="54"/>
      <c r="B410" s="23"/>
    </row>
    <row r="411">
      <c r="A411" s="54"/>
      <c r="B411" s="23"/>
    </row>
    <row r="412">
      <c r="A412" s="54"/>
      <c r="B412" s="23"/>
    </row>
    <row r="413">
      <c r="A413" s="54"/>
      <c r="B413" s="23"/>
    </row>
    <row r="414">
      <c r="A414" s="54"/>
      <c r="B414" s="23"/>
    </row>
    <row r="415">
      <c r="A415" s="54"/>
      <c r="B415" s="23"/>
    </row>
    <row r="416">
      <c r="A416" s="54"/>
      <c r="B416" s="23"/>
    </row>
    <row r="417">
      <c r="A417" s="54"/>
      <c r="B417" s="23"/>
    </row>
    <row r="418">
      <c r="A418" s="54"/>
      <c r="B418" s="23"/>
    </row>
    <row r="419">
      <c r="A419" s="54"/>
      <c r="B419" s="23"/>
    </row>
    <row r="420">
      <c r="A420" s="54"/>
      <c r="B420" s="23"/>
    </row>
    <row r="421">
      <c r="A421" s="54"/>
      <c r="B421" s="23"/>
    </row>
    <row r="422">
      <c r="A422" s="54"/>
      <c r="B422" s="23"/>
    </row>
    <row r="423">
      <c r="A423" s="54"/>
      <c r="B423" s="23"/>
    </row>
    <row r="424">
      <c r="A424" s="54"/>
      <c r="B424" s="23"/>
    </row>
    <row r="425">
      <c r="A425" s="54"/>
      <c r="B425" s="23"/>
    </row>
    <row r="426">
      <c r="A426" s="54"/>
      <c r="B426" s="23"/>
    </row>
    <row r="427">
      <c r="A427" s="54"/>
      <c r="B427" s="23"/>
    </row>
    <row r="428">
      <c r="A428" s="54"/>
      <c r="B428" s="23"/>
    </row>
    <row r="429">
      <c r="A429" s="54"/>
      <c r="B429" s="23"/>
    </row>
    <row r="430">
      <c r="A430" s="54"/>
      <c r="B430" s="23"/>
    </row>
    <row r="431">
      <c r="A431" s="54"/>
      <c r="B431" s="23"/>
    </row>
    <row r="432">
      <c r="A432" s="54"/>
      <c r="B432" s="23"/>
    </row>
    <row r="433">
      <c r="A433" s="54"/>
      <c r="B433" s="23"/>
    </row>
    <row r="434">
      <c r="A434" s="54"/>
      <c r="B434" s="23"/>
    </row>
    <row r="435">
      <c r="A435" s="54"/>
      <c r="B435" s="23"/>
    </row>
    <row r="436">
      <c r="A436" s="54"/>
      <c r="B436" s="23"/>
    </row>
    <row r="437">
      <c r="A437" s="54"/>
      <c r="B437" s="23"/>
    </row>
    <row r="438">
      <c r="A438" s="54"/>
      <c r="B438" s="23"/>
    </row>
    <row r="439">
      <c r="A439" s="54"/>
      <c r="B439" s="23"/>
    </row>
    <row r="440">
      <c r="A440" s="54"/>
      <c r="B440" s="23"/>
    </row>
    <row r="441">
      <c r="A441" s="54"/>
      <c r="B441" s="23"/>
    </row>
    <row r="442">
      <c r="A442" s="54"/>
      <c r="B442" s="23"/>
    </row>
    <row r="443">
      <c r="A443" s="54"/>
      <c r="B443" s="23"/>
    </row>
    <row r="444">
      <c r="A444" s="54"/>
      <c r="B444" s="23"/>
    </row>
    <row r="445">
      <c r="A445" s="54"/>
      <c r="B445" s="23"/>
    </row>
    <row r="446">
      <c r="A446" s="54"/>
      <c r="B446" s="23"/>
    </row>
    <row r="447">
      <c r="A447" s="54"/>
      <c r="B447" s="23"/>
    </row>
    <row r="448">
      <c r="A448" s="54"/>
      <c r="B448" s="23"/>
    </row>
    <row r="449">
      <c r="A449" s="54"/>
      <c r="B449" s="23"/>
    </row>
    <row r="450">
      <c r="A450" s="54"/>
      <c r="B450" s="23"/>
    </row>
    <row r="451">
      <c r="A451" s="54"/>
      <c r="B451" s="23"/>
    </row>
    <row r="452">
      <c r="A452" s="54"/>
      <c r="B452" s="23"/>
    </row>
    <row r="453">
      <c r="A453" s="54"/>
      <c r="B453" s="23"/>
    </row>
    <row r="454">
      <c r="A454" s="54"/>
      <c r="B454" s="23"/>
    </row>
    <row r="455">
      <c r="A455" s="54"/>
      <c r="B455" s="23"/>
    </row>
    <row r="456">
      <c r="A456" s="54"/>
      <c r="B456" s="23"/>
    </row>
    <row r="457">
      <c r="A457" s="54"/>
      <c r="B457" s="23"/>
    </row>
    <row r="458">
      <c r="A458" s="54"/>
      <c r="B458" s="23"/>
    </row>
    <row r="459">
      <c r="A459" s="54"/>
      <c r="B459" s="23"/>
    </row>
    <row r="460">
      <c r="A460" s="54"/>
      <c r="B460" s="23"/>
    </row>
    <row r="461">
      <c r="A461" s="54"/>
      <c r="B461" s="23"/>
    </row>
    <row r="462">
      <c r="A462" s="54"/>
      <c r="B462" s="23"/>
    </row>
    <row r="463">
      <c r="A463" s="54"/>
      <c r="B463" s="23"/>
    </row>
    <row r="464">
      <c r="A464" s="54"/>
      <c r="B464" s="23"/>
    </row>
    <row r="465">
      <c r="A465" s="54"/>
      <c r="B465" s="23"/>
    </row>
    <row r="466">
      <c r="A466" s="54"/>
      <c r="B466" s="23"/>
    </row>
    <row r="467">
      <c r="A467" s="54"/>
      <c r="B467" s="23"/>
    </row>
    <row r="468">
      <c r="A468" s="54"/>
      <c r="B468" s="23"/>
    </row>
    <row r="469">
      <c r="A469" s="54"/>
      <c r="B469" s="23"/>
    </row>
    <row r="470">
      <c r="A470" s="54"/>
      <c r="B470" s="23"/>
    </row>
    <row r="471">
      <c r="A471" s="54"/>
      <c r="B471" s="23"/>
    </row>
    <row r="472">
      <c r="A472" s="54"/>
      <c r="B472" s="23"/>
    </row>
    <row r="473">
      <c r="A473" s="54"/>
      <c r="B473" s="23"/>
    </row>
    <row r="474">
      <c r="A474" s="54"/>
      <c r="B474" s="23"/>
    </row>
    <row r="475">
      <c r="A475" s="54"/>
      <c r="B475" s="23"/>
    </row>
    <row r="476">
      <c r="A476" s="54"/>
      <c r="B476" s="23"/>
    </row>
    <row r="477">
      <c r="A477" s="54"/>
      <c r="B477" s="23"/>
    </row>
    <row r="478">
      <c r="A478" s="54"/>
      <c r="B478" s="23"/>
    </row>
    <row r="479">
      <c r="A479" s="54"/>
      <c r="B479" s="23"/>
    </row>
    <row r="480">
      <c r="A480" s="54"/>
      <c r="B480" s="23"/>
    </row>
    <row r="481">
      <c r="A481" s="54"/>
      <c r="B481" s="23"/>
    </row>
    <row r="482">
      <c r="A482" s="54"/>
      <c r="B482" s="23"/>
    </row>
    <row r="483">
      <c r="A483" s="54"/>
      <c r="B483" s="23"/>
    </row>
    <row r="484">
      <c r="A484" s="54"/>
      <c r="B484" s="23"/>
    </row>
    <row r="485">
      <c r="A485" s="54"/>
      <c r="B485" s="23"/>
    </row>
    <row r="486">
      <c r="A486" s="54"/>
      <c r="B486" s="23"/>
    </row>
    <row r="487">
      <c r="A487" s="54"/>
      <c r="B487" s="23"/>
    </row>
    <row r="488">
      <c r="A488" s="54"/>
      <c r="B488" s="23"/>
    </row>
    <row r="489">
      <c r="A489" s="54"/>
      <c r="B489" s="23"/>
    </row>
    <row r="490">
      <c r="A490" s="54"/>
      <c r="B490" s="23"/>
    </row>
    <row r="491">
      <c r="A491" s="54"/>
      <c r="B491" s="23"/>
    </row>
    <row r="492">
      <c r="A492" s="54"/>
      <c r="B492" s="23"/>
    </row>
    <row r="493">
      <c r="A493" s="54"/>
      <c r="B493" s="23"/>
    </row>
    <row r="494">
      <c r="A494" s="54"/>
      <c r="B494" s="23"/>
    </row>
    <row r="495">
      <c r="A495" s="54"/>
      <c r="B495" s="23"/>
    </row>
    <row r="496">
      <c r="A496" s="54"/>
      <c r="B496" s="23"/>
    </row>
    <row r="497">
      <c r="A497" s="54"/>
      <c r="B497" s="23"/>
    </row>
    <row r="498">
      <c r="A498" s="54"/>
      <c r="B498" s="23"/>
    </row>
    <row r="499">
      <c r="A499" s="54"/>
      <c r="B499" s="23"/>
    </row>
    <row r="500">
      <c r="A500" s="54"/>
      <c r="B500" s="23"/>
    </row>
    <row r="501">
      <c r="A501" s="54"/>
      <c r="B501" s="23"/>
    </row>
    <row r="502">
      <c r="A502" s="54"/>
      <c r="B502" s="23"/>
    </row>
    <row r="503">
      <c r="A503" s="54"/>
      <c r="B503" s="23"/>
    </row>
    <row r="504">
      <c r="A504" s="54"/>
      <c r="B504" s="23"/>
    </row>
    <row r="505">
      <c r="A505" s="54"/>
      <c r="B505" s="23"/>
    </row>
    <row r="506">
      <c r="A506" s="54"/>
      <c r="B506" s="23"/>
    </row>
    <row r="507">
      <c r="A507" s="54"/>
      <c r="B507" s="23"/>
    </row>
    <row r="508">
      <c r="A508" s="54"/>
      <c r="B508" s="23"/>
    </row>
    <row r="509">
      <c r="A509" s="54"/>
      <c r="B509" s="23"/>
    </row>
    <row r="510">
      <c r="A510" s="54"/>
      <c r="B510" s="23"/>
    </row>
    <row r="511">
      <c r="A511" s="54"/>
      <c r="B511" s="23"/>
    </row>
    <row r="512">
      <c r="A512" s="54"/>
      <c r="B512" s="23"/>
    </row>
    <row r="513">
      <c r="A513" s="54"/>
      <c r="B513" s="23"/>
    </row>
    <row r="514">
      <c r="A514" s="54"/>
      <c r="B514" s="23"/>
    </row>
    <row r="515">
      <c r="A515" s="54"/>
      <c r="B515" s="23"/>
    </row>
    <row r="516">
      <c r="A516" s="54"/>
      <c r="B516" s="23"/>
    </row>
    <row r="517">
      <c r="A517" s="54"/>
      <c r="B517" s="23"/>
    </row>
    <row r="518">
      <c r="A518" s="54"/>
      <c r="B518" s="23"/>
    </row>
    <row r="519">
      <c r="A519" s="54"/>
      <c r="B519" s="23"/>
    </row>
    <row r="520">
      <c r="A520" s="54"/>
      <c r="B520" s="23"/>
    </row>
    <row r="521">
      <c r="A521" s="54"/>
      <c r="B521" s="23"/>
    </row>
    <row r="522">
      <c r="A522" s="54"/>
      <c r="B522" s="23"/>
    </row>
    <row r="523">
      <c r="A523" s="54"/>
      <c r="B523" s="23"/>
    </row>
    <row r="524">
      <c r="A524" s="54"/>
      <c r="B524" s="23"/>
    </row>
    <row r="525">
      <c r="A525" s="54"/>
      <c r="B525" s="23"/>
    </row>
    <row r="526">
      <c r="A526" s="54"/>
      <c r="B526" s="23"/>
    </row>
    <row r="527">
      <c r="A527" s="54"/>
      <c r="B527" s="23"/>
    </row>
    <row r="528">
      <c r="A528" s="54"/>
      <c r="B528" s="23"/>
    </row>
    <row r="529">
      <c r="A529" s="54"/>
      <c r="B529" s="23"/>
    </row>
    <row r="530">
      <c r="A530" s="54"/>
      <c r="B530" s="23"/>
    </row>
    <row r="531">
      <c r="A531" s="54"/>
      <c r="B531" s="23"/>
    </row>
    <row r="532">
      <c r="A532" s="54"/>
      <c r="B532" s="23"/>
    </row>
    <row r="533">
      <c r="A533" s="54"/>
      <c r="B533" s="23"/>
    </row>
    <row r="534">
      <c r="A534" s="54"/>
      <c r="B534" s="23"/>
    </row>
    <row r="535">
      <c r="A535" s="54"/>
      <c r="B535" s="23"/>
    </row>
    <row r="536">
      <c r="A536" s="54"/>
      <c r="B536" s="23"/>
    </row>
    <row r="537">
      <c r="A537" s="54"/>
      <c r="B537" s="23"/>
    </row>
    <row r="538">
      <c r="A538" s="54"/>
      <c r="B538" s="23"/>
    </row>
    <row r="539">
      <c r="A539" s="54"/>
      <c r="B539" s="23"/>
    </row>
    <row r="540">
      <c r="A540" s="54"/>
      <c r="B540" s="23"/>
    </row>
    <row r="541">
      <c r="A541" s="54"/>
      <c r="B541" s="23"/>
    </row>
    <row r="542">
      <c r="A542" s="54"/>
      <c r="B542" s="23"/>
    </row>
    <row r="543">
      <c r="A543" s="54"/>
      <c r="B543" s="23"/>
    </row>
    <row r="544">
      <c r="A544" s="54"/>
      <c r="B544" s="23"/>
    </row>
    <row r="545">
      <c r="A545" s="54"/>
      <c r="B545" s="23"/>
    </row>
    <row r="546">
      <c r="A546" s="54"/>
      <c r="B546" s="23"/>
    </row>
    <row r="547">
      <c r="A547" s="54"/>
      <c r="B547" s="23"/>
    </row>
    <row r="548">
      <c r="A548" s="54"/>
      <c r="B548" s="23"/>
    </row>
    <row r="549">
      <c r="A549" s="54"/>
      <c r="B549" s="23"/>
    </row>
    <row r="550">
      <c r="A550" s="54"/>
      <c r="B550" s="23"/>
    </row>
    <row r="551">
      <c r="A551" s="54"/>
      <c r="B551" s="23"/>
    </row>
    <row r="552">
      <c r="A552" s="54"/>
      <c r="B552" s="23"/>
    </row>
    <row r="553">
      <c r="A553" s="54"/>
      <c r="B553" s="23"/>
    </row>
    <row r="554">
      <c r="A554" s="54"/>
      <c r="B554" s="23"/>
    </row>
    <row r="555">
      <c r="A555" s="54"/>
      <c r="B555" s="23"/>
    </row>
    <row r="556">
      <c r="A556" s="54"/>
      <c r="B556" s="23"/>
    </row>
    <row r="557">
      <c r="A557" s="54"/>
      <c r="B557" s="23"/>
    </row>
    <row r="558">
      <c r="A558" s="54"/>
      <c r="B558" s="23"/>
    </row>
    <row r="559">
      <c r="A559" s="54"/>
      <c r="B559" s="23"/>
    </row>
    <row r="560">
      <c r="A560" s="54"/>
      <c r="B560" s="23"/>
    </row>
    <row r="561">
      <c r="A561" s="54"/>
      <c r="B561" s="23"/>
    </row>
    <row r="562">
      <c r="A562" s="54"/>
      <c r="B562" s="23"/>
    </row>
    <row r="563">
      <c r="A563" s="54"/>
      <c r="B563" s="23"/>
    </row>
    <row r="564">
      <c r="A564" s="54"/>
      <c r="B564" s="23"/>
    </row>
    <row r="565">
      <c r="A565" s="54"/>
      <c r="B565" s="23"/>
    </row>
    <row r="566">
      <c r="A566" s="54"/>
      <c r="B566" s="23"/>
    </row>
    <row r="567">
      <c r="A567" s="54"/>
      <c r="B567" s="23"/>
    </row>
    <row r="568">
      <c r="A568" s="54"/>
      <c r="B568" s="23"/>
    </row>
    <row r="569">
      <c r="A569" s="54"/>
      <c r="B569" s="23"/>
    </row>
    <row r="570">
      <c r="A570" s="54"/>
      <c r="B570" s="23"/>
    </row>
    <row r="571">
      <c r="A571" s="54"/>
      <c r="B571" s="23"/>
    </row>
    <row r="572">
      <c r="A572" s="54"/>
      <c r="B572" s="23"/>
    </row>
    <row r="573">
      <c r="A573" s="54"/>
      <c r="B573" s="23"/>
    </row>
    <row r="574">
      <c r="A574" s="54"/>
      <c r="B574" s="23"/>
    </row>
    <row r="575">
      <c r="A575" s="54"/>
      <c r="B575" s="23"/>
    </row>
    <row r="576">
      <c r="A576" s="54"/>
      <c r="B576" s="23"/>
    </row>
    <row r="577">
      <c r="A577" s="54"/>
      <c r="B577" s="23"/>
    </row>
    <row r="578">
      <c r="A578" s="54"/>
      <c r="B578" s="23"/>
    </row>
    <row r="579">
      <c r="A579" s="54"/>
      <c r="B579" s="23"/>
    </row>
    <row r="580">
      <c r="A580" s="54"/>
      <c r="B580" s="23"/>
    </row>
    <row r="581">
      <c r="A581" s="54"/>
      <c r="B581" s="23"/>
    </row>
    <row r="582">
      <c r="A582" s="54"/>
      <c r="B582" s="23"/>
    </row>
    <row r="583">
      <c r="A583" s="54"/>
      <c r="B583" s="23"/>
    </row>
    <row r="584">
      <c r="A584" s="54"/>
      <c r="B584" s="23"/>
    </row>
    <row r="585">
      <c r="A585" s="54"/>
      <c r="B585" s="23"/>
    </row>
    <row r="586">
      <c r="A586" s="54"/>
      <c r="B586" s="23"/>
    </row>
    <row r="587">
      <c r="A587" s="54"/>
      <c r="B587" s="23"/>
    </row>
    <row r="588">
      <c r="A588" s="54"/>
      <c r="B588" s="23"/>
    </row>
    <row r="589">
      <c r="A589" s="54"/>
      <c r="B589" s="23"/>
    </row>
    <row r="590">
      <c r="A590" s="54"/>
      <c r="B590" s="23"/>
    </row>
    <row r="591">
      <c r="A591" s="54"/>
      <c r="B591" s="23"/>
    </row>
    <row r="592">
      <c r="A592" s="54"/>
      <c r="B592" s="23"/>
    </row>
    <row r="593">
      <c r="A593" s="54"/>
      <c r="B593" s="23"/>
    </row>
    <row r="594">
      <c r="A594" s="54"/>
      <c r="B594" s="23"/>
    </row>
    <row r="595">
      <c r="A595" s="54"/>
      <c r="B595" s="23"/>
    </row>
    <row r="596">
      <c r="A596" s="54"/>
      <c r="B596" s="23"/>
    </row>
    <row r="597">
      <c r="A597" s="54"/>
      <c r="B597" s="23"/>
    </row>
    <row r="598">
      <c r="A598" s="54"/>
      <c r="B598" s="23"/>
    </row>
    <row r="599">
      <c r="A599" s="54"/>
      <c r="B599" s="23"/>
    </row>
    <row r="600">
      <c r="A600" s="54"/>
      <c r="B600" s="23"/>
    </row>
    <row r="601">
      <c r="A601" s="54"/>
      <c r="B601" s="23"/>
    </row>
    <row r="602">
      <c r="A602" s="54"/>
      <c r="B602" s="23"/>
    </row>
    <row r="603">
      <c r="A603" s="54"/>
      <c r="B603" s="23"/>
    </row>
    <row r="604">
      <c r="A604" s="54"/>
      <c r="B604" s="23"/>
    </row>
    <row r="605">
      <c r="A605" s="54"/>
      <c r="B605" s="23"/>
    </row>
    <row r="606">
      <c r="A606" s="54"/>
      <c r="B606" s="23"/>
    </row>
    <row r="607">
      <c r="A607" s="54"/>
      <c r="B607" s="23"/>
    </row>
    <row r="608">
      <c r="A608" s="54"/>
      <c r="B608" s="23"/>
    </row>
    <row r="609">
      <c r="A609" s="54"/>
      <c r="B609" s="23"/>
    </row>
    <row r="610">
      <c r="A610" s="54"/>
      <c r="B610" s="23"/>
    </row>
    <row r="611">
      <c r="A611" s="54"/>
      <c r="B611" s="23"/>
    </row>
    <row r="612">
      <c r="A612" s="54"/>
      <c r="B612" s="23"/>
    </row>
    <row r="613">
      <c r="A613" s="54"/>
      <c r="B613" s="23"/>
    </row>
    <row r="614">
      <c r="A614" s="54"/>
      <c r="B614" s="23"/>
    </row>
    <row r="615">
      <c r="A615" s="54"/>
      <c r="B615" s="23"/>
    </row>
    <row r="616">
      <c r="A616" s="54"/>
      <c r="B616" s="23"/>
    </row>
    <row r="617">
      <c r="A617" s="54"/>
      <c r="B617" s="23"/>
    </row>
    <row r="618">
      <c r="A618" s="54"/>
      <c r="B618" s="23"/>
    </row>
    <row r="619">
      <c r="A619" s="54"/>
      <c r="B619" s="23"/>
    </row>
    <row r="620">
      <c r="A620" s="54"/>
      <c r="B620" s="23"/>
    </row>
    <row r="621">
      <c r="A621" s="54"/>
      <c r="B621" s="23"/>
    </row>
    <row r="622">
      <c r="A622" s="54"/>
      <c r="B622" s="23"/>
    </row>
    <row r="623">
      <c r="A623" s="54"/>
      <c r="B623" s="23"/>
    </row>
    <row r="624">
      <c r="A624" s="54"/>
      <c r="B624" s="23"/>
    </row>
    <row r="625">
      <c r="A625" s="54"/>
      <c r="B625" s="23"/>
    </row>
    <row r="626">
      <c r="A626" s="54"/>
      <c r="B626" s="23"/>
    </row>
    <row r="627">
      <c r="A627" s="54"/>
      <c r="B627" s="23"/>
    </row>
    <row r="628">
      <c r="A628" s="54"/>
      <c r="B628" s="23"/>
    </row>
    <row r="629">
      <c r="A629" s="54"/>
      <c r="B629" s="23"/>
    </row>
    <row r="630">
      <c r="A630" s="54"/>
      <c r="B630" s="23"/>
    </row>
    <row r="631">
      <c r="A631" s="54"/>
      <c r="B631" s="23"/>
    </row>
    <row r="632">
      <c r="A632" s="54"/>
      <c r="B632" s="23"/>
    </row>
    <row r="633">
      <c r="A633" s="54"/>
      <c r="B633" s="23"/>
    </row>
    <row r="634">
      <c r="A634" s="54"/>
      <c r="B634" s="23"/>
    </row>
    <row r="635">
      <c r="A635" s="54"/>
      <c r="B635" s="23"/>
    </row>
    <row r="636">
      <c r="A636" s="54"/>
      <c r="B636" s="23"/>
    </row>
    <row r="637">
      <c r="A637" s="54"/>
      <c r="B637" s="23"/>
    </row>
    <row r="638">
      <c r="A638" s="54"/>
      <c r="B638" s="23"/>
    </row>
    <row r="639">
      <c r="A639" s="54"/>
      <c r="B639" s="23"/>
    </row>
    <row r="640">
      <c r="A640" s="54"/>
      <c r="B640" s="23"/>
    </row>
    <row r="641">
      <c r="A641" s="54"/>
      <c r="B641" s="23"/>
    </row>
    <row r="642">
      <c r="A642" s="54"/>
      <c r="B642" s="23"/>
    </row>
    <row r="643">
      <c r="A643" s="54"/>
      <c r="B643" s="23"/>
    </row>
    <row r="644">
      <c r="A644" s="54"/>
      <c r="B644" s="23"/>
    </row>
    <row r="645">
      <c r="A645" s="54"/>
      <c r="B645" s="23"/>
    </row>
    <row r="646">
      <c r="A646" s="54"/>
      <c r="B646" s="23"/>
    </row>
    <row r="647">
      <c r="A647" s="54"/>
      <c r="B647" s="23"/>
    </row>
    <row r="648">
      <c r="A648" s="54"/>
      <c r="B648" s="23"/>
    </row>
    <row r="649">
      <c r="A649" s="54"/>
      <c r="B649" s="23"/>
    </row>
    <row r="650">
      <c r="A650" s="54"/>
      <c r="B650" s="23"/>
    </row>
    <row r="651">
      <c r="A651" s="54"/>
      <c r="B651" s="23"/>
    </row>
    <row r="652">
      <c r="A652" s="54"/>
      <c r="B652" s="23"/>
    </row>
    <row r="653">
      <c r="A653" s="54"/>
      <c r="B653" s="23"/>
    </row>
    <row r="654">
      <c r="A654" s="54"/>
      <c r="B654" s="23"/>
    </row>
    <row r="655">
      <c r="A655" s="54"/>
      <c r="B655" s="23"/>
    </row>
    <row r="656">
      <c r="A656" s="54"/>
      <c r="B656" s="23"/>
    </row>
    <row r="657">
      <c r="A657" s="54"/>
      <c r="B657" s="23"/>
    </row>
    <row r="658">
      <c r="A658" s="54"/>
      <c r="B658" s="23"/>
    </row>
    <row r="659">
      <c r="A659" s="54"/>
      <c r="B659" s="23"/>
    </row>
    <row r="660">
      <c r="A660" s="54"/>
      <c r="B660" s="23"/>
    </row>
    <row r="661">
      <c r="A661" s="54"/>
      <c r="B661" s="23"/>
    </row>
    <row r="662">
      <c r="A662" s="54"/>
      <c r="B662" s="23"/>
    </row>
    <row r="663">
      <c r="A663" s="54"/>
      <c r="B663" s="23"/>
    </row>
    <row r="664">
      <c r="A664" s="54"/>
      <c r="B664" s="23"/>
    </row>
    <row r="665">
      <c r="A665" s="54"/>
      <c r="B665" s="23"/>
    </row>
    <row r="666">
      <c r="A666" s="54"/>
      <c r="B666" s="23"/>
    </row>
    <row r="667">
      <c r="A667" s="54"/>
      <c r="B667" s="23"/>
    </row>
    <row r="668">
      <c r="A668" s="54"/>
      <c r="B668" s="23"/>
    </row>
    <row r="669">
      <c r="A669" s="54"/>
      <c r="B669" s="23"/>
    </row>
    <row r="670">
      <c r="A670" s="54"/>
      <c r="B670" s="23"/>
    </row>
    <row r="671">
      <c r="A671" s="54"/>
      <c r="B671" s="23"/>
    </row>
    <row r="672">
      <c r="A672" s="54"/>
      <c r="B672" s="23"/>
    </row>
    <row r="673">
      <c r="A673" s="54"/>
      <c r="B673" s="23"/>
    </row>
    <row r="674">
      <c r="A674" s="54"/>
      <c r="B674" s="23"/>
    </row>
    <row r="675">
      <c r="A675" s="54"/>
      <c r="B675" s="23"/>
    </row>
    <row r="676">
      <c r="A676" s="54"/>
      <c r="B676" s="23"/>
    </row>
    <row r="677">
      <c r="A677" s="54"/>
      <c r="B677" s="23"/>
    </row>
    <row r="678">
      <c r="A678" s="54"/>
      <c r="B678" s="23"/>
    </row>
    <row r="679">
      <c r="A679" s="54"/>
      <c r="B679" s="23"/>
    </row>
    <row r="680">
      <c r="A680" s="54"/>
      <c r="B680" s="23"/>
    </row>
    <row r="681">
      <c r="A681" s="54"/>
      <c r="B681" s="23"/>
    </row>
    <row r="682">
      <c r="A682" s="54"/>
      <c r="B682" s="23"/>
    </row>
    <row r="683">
      <c r="A683" s="54"/>
      <c r="B683" s="23"/>
    </row>
    <row r="684">
      <c r="A684" s="54"/>
      <c r="B684" s="23"/>
    </row>
    <row r="685">
      <c r="A685" s="54"/>
      <c r="B685" s="23"/>
    </row>
    <row r="686">
      <c r="A686" s="54"/>
      <c r="B686" s="23"/>
    </row>
    <row r="687">
      <c r="A687" s="54"/>
      <c r="B687" s="23"/>
    </row>
    <row r="688">
      <c r="A688" s="54"/>
      <c r="B688" s="23"/>
    </row>
    <row r="689">
      <c r="A689" s="54"/>
      <c r="B689" s="23"/>
    </row>
    <row r="690">
      <c r="A690" s="54"/>
      <c r="B690" s="23"/>
    </row>
    <row r="691">
      <c r="A691" s="54"/>
      <c r="B691" s="23"/>
    </row>
    <row r="692">
      <c r="A692" s="54"/>
      <c r="B692" s="23"/>
    </row>
    <row r="693">
      <c r="A693" s="54"/>
      <c r="B693" s="23"/>
    </row>
    <row r="694">
      <c r="A694" s="54"/>
      <c r="B694" s="23"/>
    </row>
    <row r="695">
      <c r="A695" s="54"/>
      <c r="B695" s="23"/>
    </row>
    <row r="696">
      <c r="A696" s="54"/>
      <c r="B696" s="23"/>
    </row>
    <row r="697">
      <c r="A697" s="54"/>
      <c r="B697" s="23"/>
    </row>
    <row r="698">
      <c r="A698" s="54"/>
      <c r="B698" s="23"/>
    </row>
    <row r="699">
      <c r="A699" s="54"/>
      <c r="B699" s="23"/>
    </row>
    <row r="700">
      <c r="A700" s="54"/>
      <c r="B700" s="23"/>
    </row>
    <row r="701">
      <c r="A701" s="54"/>
      <c r="B701" s="23"/>
    </row>
    <row r="702">
      <c r="A702" s="54"/>
      <c r="B702" s="23"/>
    </row>
    <row r="703">
      <c r="A703" s="54"/>
      <c r="B703" s="23"/>
    </row>
    <row r="704">
      <c r="A704" s="54"/>
      <c r="B704" s="23"/>
    </row>
    <row r="705">
      <c r="A705" s="54"/>
      <c r="B705" s="23"/>
    </row>
    <row r="706">
      <c r="A706" s="54"/>
      <c r="B706" s="23"/>
    </row>
    <row r="707">
      <c r="A707" s="54"/>
      <c r="B707" s="23"/>
    </row>
    <row r="708">
      <c r="A708" s="54"/>
      <c r="B708" s="23"/>
    </row>
    <row r="709">
      <c r="A709" s="54"/>
      <c r="B709" s="23"/>
    </row>
    <row r="710">
      <c r="A710" s="54"/>
      <c r="B710" s="23"/>
    </row>
    <row r="711">
      <c r="A711" s="54"/>
      <c r="B711" s="23"/>
    </row>
    <row r="712">
      <c r="A712" s="54"/>
      <c r="B712" s="23"/>
    </row>
    <row r="713">
      <c r="A713" s="54"/>
      <c r="B713" s="23"/>
    </row>
    <row r="714">
      <c r="A714" s="54"/>
      <c r="B714" s="23"/>
    </row>
    <row r="715">
      <c r="A715" s="54"/>
      <c r="B715" s="23"/>
    </row>
    <row r="716">
      <c r="A716" s="54"/>
      <c r="B716" s="23"/>
    </row>
    <row r="717">
      <c r="A717" s="54"/>
      <c r="B717" s="23"/>
    </row>
    <row r="718">
      <c r="A718" s="54"/>
      <c r="B718" s="23"/>
    </row>
    <row r="719">
      <c r="A719" s="54"/>
      <c r="B719" s="23"/>
    </row>
    <row r="720">
      <c r="A720" s="54"/>
      <c r="B720" s="23"/>
    </row>
    <row r="721">
      <c r="A721" s="54"/>
      <c r="B721" s="23"/>
    </row>
    <row r="722">
      <c r="A722" s="54"/>
      <c r="B722" s="23"/>
    </row>
    <row r="723">
      <c r="A723" s="54"/>
      <c r="B723" s="23"/>
    </row>
    <row r="724">
      <c r="A724" s="54"/>
      <c r="B724" s="23"/>
    </row>
    <row r="725">
      <c r="A725" s="54"/>
      <c r="B725" s="23"/>
    </row>
    <row r="726">
      <c r="A726" s="54"/>
      <c r="B726" s="23"/>
    </row>
    <row r="727">
      <c r="A727" s="54"/>
      <c r="B727" s="23"/>
    </row>
    <row r="728">
      <c r="A728" s="54"/>
      <c r="B728" s="23"/>
    </row>
    <row r="729">
      <c r="A729" s="54"/>
      <c r="B729" s="23"/>
    </row>
    <row r="730">
      <c r="A730" s="54"/>
      <c r="B730" s="23"/>
    </row>
    <row r="731">
      <c r="A731" s="54"/>
      <c r="B731" s="23"/>
    </row>
    <row r="732">
      <c r="A732" s="54"/>
      <c r="B732" s="23"/>
    </row>
    <row r="733">
      <c r="A733" s="54"/>
      <c r="B733" s="23"/>
    </row>
    <row r="734">
      <c r="A734" s="54"/>
      <c r="B734" s="23"/>
    </row>
    <row r="735">
      <c r="A735" s="54"/>
      <c r="B735" s="23"/>
    </row>
    <row r="736">
      <c r="A736" s="54"/>
      <c r="B736" s="23"/>
    </row>
    <row r="737">
      <c r="A737" s="54"/>
      <c r="B737" s="23"/>
    </row>
    <row r="738">
      <c r="A738" s="54"/>
      <c r="B738" s="23"/>
    </row>
    <row r="739">
      <c r="A739" s="54"/>
      <c r="B739" s="23"/>
    </row>
    <row r="740">
      <c r="A740" s="54"/>
      <c r="B740" s="23"/>
    </row>
    <row r="741">
      <c r="A741" s="54"/>
      <c r="B741" s="23"/>
    </row>
    <row r="742">
      <c r="A742" s="54"/>
      <c r="B742" s="23"/>
    </row>
    <row r="743">
      <c r="A743" s="54"/>
      <c r="B743" s="23"/>
    </row>
    <row r="744">
      <c r="A744" s="54"/>
      <c r="B744" s="23"/>
    </row>
    <row r="745">
      <c r="A745" s="54"/>
      <c r="B745" s="23"/>
    </row>
    <row r="746">
      <c r="A746" s="54"/>
      <c r="B746" s="23"/>
    </row>
    <row r="747">
      <c r="A747" s="54"/>
      <c r="B747" s="23"/>
    </row>
    <row r="748">
      <c r="A748" s="54"/>
      <c r="B748" s="23"/>
    </row>
    <row r="749">
      <c r="A749" s="54"/>
      <c r="B749" s="23"/>
    </row>
    <row r="750">
      <c r="A750" s="54"/>
      <c r="B750" s="23"/>
    </row>
    <row r="751">
      <c r="A751" s="54"/>
      <c r="B751" s="23"/>
    </row>
    <row r="752">
      <c r="A752" s="54"/>
      <c r="B752" s="23"/>
    </row>
    <row r="753">
      <c r="A753" s="54"/>
      <c r="B753" s="23"/>
    </row>
    <row r="754">
      <c r="A754" s="54"/>
      <c r="B754" s="23"/>
    </row>
    <row r="755">
      <c r="A755" s="54"/>
      <c r="B755" s="23"/>
    </row>
    <row r="756">
      <c r="A756" s="54"/>
      <c r="B756" s="23"/>
    </row>
    <row r="757">
      <c r="A757" s="54"/>
      <c r="B757" s="23"/>
    </row>
    <row r="758">
      <c r="A758" s="54"/>
      <c r="B758" s="23"/>
    </row>
    <row r="759">
      <c r="A759" s="54"/>
      <c r="B759" s="23"/>
    </row>
    <row r="760">
      <c r="A760" s="54"/>
      <c r="B760" s="23"/>
    </row>
    <row r="761">
      <c r="A761" s="54"/>
      <c r="B761" s="23"/>
    </row>
    <row r="762">
      <c r="A762" s="54"/>
      <c r="B762" s="23"/>
    </row>
    <row r="763">
      <c r="A763" s="54"/>
      <c r="B763" s="23"/>
    </row>
    <row r="764">
      <c r="A764" s="54"/>
      <c r="B764" s="23"/>
    </row>
    <row r="765">
      <c r="A765" s="54"/>
      <c r="B765" s="23"/>
    </row>
    <row r="766">
      <c r="A766" s="54"/>
      <c r="B766" s="23"/>
    </row>
    <row r="767">
      <c r="A767" s="54"/>
      <c r="B767" s="23"/>
    </row>
    <row r="768">
      <c r="A768" s="54"/>
      <c r="B768" s="23"/>
    </row>
    <row r="769">
      <c r="A769" s="54"/>
      <c r="B769" s="23"/>
    </row>
    <row r="770">
      <c r="A770" s="54"/>
      <c r="B770" s="23"/>
    </row>
    <row r="771">
      <c r="A771" s="54"/>
      <c r="B771" s="23"/>
    </row>
    <row r="772">
      <c r="A772" s="54"/>
      <c r="B772" s="23"/>
    </row>
    <row r="773">
      <c r="A773" s="54"/>
      <c r="B773" s="23"/>
    </row>
    <row r="774">
      <c r="A774" s="54"/>
      <c r="B774" s="23"/>
    </row>
    <row r="775">
      <c r="A775" s="54"/>
      <c r="B775" s="23"/>
    </row>
    <row r="776">
      <c r="A776" s="54"/>
      <c r="B776" s="23"/>
    </row>
    <row r="777">
      <c r="A777" s="54"/>
      <c r="B777" s="23"/>
    </row>
    <row r="778">
      <c r="A778" s="54"/>
      <c r="B778" s="23"/>
    </row>
    <row r="779">
      <c r="A779" s="54"/>
      <c r="B779" s="23"/>
    </row>
    <row r="780">
      <c r="A780" s="54"/>
      <c r="B780" s="23"/>
    </row>
    <row r="781">
      <c r="A781" s="54"/>
      <c r="B781" s="23"/>
    </row>
    <row r="782">
      <c r="A782" s="54"/>
      <c r="B782" s="23"/>
    </row>
    <row r="783">
      <c r="A783" s="54"/>
      <c r="B783" s="23"/>
    </row>
    <row r="784">
      <c r="A784" s="54"/>
      <c r="B784" s="23"/>
    </row>
    <row r="785">
      <c r="A785" s="54"/>
      <c r="B785" s="23"/>
    </row>
    <row r="786">
      <c r="A786" s="54"/>
      <c r="B786" s="23"/>
    </row>
    <row r="787">
      <c r="A787" s="54"/>
      <c r="B787" s="23"/>
    </row>
    <row r="788">
      <c r="A788" s="54"/>
      <c r="B788" s="23"/>
    </row>
    <row r="789">
      <c r="A789" s="54"/>
      <c r="B789" s="23"/>
    </row>
    <row r="790">
      <c r="A790" s="54"/>
      <c r="B790" s="23"/>
    </row>
    <row r="791">
      <c r="A791" s="54"/>
      <c r="B791" s="23"/>
    </row>
    <row r="792">
      <c r="A792" s="54"/>
      <c r="B792" s="23"/>
    </row>
    <row r="793">
      <c r="A793" s="54"/>
      <c r="B793" s="23"/>
    </row>
    <row r="794">
      <c r="A794" s="54"/>
      <c r="B794" s="23"/>
    </row>
    <row r="795">
      <c r="A795" s="54"/>
      <c r="B795" s="23"/>
    </row>
    <row r="796">
      <c r="A796" s="54"/>
      <c r="B796" s="23"/>
    </row>
    <row r="797">
      <c r="A797" s="54"/>
      <c r="B797" s="23"/>
    </row>
    <row r="798">
      <c r="A798" s="54"/>
      <c r="B798" s="23"/>
    </row>
    <row r="799">
      <c r="A799" s="54"/>
      <c r="B799" s="23"/>
    </row>
    <row r="800">
      <c r="A800" s="54"/>
      <c r="B800" s="23"/>
    </row>
    <row r="801">
      <c r="A801" s="54"/>
      <c r="B801" s="23"/>
    </row>
    <row r="802">
      <c r="A802" s="54"/>
      <c r="B802" s="23"/>
    </row>
    <row r="803">
      <c r="A803" s="54"/>
      <c r="B803" s="23"/>
    </row>
    <row r="804">
      <c r="A804" s="54"/>
      <c r="B804" s="23"/>
    </row>
    <row r="805">
      <c r="A805" s="54"/>
      <c r="B805" s="23"/>
    </row>
    <row r="806">
      <c r="A806" s="54"/>
      <c r="B806" s="23"/>
    </row>
    <row r="807">
      <c r="A807" s="54"/>
      <c r="B807" s="23"/>
    </row>
    <row r="808">
      <c r="A808" s="54"/>
      <c r="B808" s="23"/>
    </row>
    <row r="809">
      <c r="A809" s="54"/>
      <c r="B809" s="23"/>
    </row>
    <row r="810">
      <c r="A810" s="54"/>
      <c r="B810" s="23"/>
    </row>
    <row r="811">
      <c r="A811" s="54"/>
      <c r="B811" s="23"/>
    </row>
    <row r="812">
      <c r="A812" s="54"/>
      <c r="B812" s="23"/>
    </row>
    <row r="813">
      <c r="A813" s="54"/>
      <c r="B813" s="23"/>
    </row>
    <row r="814">
      <c r="A814" s="54"/>
      <c r="B814" s="23"/>
    </row>
    <row r="815">
      <c r="A815" s="54"/>
      <c r="B815" s="23"/>
    </row>
    <row r="816">
      <c r="A816" s="54"/>
      <c r="B816" s="23"/>
    </row>
    <row r="817">
      <c r="A817" s="54"/>
      <c r="B817" s="23"/>
    </row>
    <row r="818">
      <c r="A818" s="54"/>
      <c r="B818" s="23"/>
    </row>
    <row r="819">
      <c r="A819" s="54"/>
      <c r="B819" s="23"/>
    </row>
    <row r="820">
      <c r="A820" s="54"/>
      <c r="B820" s="23"/>
    </row>
    <row r="821">
      <c r="A821" s="54"/>
      <c r="B821" s="23"/>
    </row>
    <row r="822">
      <c r="A822" s="54"/>
      <c r="B822" s="23"/>
    </row>
    <row r="823">
      <c r="A823" s="54"/>
      <c r="B823" s="23"/>
    </row>
    <row r="824">
      <c r="A824" s="54"/>
      <c r="B824" s="23"/>
    </row>
    <row r="825">
      <c r="A825" s="54"/>
      <c r="B825" s="23"/>
    </row>
    <row r="826">
      <c r="A826" s="54"/>
      <c r="B826" s="23"/>
    </row>
    <row r="827">
      <c r="A827" s="54"/>
      <c r="B827" s="23"/>
    </row>
    <row r="828">
      <c r="A828" s="54"/>
      <c r="B828" s="23"/>
    </row>
    <row r="829">
      <c r="A829" s="54"/>
      <c r="B829" s="23"/>
    </row>
    <row r="830">
      <c r="A830" s="54"/>
      <c r="B830" s="23"/>
    </row>
    <row r="831">
      <c r="A831" s="54"/>
      <c r="B831" s="23"/>
    </row>
    <row r="832">
      <c r="A832" s="54"/>
      <c r="B832" s="23"/>
    </row>
    <row r="833">
      <c r="A833" s="54"/>
      <c r="B833" s="23"/>
    </row>
    <row r="834">
      <c r="A834" s="54"/>
      <c r="B834" s="23"/>
    </row>
    <row r="835">
      <c r="A835" s="54"/>
      <c r="B835" s="23"/>
    </row>
    <row r="836">
      <c r="A836" s="54"/>
      <c r="B836" s="23"/>
    </row>
    <row r="837">
      <c r="A837" s="54"/>
      <c r="B837" s="23"/>
    </row>
    <row r="838">
      <c r="A838" s="54"/>
      <c r="B838" s="23"/>
    </row>
    <row r="839">
      <c r="A839" s="54"/>
      <c r="B839" s="23"/>
    </row>
    <row r="840">
      <c r="A840" s="54"/>
      <c r="B840" s="23"/>
    </row>
    <row r="841">
      <c r="A841" s="54"/>
      <c r="B841" s="23"/>
    </row>
    <row r="842">
      <c r="A842" s="54"/>
      <c r="B842" s="23"/>
    </row>
    <row r="843">
      <c r="A843" s="54"/>
      <c r="B843" s="23"/>
    </row>
    <row r="844">
      <c r="A844" s="54"/>
      <c r="B844" s="23"/>
    </row>
    <row r="845">
      <c r="A845" s="54"/>
      <c r="B845" s="23"/>
    </row>
    <row r="846">
      <c r="A846" s="54"/>
      <c r="B846" s="23"/>
    </row>
    <row r="847">
      <c r="A847" s="54"/>
      <c r="B847" s="23"/>
    </row>
    <row r="848">
      <c r="A848" s="54"/>
      <c r="B848" s="23"/>
    </row>
    <row r="849">
      <c r="A849" s="54"/>
      <c r="B849" s="23"/>
    </row>
    <row r="850">
      <c r="A850" s="54"/>
      <c r="B850" s="23"/>
    </row>
    <row r="851">
      <c r="A851" s="54"/>
      <c r="B851" s="23"/>
    </row>
    <row r="852">
      <c r="A852" s="54"/>
      <c r="B852" s="23"/>
    </row>
    <row r="853">
      <c r="A853" s="54"/>
      <c r="B853" s="23"/>
    </row>
    <row r="854">
      <c r="A854" s="54"/>
      <c r="B854" s="23"/>
    </row>
    <row r="855">
      <c r="A855" s="54"/>
      <c r="B855" s="23"/>
    </row>
    <row r="856">
      <c r="A856" s="54"/>
      <c r="B856" s="23"/>
    </row>
    <row r="857">
      <c r="A857" s="54"/>
      <c r="B857" s="23"/>
    </row>
    <row r="858">
      <c r="A858" s="54"/>
      <c r="B858" s="23"/>
    </row>
    <row r="859">
      <c r="A859" s="54"/>
      <c r="B859" s="23"/>
    </row>
    <row r="860">
      <c r="A860" s="54"/>
      <c r="B860" s="23"/>
    </row>
    <row r="861">
      <c r="A861" s="54"/>
      <c r="B861" s="23"/>
    </row>
    <row r="862">
      <c r="A862" s="54"/>
      <c r="B862" s="23"/>
    </row>
    <row r="863">
      <c r="A863" s="54"/>
      <c r="B863" s="23"/>
    </row>
    <row r="864">
      <c r="A864" s="54"/>
      <c r="B864" s="23"/>
    </row>
    <row r="865">
      <c r="A865" s="54"/>
      <c r="B865" s="23"/>
    </row>
    <row r="866">
      <c r="A866" s="54"/>
      <c r="B866" s="23"/>
    </row>
    <row r="867">
      <c r="A867" s="54"/>
      <c r="B867" s="23"/>
    </row>
    <row r="868">
      <c r="A868" s="54"/>
      <c r="B868" s="23"/>
    </row>
    <row r="869">
      <c r="A869" s="54"/>
      <c r="B869" s="23"/>
    </row>
    <row r="870">
      <c r="A870" s="54"/>
      <c r="B870" s="23"/>
    </row>
    <row r="871">
      <c r="A871" s="54"/>
      <c r="B871" s="23"/>
    </row>
    <row r="872">
      <c r="A872" s="54"/>
      <c r="B872" s="23"/>
    </row>
    <row r="873">
      <c r="A873" s="54"/>
      <c r="B873" s="23"/>
    </row>
    <row r="874">
      <c r="A874" s="54"/>
      <c r="B874" s="23"/>
    </row>
    <row r="875">
      <c r="A875" s="54"/>
      <c r="B875" s="23"/>
    </row>
    <row r="876">
      <c r="A876" s="54"/>
      <c r="B876" s="23"/>
    </row>
    <row r="877">
      <c r="A877" s="54"/>
      <c r="B877" s="23"/>
    </row>
    <row r="878">
      <c r="A878" s="54"/>
      <c r="B878" s="23"/>
    </row>
    <row r="879">
      <c r="A879" s="54"/>
      <c r="B879" s="23"/>
    </row>
    <row r="880">
      <c r="A880" s="54"/>
      <c r="B880" s="23"/>
    </row>
    <row r="881">
      <c r="A881" s="54"/>
      <c r="B881" s="23"/>
    </row>
    <row r="882">
      <c r="A882" s="54"/>
      <c r="B882" s="23"/>
    </row>
    <row r="883">
      <c r="A883" s="54"/>
      <c r="B883" s="23"/>
    </row>
    <row r="884">
      <c r="A884" s="54"/>
      <c r="B884" s="23"/>
    </row>
    <row r="885">
      <c r="A885" s="54"/>
      <c r="B885" s="23"/>
    </row>
    <row r="886">
      <c r="A886" s="54"/>
      <c r="B886" s="23"/>
    </row>
    <row r="887">
      <c r="A887" s="54"/>
      <c r="B887" s="23"/>
    </row>
    <row r="888">
      <c r="A888" s="54"/>
      <c r="B888" s="23"/>
    </row>
    <row r="889">
      <c r="A889" s="54"/>
      <c r="B889" s="23"/>
    </row>
    <row r="890">
      <c r="A890" s="54"/>
      <c r="B890" s="23"/>
    </row>
    <row r="891">
      <c r="A891" s="54"/>
      <c r="B891" s="23"/>
    </row>
    <row r="892">
      <c r="A892" s="54"/>
      <c r="B892" s="23"/>
    </row>
    <row r="893">
      <c r="A893" s="54"/>
      <c r="B893" s="23"/>
    </row>
    <row r="894">
      <c r="A894" s="54"/>
      <c r="B894" s="23"/>
    </row>
    <row r="895">
      <c r="A895" s="54"/>
      <c r="B895" s="23"/>
    </row>
    <row r="896">
      <c r="A896" s="54"/>
      <c r="B896" s="23"/>
    </row>
    <row r="897">
      <c r="A897" s="54"/>
      <c r="B897" s="23"/>
    </row>
    <row r="898">
      <c r="A898" s="54"/>
      <c r="B898" s="23"/>
    </row>
    <row r="899">
      <c r="A899" s="54"/>
      <c r="B899" s="23"/>
    </row>
    <row r="900">
      <c r="A900" s="54"/>
      <c r="B900" s="23"/>
    </row>
    <row r="901">
      <c r="A901" s="54"/>
      <c r="B901" s="23"/>
    </row>
    <row r="902">
      <c r="A902" s="54"/>
      <c r="B902" s="23"/>
    </row>
    <row r="903">
      <c r="A903" s="54"/>
      <c r="B903" s="23"/>
    </row>
    <row r="904">
      <c r="A904" s="54"/>
      <c r="B904" s="23"/>
    </row>
    <row r="905">
      <c r="A905" s="54"/>
      <c r="B905" s="23"/>
    </row>
    <row r="906">
      <c r="A906" s="54"/>
      <c r="B906" s="23"/>
    </row>
    <row r="907">
      <c r="A907" s="54"/>
      <c r="B907" s="23"/>
    </row>
    <row r="908">
      <c r="A908" s="54"/>
      <c r="B908" s="23"/>
    </row>
    <row r="909">
      <c r="A909" s="54"/>
      <c r="B909" s="23"/>
    </row>
    <row r="910">
      <c r="A910" s="54"/>
      <c r="B910" s="23"/>
    </row>
    <row r="911">
      <c r="A911" s="54"/>
      <c r="B911" s="23"/>
    </row>
    <row r="912">
      <c r="A912" s="54"/>
      <c r="B912" s="23"/>
    </row>
    <row r="913">
      <c r="A913" s="54"/>
      <c r="B913" s="23"/>
    </row>
    <row r="914">
      <c r="A914" s="54"/>
      <c r="B914" s="23"/>
    </row>
    <row r="915">
      <c r="A915" s="54"/>
      <c r="B915" s="23"/>
    </row>
    <row r="916">
      <c r="A916" s="54"/>
      <c r="B916" s="23"/>
    </row>
    <row r="917">
      <c r="A917" s="54"/>
      <c r="B917" s="23"/>
    </row>
    <row r="918">
      <c r="A918" s="54"/>
      <c r="B918" s="23"/>
    </row>
    <row r="919">
      <c r="A919" s="54"/>
      <c r="B919" s="23"/>
    </row>
    <row r="920">
      <c r="A920" s="54"/>
      <c r="B920" s="23"/>
    </row>
    <row r="921">
      <c r="A921" s="54"/>
      <c r="B921" s="23"/>
    </row>
    <row r="922">
      <c r="A922" s="54"/>
      <c r="B922" s="23"/>
    </row>
    <row r="923">
      <c r="A923" s="54"/>
      <c r="B923" s="23"/>
    </row>
    <row r="924">
      <c r="A924" s="54"/>
      <c r="B924" s="23"/>
    </row>
    <row r="925">
      <c r="A925" s="54"/>
      <c r="B925" s="23"/>
    </row>
    <row r="926">
      <c r="A926" s="54"/>
      <c r="B926" s="23"/>
    </row>
    <row r="927">
      <c r="A927" s="54"/>
      <c r="B927" s="23"/>
    </row>
    <row r="928">
      <c r="A928" s="54"/>
      <c r="B928" s="23"/>
    </row>
    <row r="929">
      <c r="A929" s="54"/>
      <c r="B929" s="23"/>
    </row>
    <row r="930">
      <c r="A930" s="54"/>
      <c r="B930" s="23"/>
    </row>
    <row r="931">
      <c r="A931" s="54"/>
      <c r="B931" s="23"/>
    </row>
    <row r="932">
      <c r="A932" s="54"/>
      <c r="B932" s="23"/>
    </row>
    <row r="933">
      <c r="A933" s="54"/>
      <c r="B933" s="23"/>
    </row>
    <row r="934">
      <c r="A934" s="54"/>
      <c r="B934" s="23"/>
    </row>
    <row r="935">
      <c r="A935" s="54"/>
      <c r="B935" s="23"/>
    </row>
    <row r="936">
      <c r="A936" s="54"/>
      <c r="B936" s="23"/>
    </row>
    <row r="937">
      <c r="A937" s="54"/>
      <c r="B937" s="23"/>
    </row>
    <row r="938">
      <c r="A938" s="54"/>
      <c r="B938" s="23"/>
    </row>
    <row r="939">
      <c r="A939" s="54"/>
      <c r="B939" s="23"/>
    </row>
    <row r="940">
      <c r="A940" s="54"/>
      <c r="B940" s="23"/>
    </row>
    <row r="941">
      <c r="A941" s="54"/>
      <c r="B941" s="23"/>
    </row>
    <row r="942">
      <c r="A942" s="54"/>
      <c r="B942" s="23"/>
    </row>
    <row r="943">
      <c r="A943" s="54"/>
      <c r="B943" s="23"/>
    </row>
    <row r="944">
      <c r="A944" s="54"/>
      <c r="B944" s="23"/>
    </row>
    <row r="945">
      <c r="A945" s="54"/>
      <c r="B945" s="23"/>
    </row>
    <row r="946">
      <c r="A946" s="54"/>
      <c r="B946" s="23"/>
    </row>
    <row r="947">
      <c r="A947" s="54"/>
      <c r="B947" s="23"/>
    </row>
    <row r="948">
      <c r="A948" s="54"/>
      <c r="B948" s="23"/>
    </row>
    <row r="949">
      <c r="A949" s="54"/>
      <c r="B949" s="23"/>
    </row>
    <row r="950">
      <c r="A950" s="54"/>
      <c r="B950" s="23"/>
    </row>
    <row r="951">
      <c r="A951" s="54"/>
      <c r="B951" s="23"/>
    </row>
    <row r="952">
      <c r="A952" s="54"/>
      <c r="B952" s="23"/>
    </row>
    <row r="953">
      <c r="A953" s="54"/>
      <c r="B953" s="23"/>
    </row>
    <row r="954">
      <c r="A954" s="54"/>
      <c r="B954" s="23"/>
    </row>
    <row r="955">
      <c r="A955" s="54"/>
      <c r="B955" s="23"/>
    </row>
    <row r="956">
      <c r="A956" s="54"/>
      <c r="B956" s="23"/>
    </row>
    <row r="957">
      <c r="A957" s="54"/>
      <c r="B957" s="23"/>
    </row>
    <row r="958">
      <c r="A958" s="54"/>
      <c r="B958" s="23"/>
    </row>
    <row r="959">
      <c r="A959" s="54"/>
      <c r="B959" s="23"/>
    </row>
    <row r="960">
      <c r="A960" s="54"/>
      <c r="B960" s="23"/>
    </row>
    <row r="961">
      <c r="A961" s="54"/>
      <c r="B961" s="23"/>
    </row>
    <row r="962">
      <c r="A962" s="54"/>
      <c r="B962" s="23"/>
    </row>
    <row r="963">
      <c r="A963" s="54"/>
      <c r="B963" s="23"/>
    </row>
    <row r="964">
      <c r="A964" s="54"/>
      <c r="B964" s="23"/>
    </row>
    <row r="965">
      <c r="A965" s="54"/>
      <c r="B965" s="23"/>
    </row>
    <row r="966">
      <c r="A966" s="54"/>
      <c r="B966" s="23"/>
    </row>
    <row r="967">
      <c r="A967" s="54"/>
      <c r="B967" s="23"/>
    </row>
    <row r="968">
      <c r="A968" s="54"/>
      <c r="B968" s="23"/>
    </row>
    <row r="969">
      <c r="A969" s="54"/>
      <c r="B969" s="23"/>
    </row>
    <row r="970">
      <c r="A970" s="54"/>
      <c r="B970" s="23"/>
    </row>
    <row r="971">
      <c r="A971" s="54"/>
      <c r="B971" s="23"/>
    </row>
    <row r="972">
      <c r="A972" s="54"/>
      <c r="B972" s="23"/>
    </row>
    <row r="973">
      <c r="A973" s="54"/>
      <c r="B973" s="23"/>
    </row>
    <row r="974">
      <c r="A974" s="54"/>
      <c r="B974" s="23"/>
    </row>
    <row r="975">
      <c r="A975" s="54"/>
      <c r="B975" s="23"/>
    </row>
    <row r="976">
      <c r="A976" s="54"/>
      <c r="B976" s="23"/>
    </row>
    <row r="977">
      <c r="A977" s="54"/>
      <c r="B977" s="23"/>
    </row>
    <row r="978">
      <c r="A978" s="54"/>
      <c r="B978" s="23"/>
    </row>
    <row r="979">
      <c r="A979" s="54"/>
      <c r="B979" s="23"/>
    </row>
    <row r="980">
      <c r="A980" s="54"/>
      <c r="B980" s="23"/>
    </row>
    <row r="981">
      <c r="A981" s="54"/>
      <c r="B981" s="23"/>
    </row>
    <row r="982">
      <c r="A982" s="54"/>
      <c r="B982" s="23"/>
    </row>
    <row r="983">
      <c r="A983" s="54"/>
      <c r="B983" s="23"/>
    </row>
    <row r="984">
      <c r="A984" s="54"/>
      <c r="B984" s="23"/>
    </row>
    <row r="985">
      <c r="A985" s="54"/>
      <c r="B985" s="23"/>
    </row>
    <row r="986">
      <c r="A986" s="54"/>
      <c r="B986" s="23"/>
    </row>
    <row r="987">
      <c r="A987" s="54"/>
      <c r="B987" s="23"/>
    </row>
    <row r="988">
      <c r="A988" s="54"/>
      <c r="B988" s="23"/>
    </row>
    <row r="989">
      <c r="A989" s="54"/>
      <c r="B989" s="23"/>
    </row>
    <row r="990">
      <c r="A990" s="54"/>
      <c r="B990" s="23"/>
    </row>
    <row r="991">
      <c r="A991" s="54"/>
      <c r="B991" s="23"/>
    </row>
    <row r="992">
      <c r="A992" s="54"/>
      <c r="B992" s="23"/>
    </row>
    <row r="993">
      <c r="A993" s="54"/>
      <c r="B993" s="23"/>
    </row>
    <row r="994">
      <c r="A994" s="54"/>
      <c r="B994" s="23"/>
    </row>
    <row r="995">
      <c r="A995" s="54"/>
      <c r="B995" s="23"/>
    </row>
    <row r="996">
      <c r="A996" s="54"/>
      <c r="B996" s="23"/>
    </row>
    <row r="997">
      <c r="A997" s="54"/>
      <c r="B997" s="23"/>
    </row>
    <row r="998">
      <c r="A998" s="54"/>
      <c r="B998" s="23"/>
    </row>
    <row r="999">
      <c r="A999" s="54"/>
      <c r="B999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13"/>
    <col customWidth="1" min="3" max="3" width="11.75"/>
    <col customWidth="1" min="4" max="4" width="9.25"/>
    <col customWidth="1" min="5" max="5" width="9.13"/>
    <col customWidth="1" min="6" max="6" width="5.5"/>
  </cols>
  <sheetData>
    <row r="1">
      <c r="A1" s="7" t="s">
        <v>1019</v>
      </c>
      <c r="B1" s="7" t="s">
        <v>18</v>
      </c>
      <c r="C1" s="8" t="s">
        <v>52</v>
      </c>
      <c r="D1" s="7" t="s">
        <v>1023</v>
      </c>
      <c r="E1" s="8" t="s">
        <v>1024</v>
      </c>
      <c r="F1" s="7" t="s">
        <v>1025</v>
      </c>
      <c r="G1" s="10" t="s">
        <v>1026</v>
      </c>
      <c r="H1" s="11" t="s">
        <v>34</v>
      </c>
      <c r="I1" s="11" t="s">
        <v>36</v>
      </c>
      <c r="J1" s="11" t="s">
        <v>37</v>
      </c>
      <c r="K1" s="11" t="s">
        <v>39</v>
      </c>
      <c r="L1" s="11" t="s">
        <v>40</v>
      </c>
      <c r="M1" s="11" t="s">
        <v>41</v>
      </c>
      <c r="N1" s="11" t="s">
        <v>42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7" t="s">
        <v>1032</v>
      </c>
      <c r="B2" s="17" t="s">
        <v>1033</v>
      </c>
      <c r="C2" s="23">
        <f>countif(Constants!A:A,B2)</f>
        <v>1</v>
      </c>
      <c r="E2" s="57" t="str">
        <f t="shared" ref="E2:E452" si="1">hyperlink("https://physics.nist.gov/cgi-bin/cuu/Value?"&amp;B2, "link")</f>
        <v>link</v>
      </c>
      <c r="G2" s="43">
        <f t="shared" ref="G2:G452" si="2">sum(H2:N2)</f>
        <v>2</v>
      </c>
      <c r="H2" s="21">
        <f>countif('v2022'!$A:$A,A2)</f>
        <v>0</v>
      </c>
      <c r="I2" s="21">
        <f>countif('v2018'!$A:$A,A2)</f>
        <v>0</v>
      </c>
      <c r="J2" s="21">
        <f>countif('v2014'!$A:$A,A2)</f>
        <v>1</v>
      </c>
      <c r="K2" s="21">
        <f>countif('v2010'!$A:$A,A2)</f>
        <v>1</v>
      </c>
      <c r="L2" s="21">
        <f>countif('v2006'!$A:$A,A2)</f>
        <v>0</v>
      </c>
      <c r="M2" s="21">
        <f>countif('v2002'!$A:$A,A2)</f>
        <v>0</v>
      </c>
      <c r="N2" s="21">
        <f>countif('v1998'!$A:$A,A2)</f>
        <v>0</v>
      </c>
    </row>
    <row r="3">
      <c r="A3" s="17" t="s">
        <v>96</v>
      </c>
      <c r="B3" s="17" t="s">
        <v>92</v>
      </c>
      <c r="C3" s="23">
        <f>countif(Constants!A:A,B3)</f>
        <v>1</v>
      </c>
      <c r="E3" s="57" t="str">
        <f t="shared" si="1"/>
        <v>link</v>
      </c>
      <c r="G3" s="43">
        <f t="shared" si="2"/>
        <v>7</v>
      </c>
      <c r="H3" s="21">
        <f>countif('v2022'!$A:$A,A3)</f>
        <v>1</v>
      </c>
      <c r="I3" s="21">
        <f>countif('v2018'!$A:$A,A3)</f>
        <v>1</v>
      </c>
      <c r="J3" s="21">
        <f>countif('v2014'!$A:$A,A3)</f>
        <v>1</v>
      </c>
      <c r="K3" s="21">
        <f>countif('v2010'!$A:$A,A3)</f>
        <v>1</v>
      </c>
      <c r="L3" s="21">
        <f>countif('v2006'!$A:$A,A3)</f>
        <v>1</v>
      </c>
      <c r="M3" s="21">
        <f>countif('v2002'!$A:$A,A3)</f>
        <v>1</v>
      </c>
      <c r="N3" s="21">
        <f>countif('v1998'!$A:$A,A3)</f>
        <v>1</v>
      </c>
    </row>
    <row r="4">
      <c r="A4" s="17" t="s">
        <v>176</v>
      </c>
      <c r="B4" s="17" t="s">
        <v>172</v>
      </c>
      <c r="C4" s="23">
        <f>countif(Constants!A:A,B4)</f>
        <v>1</v>
      </c>
      <c r="E4" s="57" t="str">
        <f t="shared" si="1"/>
        <v>link</v>
      </c>
      <c r="G4" s="43">
        <f t="shared" si="2"/>
        <v>7</v>
      </c>
      <c r="H4" s="21">
        <f>countif('v2022'!$A:$A,A4)</f>
        <v>1</v>
      </c>
      <c r="I4" s="21">
        <f>countif('v2018'!$A:$A,A4)</f>
        <v>1</v>
      </c>
      <c r="J4" s="21">
        <f>countif('v2014'!$A:$A,A4)</f>
        <v>1</v>
      </c>
      <c r="K4" s="21">
        <f>countif('v2010'!$A:$A,A4)</f>
        <v>1</v>
      </c>
      <c r="L4" s="21">
        <f>countif('v2006'!$A:$A,A4)</f>
        <v>1</v>
      </c>
      <c r="M4" s="21">
        <f>countif('v2002'!$A:$A,A4)</f>
        <v>1</v>
      </c>
      <c r="N4" s="21">
        <f>countif('v1998'!$A:$A,A4)</f>
        <v>1</v>
      </c>
    </row>
    <row r="5">
      <c r="A5" s="17" t="s">
        <v>222</v>
      </c>
      <c r="B5" s="17" t="s">
        <v>214</v>
      </c>
      <c r="C5" s="23">
        <f>countif(Constants!A:A,B5)</f>
        <v>1</v>
      </c>
      <c r="E5" s="57" t="str">
        <f t="shared" si="1"/>
        <v>link</v>
      </c>
      <c r="G5" s="43">
        <f t="shared" si="2"/>
        <v>7</v>
      </c>
      <c r="H5" s="21">
        <f>countif('v2022'!$A:$A,A5)</f>
        <v>1</v>
      </c>
      <c r="I5" s="21">
        <f>countif('v2018'!$A:$A,A5)</f>
        <v>1</v>
      </c>
      <c r="J5" s="21">
        <f>countif('v2014'!$A:$A,A5)</f>
        <v>1</v>
      </c>
      <c r="K5" s="21">
        <f>countif('v2010'!$A:$A,A5)</f>
        <v>1</v>
      </c>
      <c r="L5" s="21">
        <f>countif('v2006'!$A:$A,A5)</f>
        <v>1</v>
      </c>
      <c r="M5" s="21">
        <f>countif('v2002'!$A:$A,A5)</f>
        <v>1</v>
      </c>
      <c r="N5" s="21">
        <f>countif('v1998'!$A:$A,A5)</f>
        <v>1</v>
      </c>
    </row>
    <row r="6">
      <c r="A6" s="17" t="s">
        <v>245</v>
      </c>
      <c r="B6" s="17" t="s">
        <v>243</v>
      </c>
      <c r="C6" s="23">
        <f>countif(Constants!A:A,B6)</f>
        <v>1</v>
      </c>
      <c r="E6" s="57" t="str">
        <f t="shared" si="1"/>
        <v>link</v>
      </c>
      <c r="G6" s="43">
        <f t="shared" si="2"/>
        <v>7</v>
      </c>
      <c r="H6" s="21">
        <f>countif('v2022'!$A:$A,A6)</f>
        <v>1</v>
      </c>
      <c r="I6" s="21">
        <f>countif('v2018'!$A:$A,A6)</f>
        <v>1</v>
      </c>
      <c r="J6" s="21">
        <f>countif('v2014'!$A:$A,A6)</f>
        <v>1</v>
      </c>
      <c r="K6" s="21">
        <f>countif('v2010'!$A:$A,A6)</f>
        <v>1</v>
      </c>
      <c r="L6" s="21">
        <f>countif('v2006'!$A:$A,A6)</f>
        <v>1</v>
      </c>
      <c r="M6" s="21">
        <f>countif('v2002'!$A:$A,A6)</f>
        <v>1</v>
      </c>
      <c r="N6" s="21">
        <f>countif('v1998'!$A:$A,A6)</f>
        <v>1</v>
      </c>
    </row>
    <row r="7">
      <c r="A7" s="17" t="s">
        <v>284</v>
      </c>
      <c r="B7" s="17" t="s">
        <v>282</v>
      </c>
      <c r="C7" s="23">
        <f>countif(Constants!A:A,B7)</f>
        <v>1</v>
      </c>
      <c r="E7" s="57" t="str">
        <f t="shared" si="1"/>
        <v>link</v>
      </c>
      <c r="G7" s="43">
        <f t="shared" si="2"/>
        <v>7</v>
      </c>
      <c r="H7" s="21">
        <f>countif('v2022'!$A:$A,A7)</f>
        <v>1</v>
      </c>
      <c r="I7" s="21">
        <f>countif('v2018'!$A:$A,A7)</f>
        <v>1</v>
      </c>
      <c r="J7" s="21">
        <f>countif('v2014'!$A:$A,A7)</f>
        <v>1</v>
      </c>
      <c r="K7" s="21">
        <f>countif('v2010'!$A:$A,A7)</f>
        <v>1</v>
      </c>
      <c r="L7" s="21">
        <f>countif('v2006'!$A:$A,A7)</f>
        <v>1</v>
      </c>
      <c r="M7" s="21">
        <f>countif('v2002'!$A:$A,A7)</f>
        <v>1</v>
      </c>
      <c r="N7" s="21">
        <f>countif('v1998'!$A:$A,A7)</f>
        <v>1</v>
      </c>
    </row>
    <row r="8">
      <c r="A8" s="17" t="s">
        <v>341</v>
      </c>
      <c r="B8" s="17" t="s">
        <v>338</v>
      </c>
      <c r="C8" s="23">
        <f>countif(Constants!A:A,B8)</f>
        <v>1</v>
      </c>
      <c r="E8" s="57" t="str">
        <f t="shared" si="1"/>
        <v>link</v>
      </c>
      <c r="G8" s="43">
        <f t="shared" si="2"/>
        <v>2</v>
      </c>
      <c r="H8" s="21">
        <f>countif('v2022'!$A:$A,A8)</f>
        <v>1</v>
      </c>
      <c r="I8" s="21">
        <f>countif('v2018'!$A:$A,A8)</f>
        <v>1</v>
      </c>
      <c r="J8" s="21">
        <f>countif('v2014'!$A:$A,A8)</f>
        <v>0</v>
      </c>
      <c r="K8" s="21">
        <f>countif('v2010'!$A:$A,A8)</f>
        <v>0</v>
      </c>
      <c r="L8" s="21">
        <f>countif('v2006'!$A:$A,A8)</f>
        <v>0</v>
      </c>
      <c r="M8" s="21">
        <f>countif('v2002'!$A:$A,A8)</f>
        <v>0</v>
      </c>
      <c r="N8" s="21">
        <f>countif('v1998'!$A:$A,A8)</f>
        <v>0</v>
      </c>
    </row>
    <row r="9">
      <c r="A9" s="17" t="s">
        <v>377</v>
      </c>
      <c r="B9" s="17" t="s">
        <v>370</v>
      </c>
      <c r="C9" s="23">
        <f>countif(Constants!A:A,B9)</f>
        <v>1</v>
      </c>
      <c r="E9" s="57" t="str">
        <f t="shared" si="1"/>
        <v>link</v>
      </c>
      <c r="G9" s="43">
        <f t="shared" si="2"/>
        <v>1</v>
      </c>
      <c r="H9" s="21">
        <f>countif('v2022'!$A:$A,A9)</f>
        <v>1</v>
      </c>
      <c r="I9" s="21">
        <f>countif('v2018'!$A:$A,A9)</f>
        <v>0</v>
      </c>
      <c r="J9" s="21">
        <f>countif('v2014'!$A:$A,A9)</f>
        <v>0</v>
      </c>
      <c r="K9" s="21">
        <f>countif('v2010'!$A:$A,A9)</f>
        <v>0</v>
      </c>
      <c r="L9" s="21">
        <f>countif('v2006'!$A:$A,A9)</f>
        <v>0</v>
      </c>
      <c r="M9" s="21">
        <f>countif('v2002'!$A:$A,A9)</f>
        <v>0</v>
      </c>
      <c r="N9" s="21">
        <f>countif('v1998'!$A:$A,A9)</f>
        <v>0</v>
      </c>
    </row>
    <row r="10">
      <c r="A10" s="17" t="s">
        <v>1153</v>
      </c>
      <c r="B10" s="17" t="s">
        <v>44</v>
      </c>
      <c r="C10" s="23">
        <f>countif(Constants!A:A,B10)</f>
        <v>1</v>
      </c>
      <c r="E10" s="57" t="str">
        <f t="shared" si="1"/>
        <v>link</v>
      </c>
      <c r="G10" s="43">
        <f t="shared" si="2"/>
        <v>7</v>
      </c>
      <c r="H10" s="21">
        <f>countif('v2022'!$A:$A,A10)</f>
        <v>1</v>
      </c>
      <c r="I10" s="21">
        <f>countif('v2018'!$A:$A,A10)</f>
        <v>1</v>
      </c>
      <c r="J10" s="21">
        <f>countif('v2014'!$A:$A,A10)</f>
        <v>1</v>
      </c>
      <c r="K10" s="21">
        <f>countif('v2010'!$A:$A,A10)</f>
        <v>1</v>
      </c>
      <c r="L10" s="21">
        <f>countif('v2006'!$A:$A,A10)</f>
        <v>1</v>
      </c>
      <c r="M10" s="21">
        <f>countif('v2002'!$A:$A,A10)</f>
        <v>1</v>
      </c>
      <c r="N10" s="21">
        <f>countif('v1998'!$A:$A,A10)</f>
        <v>1</v>
      </c>
    </row>
    <row r="11">
      <c r="A11" s="17" t="s">
        <v>1171</v>
      </c>
      <c r="B11" s="17" t="s">
        <v>310</v>
      </c>
      <c r="C11" s="23">
        <f>countif(Constants!A:A,B11)</f>
        <v>1</v>
      </c>
      <c r="E11" s="57" t="str">
        <f t="shared" si="1"/>
        <v>link</v>
      </c>
      <c r="G11" s="43">
        <f t="shared" si="2"/>
        <v>7</v>
      </c>
      <c r="H11" s="21">
        <f>countif('v2022'!$A:$A,A11)</f>
        <v>1</v>
      </c>
      <c r="I11" s="21">
        <f>countif('v2018'!$A:$A,A11)</f>
        <v>1</v>
      </c>
      <c r="J11" s="21">
        <f>countif('v2014'!$A:$A,A11)</f>
        <v>1</v>
      </c>
      <c r="K11" s="21">
        <f>countif('v2010'!$A:$A,A11)</f>
        <v>1</v>
      </c>
      <c r="L11" s="21">
        <f>countif('v2006'!$A:$A,A11)</f>
        <v>1</v>
      </c>
      <c r="M11" s="21">
        <f>countif('v2002'!$A:$A,A11)</f>
        <v>1</v>
      </c>
      <c r="N11" s="21">
        <f>countif('v1998'!$A:$A,A11)</f>
        <v>1</v>
      </c>
    </row>
    <row r="12">
      <c r="A12" s="17" t="s">
        <v>399</v>
      </c>
      <c r="B12" s="17" t="s">
        <v>398</v>
      </c>
      <c r="C12" s="23">
        <f>countif(Constants!A:A,B12)</f>
        <v>1</v>
      </c>
      <c r="E12" s="57" t="str">
        <f t="shared" si="1"/>
        <v>link</v>
      </c>
      <c r="G12" s="43">
        <f t="shared" si="2"/>
        <v>7</v>
      </c>
      <c r="H12" s="21">
        <f>countif('v2022'!$A:$A,A12)</f>
        <v>1</v>
      </c>
      <c r="I12" s="21">
        <f>countif('v2018'!$A:$A,A12)</f>
        <v>1</v>
      </c>
      <c r="J12" s="21">
        <f>countif('v2014'!$A:$A,A12)</f>
        <v>1</v>
      </c>
      <c r="K12" s="21">
        <f>countif('v2010'!$A:$A,A12)</f>
        <v>1</v>
      </c>
      <c r="L12" s="21">
        <f>countif('v2006'!$A:$A,A12)</f>
        <v>1</v>
      </c>
      <c r="M12" s="21">
        <f>countif('v2002'!$A:$A,A12)</f>
        <v>1</v>
      </c>
      <c r="N12" s="21">
        <f>countif('v1998'!$A:$A,A12)</f>
        <v>1</v>
      </c>
    </row>
    <row r="13">
      <c r="A13" s="17" t="s">
        <v>431</v>
      </c>
      <c r="B13" s="17" t="s">
        <v>249</v>
      </c>
      <c r="C13" s="23">
        <f>countif(Constants!A:A,B13)</f>
        <v>1</v>
      </c>
      <c r="E13" s="57" t="str">
        <f t="shared" si="1"/>
        <v>link</v>
      </c>
      <c r="G13" s="43">
        <f t="shared" si="2"/>
        <v>7</v>
      </c>
      <c r="H13" s="21">
        <f>countif('v2022'!$A:$A,A13)</f>
        <v>1</v>
      </c>
      <c r="I13" s="21">
        <f>countif('v2018'!$A:$A,A13)</f>
        <v>1</v>
      </c>
      <c r="J13" s="21">
        <f>countif('v2014'!$A:$A,A13)</f>
        <v>1</v>
      </c>
      <c r="K13" s="21">
        <f>countif('v2010'!$A:$A,A13)</f>
        <v>1</v>
      </c>
      <c r="L13" s="21">
        <f>countif('v2006'!$A:$A,A13)</f>
        <v>1</v>
      </c>
      <c r="M13" s="21">
        <f>countif('v2002'!$A:$A,A13)</f>
        <v>1</v>
      </c>
      <c r="N13" s="21">
        <f>countif('v1998'!$A:$A,A13)</f>
        <v>1</v>
      </c>
    </row>
    <row r="14">
      <c r="A14" s="17" t="s">
        <v>619</v>
      </c>
      <c r="B14" s="17" t="s">
        <v>617</v>
      </c>
      <c r="C14" s="23">
        <f>countif(Constants!A:A,B14)</f>
        <v>1</v>
      </c>
      <c r="E14" s="57" t="str">
        <f t="shared" si="1"/>
        <v>link</v>
      </c>
      <c r="G14" s="43">
        <f t="shared" si="2"/>
        <v>7</v>
      </c>
      <c r="H14" s="21">
        <f>countif('v2022'!$A:$A,A14)</f>
        <v>1</v>
      </c>
      <c r="I14" s="21">
        <f>countif('v2018'!$A:$A,A14)</f>
        <v>1</v>
      </c>
      <c r="J14" s="21">
        <f>countif('v2014'!$A:$A,A14)</f>
        <v>1</v>
      </c>
      <c r="K14" s="21">
        <f>countif('v2010'!$A:$A,A14)</f>
        <v>1</v>
      </c>
      <c r="L14" s="21">
        <f>countif('v2006'!$A:$A,A14)</f>
        <v>1</v>
      </c>
      <c r="M14" s="21">
        <f>countif('v2002'!$A:$A,A14)</f>
        <v>1</v>
      </c>
      <c r="N14" s="21">
        <f>countif('v1998'!$A:$A,A14)</f>
        <v>1</v>
      </c>
    </row>
    <row r="15">
      <c r="A15" s="17" t="s">
        <v>453</v>
      </c>
      <c r="B15" s="17" t="s">
        <v>450</v>
      </c>
      <c r="C15" s="23">
        <f>countif(Constants!A:A,B15)</f>
        <v>1</v>
      </c>
      <c r="E15" s="57" t="str">
        <f t="shared" si="1"/>
        <v>link</v>
      </c>
      <c r="G15" s="43">
        <f t="shared" si="2"/>
        <v>7</v>
      </c>
      <c r="H15" s="21">
        <f>countif('v2022'!$A:$A,A15)</f>
        <v>1</v>
      </c>
      <c r="I15" s="21">
        <f>countif('v2018'!$A:$A,A15)</f>
        <v>1</v>
      </c>
      <c r="J15" s="21">
        <f>countif('v2014'!$A:$A,A15)</f>
        <v>1</v>
      </c>
      <c r="K15" s="21">
        <f>countif('v2010'!$A:$A,A15)</f>
        <v>1</v>
      </c>
      <c r="L15" s="21">
        <f>countif('v2006'!$A:$A,A15)</f>
        <v>1</v>
      </c>
      <c r="M15" s="21">
        <f>countif('v2002'!$A:$A,A15)</f>
        <v>1</v>
      </c>
      <c r="N15" s="21">
        <f>countif('v1998'!$A:$A,A15)</f>
        <v>1</v>
      </c>
    </row>
    <row r="16">
      <c r="A16" s="17" t="s">
        <v>1242</v>
      </c>
      <c r="B16" s="17" t="s">
        <v>473</v>
      </c>
      <c r="C16" s="23">
        <f>countif(Constants!A:A,B16)</f>
        <v>1</v>
      </c>
      <c r="E16" s="57" t="str">
        <f t="shared" si="1"/>
        <v>link</v>
      </c>
      <c r="G16" s="43">
        <f t="shared" si="2"/>
        <v>7</v>
      </c>
      <c r="H16" s="21">
        <f>countif('v2022'!$A:$A,A16)</f>
        <v>1</v>
      </c>
      <c r="I16" s="21">
        <f>countif('v2018'!$A:$A,A16)</f>
        <v>1</v>
      </c>
      <c r="J16" s="21">
        <f>countif('v2014'!$A:$A,A16)</f>
        <v>1</v>
      </c>
      <c r="K16" s="21">
        <f>countif('v2010'!$A:$A,A16)</f>
        <v>1</v>
      </c>
      <c r="L16" s="21">
        <f>countif('v2006'!$A:$A,A16)</f>
        <v>1</v>
      </c>
      <c r="M16" s="21">
        <f>countif('v2002'!$A:$A,A16)</f>
        <v>1</v>
      </c>
      <c r="N16" s="21">
        <f>countif('v1998'!$A:$A,A16)</f>
        <v>1</v>
      </c>
    </row>
    <row r="17">
      <c r="A17" s="17" t="s">
        <v>1272</v>
      </c>
      <c r="B17" s="17" t="s">
        <v>499</v>
      </c>
      <c r="C17" s="23">
        <f>countif(Constants!A:A,B17)</f>
        <v>1</v>
      </c>
      <c r="E17" s="57" t="str">
        <f t="shared" si="1"/>
        <v>link</v>
      </c>
      <c r="G17" s="43">
        <f t="shared" si="2"/>
        <v>7</v>
      </c>
      <c r="H17" s="21">
        <f>countif('v2022'!$A:$A,A17)</f>
        <v>1</v>
      </c>
      <c r="I17" s="21">
        <f>countif('v2018'!$A:$A,A17)</f>
        <v>1</v>
      </c>
      <c r="J17" s="21">
        <f>countif('v2014'!$A:$A,A17)</f>
        <v>1</v>
      </c>
      <c r="K17" s="21">
        <f>countif('v2010'!$A:$A,A17)</f>
        <v>1</v>
      </c>
      <c r="L17" s="21">
        <f>countif('v2006'!$A:$A,A17)</f>
        <v>1</v>
      </c>
      <c r="M17" s="21">
        <f>countif('v2002'!$A:$A,A17)</f>
        <v>1</v>
      </c>
      <c r="N17" s="21">
        <f>countif('v1998'!$A:$A,A17)</f>
        <v>1</v>
      </c>
    </row>
    <row r="18">
      <c r="A18" s="17" t="s">
        <v>1288</v>
      </c>
      <c r="B18" s="17" t="s">
        <v>524</v>
      </c>
      <c r="C18" s="23">
        <f>countif(Constants!A:A,B18)</f>
        <v>1</v>
      </c>
      <c r="E18" s="57" t="str">
        <f t="shared" si="1"/>
        <v>link</v>
      </c>
      <c r="G18" s="43">
        <f t="shared" si="2"/>
        <v>7</v>
      </c>
      <c r="H18" s="21">
        <f>countif('v2022'!$A:$A,A18)</f>
        <v>1</v>
      </c>
      <c r="I18" s="21">
        <f>countif('v2018'!$A:$A,A18)</f>
        <v>1</v>
      </c>
      <c r="J18" s="21">
        <f>countif('v2014'!$A:$A,A18)</f>
        <v>1</v>
      </c>
      <c r="K18" s="21">
        <f>countif('v2010'!$A:$A,A18)</f>
        <v>1</v>
      </c>
      <c r="L18" s="21">
        <f>countif('v2006'!$A:$A,A18)</f>
        <v>1</v>
      </c>
      <c r="M18" s="21">
        <f>countif('v2002'!$A:$A,A18)</f>
        <v>1</v>
      </c>
      <c r="N18" s="21">
        <f>countif('v1998'!$A:$A,A18)</f>
        <v>1</v>
      </c>
    </row>
    <row r="19">
      <c r="A19" s="17" t="s">
        <v>1312</v>
      </c>
      <c r="B19" s="17" t="s">
        <v>557</v>
      </c>
      <c r="C19" s="23">
        <f>countif(Constants!A:A,B19)</f>
        <v>1</v>
      </c>
      <c r="E19" s="57" t="str">
        <f t="shared" si="1"/>
        <v>link</v>
      </c>
      <c r="G19" s="43">
        <f t="shared" si="2"/>
        <v>7</v>
      </c>
      <c r="H19" s="21">
        <f>countif('v2022'!$A:$A,A19)</f>
        <v>1</v>
      </c>
      <c r="I19" s="21">
        <f>countif('v2018'!$A:$A,A19)</f>
        <v>1</v>
      </c>
      <c r="J19" s="21">
        <f>countif('v2014'!$A:$A,A19)</f>
        <v>1</v>
      </c>
      <c r="K19" s="21">
        <f>countif('v2010'!$A:$A,A19)</f>
        <v>1</v>
      </c>
      <c r="L19" s="21">
        <f>countif('v2006'!$A:$A,A19)</f>
        <v>1</v>
      </c>
      <c r="M19" s="21">
        <f>countif('v2002'!$A:$A,A19)</f>
        <v>1</v>
      </c>
      <c r="N19" s="21">
        <f>countif('v1998'!$A:$A,A19)</f>
        <v>1</v>
      </c>
    </row>
    <row r="20">
      <c r="A20" s="17" t="s">
        <v>1324</v>
      </c>
      <c r="B20" s="17" t="s">
        <v>582</v>
      </c>
      <c r="C20" s="23">
        <f>countif(Constants!A:A,B20)</f>
        <v>1</v>
      </c>
      <c r="E20" s="57" t="str">
        <f t="shared" si="1"/>
        <v>link</v>
      </c>
      <c r="G20" s="43">
        <f t="shared" si="2"/>
        <v>7</v>
      </c>
      <c r="H20" s="21">
        <f>countif('v2022'!$A:$A,A20)</f>
        <v>1</v>
      </c>
      <c r="I20" s="21">
        <f>countif('v2018'!$A:$A,A20)</f>
        <v>1</v>
      </c>
      <c r="J20" s="21">
        <f>countif('v2014'!$A:$A,A20)</f>
        <v>1</v>
      </c>
      <c r="K20" s="21">
        <f>countif('v2010'!$A:$A,A20)</f>
        <v>1</v>
      </c>
      <c r="L20" s="21">
        <f>countif('v2006'!$A:$A,A20)</f>
        <v>1</v>
      </c>
      <c r="M20" s="21">
        <f>countif('v2002'!$A:$A,A20)</f>
        <v>1</v>
      </c>
      <c r="N20" s="21">
        <f>countif('v1998'!$A:$A,A20)</f>
        <v>1</v>
      </c>
    </row>
    <row r="21">
      <c r="A21" s="17" t="s">
        <v>1338</v>
      </c>
      <c r="B21" s="17" t="s">
        <v>633</v>
      </c>
      <c r="C21" s="23">
        <f>countif(Constants!A:A,B21)</f>
        <v>1</v>
      </c>
      <c r="E21" s="57" t="str">
        <f t="shared" si="1"/>
        <v>link</v>
      </c>
      <c r="G21" s="43">
        <f t="shared" si="2"/>
        <v>7</v>
      </c>
      <c r="H21" s="21">
        <f>countif('v2022'!$A:$A,A21)</f>
        <v>1</v>
      </c>
      <c r="I21" s="21">
        <f>countif('v2018'!$A:$A,A21)</f>
        <v>1</v>
      </c>
      <c r="J21" s="21">
        <f>countif('v2014'!$A:$A,A21)</f>
        <v>1</v>
      </c>
      <c r="K21" s="21">
        <f>countif('v2010'!$A:$A,A21)</f>
        <v>1</v>
      </c>
      <c r="L21" s="21">
        <f>countif('v2006'!$A:$A,A21)</f>
        <v>1</v>
      </c>
      <c r="M21" s="21">
        <f>countif('v2002'!$A:$A,A21)</f>
        <v>1</v>
      </c>
      <c r="N21" s="21">
        <f>countif('v1998'!$A:$A,A21)</f>
        <v>1</v>
      </c>
    </row>
    <row r="22">
      <c r="A22" s="17" t="s">
        <v>1349</v>
      </c>
      <c r="B22" s="17" t="s">
        <v>649</v>
      </c>
      <c r="C22" s="23">
        <f>countif(Constants!A:A,B22)</f>
        <v>1</v>
      </c>
      <c r="E22" s="57" t="str">
        <f t="shared" si="1"/>
        <v>link</v>
      </c>
      <c r="G22" s="43">
        <f t="shared" si="2"/>
        <v>7</v>
      </c>
      <c r="H22" s="21">
        <f>countif('v2022'!$A:$A,A22)</f>
        <v>1</v>
      </c>
      <c r="I22" s="21">
        <f>countif('v2018'!$A:$A,A22)</f>
        <v>1</v>
      </c>
      <c r="J22" s="21">
        <f>countif('v2014'!$A:$A,A22)</f>
        <v>1</v>
      </c>
      <c r="K22" s="21">
        <f>countif('v2010'!$A:$A,A22)</f>
        <v>1</v>
      </c>
      <c r="L22" s="21">
        <f>countif('v2006'!$A:$A,A22)</f>
        <v>1</v>
      </c>
      <c r="M22" s="21">
        <f>countif('v2002'!$A:$A,A22)</f>
        <v>1</v>
      </c>
      <c r="N22" s="21">
        <f>countif('v1998'!$A:$A,A22)</f>
        <v>1</v>
      </c>
    </row>
    <row r="23">
      <c r="A23" s="17" t="s">
        <v>1364</v>
      </c>
      <c r="B23" s="17" t="s">
        <v>673</v>
      </c>
      <c r="C23" s="23">
        <f>countif(Constants!A:A,B23)</f>
        <v>1</v>
      </c>
      <c r="E23" s="57" t="str">
        <f t="shared" si="1"/>
        <v>link</v>
      </c>
      <c r="G23" s="43">
        <f t="shared" si="2"/>
        <v>7</v>
      </c>
      <c r="H23" s="21">
        <f>countif('v2022'!$A:$A,A23)</f>
        <v>1</v>
      </c>
      <c r="I23" s="21">
        <f>countif('v2018'!$A:$A,A23)</f>
        <v>1</v>
      </c>
      <c r="J23" s="21">
        <f>countif('v2014'!$A:$A,A23)</f>
        <v>1</v>
      </c>
      <c r="K23" s="21">
        <f>countif('v2010'!$A:$A,A23)</f>
        <v>1</v>
      </c>
      <c r="L23" s="21">
        <f>countif('v2006'!$A:$A,A23)</f>
        <v>1</v>
      </c>
      <c r="M23" s="21">
        <f>countif('v2002'!$A:$A,A23)</f>
        <v>1</v>
      </c>
      <c r="N23" s="21">
        <f>countif('v1998'!$A:$A,A23)</f>
        <v>1</v>
      </c>
    </row>
    <row r="24">
      <c r="A24" s="17" t="s">
        <v>1378</v>
      </c>
      <c r="B24" s="17" t="s">
        <v>695</v>
      </c>
      <c r="C24" s="23">
        <f>countif(Constants!A:A,B24)</f>
        <v>1</v>
      </c>
      <c r="E24" s="57" t="str">
        <f t="shared" si="1"/>
        <v>link</v>
      </c>
      <c r="G24" s="43">
        <f t="shared" si="2"/>
        <v>7</v>
      </c>
      <c r="H24" s="21">
        <f>countif('v2022'!$A:$A,A24)</f>
        <v>1</v>
      </c>
      <c r="I24" s="21">
        <f>countif('v2018'!$A:$A,A24)</f>
        <v>1</v>
      </c>
      <c r="J24" s="21">
        <f>countif('v2014'!$A:$A,A24)</f>
        <v>1</v>
      </c>
      <c r="K24" s="21">
        <f>countif('v2010'!$A:$A,A24)</f>
        <v>1</v>
      </c>
      <c r="L24" s="21">
        <f>countif('v2006'!$A:$A,A24)</f>
        <v>1</v>
      </c>
      <c r="M24" s="21">
        <f>countif('v2002'!$A:$A,A24)</f>
        <v>1</v>
      </c>
      <c r="N24" s="21">
        <f>countif('v1998'!$A:$A,A24)</f>
        <v>1</v>
      </c>
    </row>
    <row r="25">
      <c r="A25" s="17" t="s">
        <v>712</v>
      </c>
      <c r="B25" s="17" t="s">
        <v>711</v>
      </c>
      <c r="C25" s="23">
        <f>countif(Constants!A:A,B25)</f>
        <v>1</v>
      </c>
      <c r="E25" s="57" t="str">
        <f t="shared" si="1"/>
        <v>link</v>
      </c>
      <c r="G25" s="43">
        <f t="shared" si="2"/>
        <v>7</v>
      </c>
      <c r="H25" s="21">
        <f>countif('v2022'!$A:$A,A25)</f>
        <v>1</v>
      </c>
      <c r="I25" s="21">
        <f>countif('v2018'!$A:$A,A25)</f>
        <v>1</v>
      </c>
      <c r="J25" s="21">
        <f>countif('v2014'!$A:$A,A25)</f>
        <v>1</v>
      </c>
      <c r="K25" s="21">
        <f>countif('v2010'!$A:$A,A25)</f>
        <v>1</v>
      </c>
      <c r="L25" s="21">
        <f>countif('v2006'!$A:$A,A25)</f>
        <v>1</v>
      </c>
      <c r="M25" s="21">
        <f>countif('v2002'!$A:$A,A25)</f>
        <v>1</v>
      </c>
      <c r="N25" s="21">
        <f>countif('v1998'!$A:$A,A25)</f>
        <v>1</v>
      </c>
    </row>
    <row r="26">
      <c r="A26" s="17" t="s">
        <v>729</v>
      </c>
      <c r="B26" s="17" t="s">
        <v>728</v>
      </c>
      <c r="C26" s="23">
        <f>countif(Constants!A:A,B26)</f>
        <v>2</v>
      </c>
      <c r="E26" s="57" t="str">
        <f t="shared" si="1"/>
        <v>link</v>
      </c>
      <c r="G26" s="43">
        <f t="shared" si="2"/>
        <v>4</v>
      </c>
      <c r="H26" s="21">
        <f>countif('v2022'!$A:$A,A26)</f>
        <v>1</v>
      </c>
      <c r="I26" s="21">
        <f>countif('v2018'!$A:$A,A26)</f>
        <v>1</v>
      </c>
      <c r="J26" s="21">
        <f>countif('v2014'!$A:$A,A26)</f>
        <v>1</v>
      </c>
      <c r="K26" s="21">
        <f>countif('v2010'!$A:$A,A26)</f>
        <v>1</v>
      </c>
      <c r="L26" s="21">
        <f>countif('v2006'!$A:$A,A26)</f>
        <v>0</v>
      </c>
      <c r="M26" s="21">
        <f>countif('v2002'!$A:$A,A26)</f>
        <v>0</v>
      </c>
      <c r="N26" s="21">
        <f>countif('v1998'!$A:$A,A26)</f>
        <v>0</v>
      </c>
    </row>
    <row r="27">
      <c r="A27" s="17" t="s">
        <v>742</v>
      </c>
      <c r="B27" s="17" t="s">
        <v>739</v>
      </c>
      <c r="C27" s="23">
        <f>countif(Constants!A:A,B27)</f>
        <v>1</v>
      </c>
      <c r="E27" s="57" t="str">
        <f t="shared" si="1"/>
        <v>link</v>
      </c>
      <c r="G27" s="43">
        <f t="shared" si="2"/>
        <v>7</v>
      </c>
      <c r="H27" s="21">
        <f>countif('v2022'!$A:$A,A27)</f>
        <v>1</v>
      </c>
      <c r="I27" s="21">
        <f>countif('v2018'!$A:$A,A27)</f>
        <v>1</v>
      </c>
      <c r="J27" s="21">
        <f>countif('v2014'!$A:$A,A27)</f>
        <v>1</v>
      </c>
      <c r="K27" s="21">
        <f>countif('v2010'!$A:$A,A27)</f>
        <v>1</v>
      </c>
      <c r="L27" s="21">
        <f>countif('v2006'!$A:$A,A27)</f>
        <v>1</v>
      </c>
      <c r="M27" s="21">
        <f>countif('v2002'!$A:$A,A27)</f>
        <v>1</v>
      </c>
      <c r="N27" s="21">
        <f>countif('v1998'!$A:$A,A27)</f>
        <v>1</v>
      </c>
    </row>
    <row r="28">
      <c r="A28" s="17" t="s">
        <v>756</v>
      </c>
      <c r="B28" s="17" t="s">
        <v>755</v>
      </c>
      <c r="C28" s="23">
        <f>countif(Constants!A:A,B28)</f>
        <v>1</v>
      </c>
      <c r="E28" s="57" t="str">
        <f t="shared" si="1"/>
        <v>link</v>
      </c>
      <c r="G28" s="43">
        <f t="shared" si="2"/>
        <v>7</v>
      </c>
      <c r="H28" s="21">
        <f>countif('v2022'!$A:$A,A28)</f>
        <v>1</v>
      </c>
      <c r="I28" s="21">
        <f>countif('v2018'!$A:$A,A28)</f>
        <v>1</v>
      </c>
      <c r="J28" s="21">
        <f>countif('v2014'!$A:$A,A28)</f>
        <v>1</v>
      </c>
      <c r="K28" s="21">
        <f>countif('v2010'!$A:$A,A28)</f>
        <v>1</v>
      </c>
      <c r="L28" s="21">
        <f>countif('v2006'!$A:$A,A28)</f>
        <v>1</v>
      </c>
      <c r="M28" s="21">
        <f>countif('v2002'!$A:$A,A28)</f>
        <v>1</v>
      </c>
      <c r="N28" s="21">
        <f>countif('v1998'!$A:$A,A28)</f>
        <v>1</v>
      </c>
    </row>
    <row r="29">
      <c r="A29" s="17" t="s">
        <v>1420</v>
      </c>
      <c r="B29" s="17" t="s">
        <v>768</v>
      </c>
      <c r="C29" s="23">
        <f>countif(Constants!A:A,B29)</f>
        <v>1</v>
      </c>
      <c r="E29" s="57" t="str">
        <f t="shared" si="1"/>
        <v>link</v>
      </c>
      <c r="G29" s="43">
        <f t="shared" si="2"/>
        <v>4</v>
      </c>
      <c r="H29" s="21">
        <f>countif('v2022'!$A:$A,A29)</f>
        <v>1</v>
      </c>
      <c r="I29" s="21">
        <f>countif('v2018'!$A:$A,A29)</f>
        <v>1</v>
      </c>
      <c r="J29" s="21">
        <f>countif('v2014'!$A:$A,A29)</f>
        <v>1</v>
      </c>
      <c r="K29" s="21">
        <f>countif('v2010'!$A:$A,A29)</f>
        <v>1</v>
      </c>
      <c r="L29" s="21">
        <f>countif('v2006'!$A:$A,A29)</f>
        <v>0</v>
      </c>
      <c r="M29" s="21">
        <f>countif('v2002'!$A:$A,A29)</f>
        <v>0</v>
      </c>
      <c r="N29" s="21">
        <f>countif('v1998'!$A:$A,A29)</f>
        <v>0</v>
      </c>
    </row>
    <row r="30">
      <c r="A30" s="17" t="s">
        <v>770</v>
      </c>
      <c r="B30" s="17" t="s">
        <v>768</v>
      </c>
      <c r="C30" s="23">
        <f>countif(Constants!A:A,B30)</f>
        <v>1</v>
      </c>
      <c r="E30" s="57" t="str">
        <f t="shared" si="1"/>
        <v>link</v>
      </c>
      <c r="G30" s="43">
        <f t="shared" si="2"/>
        <v>3</v>
      </c>
      <c r="H30" s="21">
        <f>countif('v2022'!$A:$A,A30)</f>
        <v>0</v>
      </c>
      <c r="I30" s="21">
        <f>countif('v2018'!$A:$A,A30)</f>
        <v>0</v>
      </c>
      <c r="J30" s="21">
        <f>countif('v2014'!$A:$A,A30)</f>
        <v>0</v>
      </c>
      <c r="K30" s="21">
        <f>countif('v2010'!$A:$A,A30)</f>
        <v>0</v>
      </c>
      <c r="L30" s="21">
        <f>countif('v2006'!$A:$A,A30)</f>
        <v>1</v>
      </c>
      <c r="M30" s="21">
        <f>countif('v2002'!$A:$A,A30)</f>
        <v>1</v>
      </c>
      <c r="N30" s="21">
        <f>countif('v1998'!$A:$A,A30)</f>
        <v>1</v>
      </c>
    </row>
    <row r="31">
      <c r="A31" s="17" t="s">
        <v>787</v>
      </c>
      <c r="B31" s="17" t="s">
        <v>785</v>
      </c>
      <c r="C31" s="23">
        <f>countif(Constants!A:A,B31)</f>
        <v>1</v>
      </c>
      <c r="E31" s="57" t="str">
        <f t="shared" si="1"/>
        <v>link</v>
      </c>
      <c r="G31" s="43">
        <f t="shared" si="2"/>
        <v>7</v>
      </c>
      <c r="H31" s="21">
        <f>countif('v2022'!$A:$A,A31)</f>
        <v>1</v>
      </c>
      <c r="I31" s="21">
        <f>countif('v2018'!$A:$A,A31)</f>
        <v>1</v>
      </c>
      <c r="J31" s="21">
        <f>countif('v2014'!$A:$A,A31)</f>
        <v>1</v>
      </c>
      <c r="K31" s="21">
        <f>countif('v2010'!$A:$A,A31)</f>
        <v>1</v>
      </c>
      <c r="L31" s="21">
        <f>countif('v2006'!$A:$A,A31)</f>
        <v>1</v>
      </c>
      <c r="M31" s="21">
        <f>countif('v2002'!$A:$A,A31)</f>
        <v>1</v>
      </c>
      <c r="N31" s="21">
        <f>countif('v1998'!$A:$A,A31)</f>
        <v>1</v>
      </c>
    </row>
    <row r="32">
      <c r="A32" s="17" t="s">
        <v>810</v>
      </c>
      <c r="B32" s="17" t="s">
        <v>809</v>
      </c>
      <c r="C32" s="23">
        <f>countif(Constants!A:A,B32)</f>
        <v>1</v>
      </c>
      <c r="E32" s="57" t="str">
        <f t="shared" si="1"/>
        <v>link</v>
      </c>
      <c r="G32" s="43">
        <f t="shared" si="2"/>
        <v>7</v>
      </c>
      <c r="H32" s="21">
        <f>countif('v2022'!$A:$A,A32)</f>
        <v>1</v>
      </c>
      <c r="I32" s="21">
        <f>countif('v2018'!$A:$A,A32)</f>
        <v>1</v>
      </c>
      <c r="J32" s="21">
        <f>countif('v2014'!$A:$A,A32)</f>
        <v>1</v>
      </c>
      <c r="K32" s="21">
        <f>countif('v2010'!$A:$A,A32)</f>
        <v>1</v>
      </c>
      <c r="L32" s="21">
        <f>countif('v2006'!$A:$A,A32)</f>
        <v>1</v>
      </c>
      <c r="M32" s="21">
        <f>countif('v2002'!$A:$A,A32)</f>
        <v>1</v>
      </c>
      <c r="N32" s="21">
        <f>countif('v1998'!$A:$A,A32)</f>
        <v>1</v>
      </c>
    </row>
    <row r="33">
      <c r="A33" s="17" t="s">
        <v>833</v>
      </c>
      <c r="B33" s="17" t="s">
        <v>832</v>
      </c>
      <c r="C33" s="23">
        <f>countif(Constants!A:A,B33)</f>
        <v>1</v>
      </c>
      <c r="E33" s="57" t="str">
        <f t="shared" si="1"/>
        <v>link</v>
      </c>
      <c r="G33" s="43">
        <f t="shared" si="2"/>
        <v>7</v>
      </c>
      <c r="H33" s="21">
        <f>countif('v2022'!$A:$A,A33)</f>
        <v>1</v>
      </c>
      <c r="I33" s="21">
        <f>countif('v2018'!$A:$A,A33)</f>
        <v>1</v>
      </c>
      <c r="J33" s="21">
        <f>countif('v2014'!$A:$A,A33)</f>
        <v>1</v>
      </c>
      <c r="K33" s="21">
        <f>countif('v2010'!$A:$A,A33)</f>
        <v>1</v>
      </c>
      <c r="L33" s="21">
        <f>countif('v2006'!$A:$A,A33)</f>
        <v>1</v>
      </c>
      <c r="M33" s="21">
        <f>countif('v2002'!$A:$A,A33)</f>
        <v>1</v>
      </c>
      <c r="N33" s="21">
        <f>countif('v1998'!$A:$A,A33)</f>
        <v>1</v>
      </c>
    </row>
    <row r="34">
      <c r="A34" s="17" t="s">
        <v>858</v>
      </c>
      <c r="B34" s="17" t="s">
        <v>857</v>
      </c>
      <c r="C34" s="23">
        <f>countif(Constants!A:A,B34)</f>
        <v>1</v>
      </c>
      <c r="E34" s="57" t="str">
        <f t="shared" si="1"/>
        <v>link</v>
      </c>
      <c r="G34" s="43">
        <f t="shared" si="2"/>
        <v>7</v>
      </c>
      <c r="H34" s="21">
        <f>countif('v2022'!$A:$A,A34)</f>
        <v>1</v>
      </c>
      <c r="I34" s="21">
        <f>countif('v2018'!$A:$A,A34)</f>
        <v>1</v>
      </c>
      <c r="J34" s="21">
        <f>countif('v2014'!$A:$A,A34)</f>
        <v>1</v>
      </c>
      <c r="K34" s="21">
        <f>countif('v2010'!$A:$A,A34)</f>
        <v>1</v>
      </c>
      <c r="L34" s="21">
        <f>countif('v2006'!$A:$A,A34)</f>
        <v>1</v>
      </c>
      <c r="M34" s="21">
        <f>countif('v2002'!$A:$A,A34)</f>
        <v>1</v>
      </c>
      <c r="N34" s="21">
        <f>countif('v1998'!$A:$A,A34)</f>
        <v>1</v>
      </c>
    </row>
    <row r="35">
      <c r="A35" s="17" t="s">
        <v>1470</v>
      </c>
      <c r="B35" s="17" t="s">
        <v>881</v>
      </c>
      <c r="C35" s="23">
        <f>countif(Constants!A:A,B35)</f>
        <v>1</v>
      </c>
      <c r="E35" s="57" t="str">
        <f t="shared" si="1"/>
        <v>link</v>
      </c>
      <c r="G35" s="43">
        <f t="shared" si="2"/>
        <v>4</v>
      </c>
      <c r="H35" s="21">
        <f>countif('v2022'!$A:$A,A35)</f>
        <v>1</v>
      </c>
      <c r="I35" s="21">
        <f>countif('v2018'!$A:$A,A35)</f>
        <v>1</v>
      </c>
      <c r="J35" s="21">
        <f>countif('v2014'!$A:$A,A35)</f>
        <v>1</v>
      </c>
      <c r="K35" s="21">
        <f>countif('v2010'!$A:$A,A35)</f>
        <v>1</v>
      </c>
      <c r="L35" s="21">
        <f>countif('v2006'!$A:$A,A35)</f>
        <v>0</v>
      </c>
      <c r="M35" s="21">
        <f>countif('v2002'!$A:$A,A35)</f>
        <v>0</v>
      </c>
      <c r="N35" s="21">
        <f>countif('v1998'!$A:$A,A35)</f>
        <v>0</v>
      </c>
    </row>
    <row r="36">
      <c r="A36" s="17" t="s">
        <v>882</v>
      </c>
      <c r="B36" s="17" t="s">
        <v>881</v>
      </c>
      <c r="C36" s="23">
        <f>countif(Constants!A:A,B36)</f>
        <v>1</v>
      </c>
      <c r="E36" s="57" t="str">
        <f t="shared" si="1"/>
        <v>link</v>
      </c>
      <c r="G36" s="43">
        <f t="shared" si="2"/>
        <v>3</v>
      </c>
      <c r="H36" s="21">
        <f>countif('v2022'!$A:$A,A36)</f>
        <v>0</v>
      </c>
      <c r="I36" s="21">
        <f>countif('v2018'!$A:$A,A36)</f>
        <v>0</v>
      </c>
      <c r="J36" s="21">
        <f>countif('v2014'!$A:$A,A36)</f>
        <v>0</v>
      </c>
      <c r="K36" s="21">
        <f>countif('v2010'!$A:$A,A36)</f>
        <v>0</v>
      </c>
      <c r="L36" s="21">
        <f>countif('v2006'!$A:$A,A36)</f>
        <v>1</v>
      </c>
      <c r="M36" s="21">
        <f>countif('v2002'!$A:$A,A36)</f>
        <v>1</v>
      </c>
      <c r="N36" s="21">
        <f>countif('v1998'!$A:$A,A36)</f>
        <v>1</v>
      </c>
    </row>
    <row r="37">
      <c r="A37" s="17" t="s">
        <v>901</v>
      </c>
      <c r="B37" s="17" t="s">
        <v>900</v>
      </c>
      <c r="C37" s="23">
        <f>countif(Constants!A:A,B37)</f>
        <v>1</v>
      </c>
      <c r="E37" s="57" t="str">
        <f t="shared" si="1"/>
        <v>link</v>
      </c>
      <c r="G37" s="43">
        <f t="shared" si="2"/>
        <v>7</v>
      </c>
      <c r="H37" s="21">
        <f>countif('v2022'!$A:$A,A37)</f>
        <v>1</v>
      </c>
      <c r="I37" s="21">
        <f>countif('v2018'!$A:$A,A37)</f>
        <v>1</v>
      </c>
      <c r="J37" s="21">
        <f>countif('v2014'!$A:$A,A37)</f>
        <v>1</v>
      </c>
      <c r="K37" s="21">
        <f>countif('v2010'!$A:$A,A37)</f>
        <v>1</v>
      </c>
      <c r="L37" s="21">
        <f>countif('v2006'!$A:$A,A37)</f>
        <v>1</v>
      </c>
      <c r="M37" s="21">
        <f>countif('v2002'!$A:$A,A37)</f>
        <v>1</v>
      </c>
      <c r="N37" s="21">
        <f>countif('v1998'!$A:$A,A37)</f>
        <v>1</v>
      </c>
    </row>
    <row r="38">
      <c r="A38" s="17" t="s">
        <v>921</v>
      </c>
      <c r="B38" s="17" t="s">
        <v>920</v>
      </c>
      <c r="C38" s="23">
        <f>countif(Constants!A:A,B38)</f>
        <v>1</v>
      </c>
      <c r="E38" s="57" t="str">
        <f t="shared" si="1"/>
        <v>link</v>
      </c>
      <c r="G38" s="43">
        <f t="shared" si="2"/>
        <v>7</v>
      </c>
      <c r="H38" s="21">
        <f>countif('v2022'!$A:$A,A38)</f>
        <v>1</v>
      </c>
      <c r="I38" s="21">
        <f>countif('v2018'!$A:$A,A38)</f>
        <v>1</v>
      </c>
      <c r="J38" s="21">
        <f>countif('v2014'!$A:$A,A38)</f>
        <v>1</v>
      </c>
      <c r="K38" s="21">
        <f>countif('v2010'!$A:$A,A38)</f>
        <v>1</v>
      </c>
      <c r="L38" s="21">
        <f>countif('v2006'!$A:$A,A38)</f>
        <v>1</v>
      </c>
      <c r="M38" s="21">
        <f>countif('v2002'!$A:$A,A38)</f>
        <v>1</v>
      </c>
      <c r="N38" s="21">
        <f>countif('v1998'!$A:$A,A38)</f>
        <v>1</v>
      </c>
    </row>
    <row r="39">
      <c r="A39" s="17" t="s">
        <v>940</v>
      </c>
      <c r="B39" s="17" t="s">
        <v>937</v>
      </c>
      <c r="C39" s="23">
        <f>countif(Constants!A:A,B39)</f>
        <v>1</v>
      </c>
      <c r="E39" s="57" t="str">
        <f t="shared" si="1"/>
        <v>link</v>
      </c>
      <c r="G39" s="43">
        <f t="shared" si="2"/>
        <v>7</v>
      </c>
      <c r="H39" s="21">
        <f>countif('v2022'!$A:$A,A39)</f>
        <v>1</v>
      </c>
      <c r="I39" s="21">
        <f>countif('v2018'!$A:$A,A39)</f>
        <v>1</v>
      </c>
      <c r="J39" s="21">
        <f>countif('v2014'!$A:$A,A39)</f>
        <v>1</v>
      </c>
      <c r="K39" s="21">
        <f>countif('v2010'!$A:$A,A39)</f>
        <v>1</v>
      </c>
      <c r="L39" s="21">
        <f>countif('v2006'!$A:$A,A39)</f>
        <v>1</v>
      </c>
      <c r="M39" s="21">
        <f>countif('v2002'!$A:$A,A39)</f>
        <v>1</v>
      </c>
      <c r="N39" s="21">
        <f>countif('v1998'!$A:$A,A39)</f>
        <v>1</v>
      </c>
    </row>
    <row r="40">
      <c r="A40" s="17" t="s">
        <v>1517</v>
      </c>
      <c r="B40" s="17" t="s">
        <v>960</v>
      </c>
      <c r="C40" s="23">
        <f>countif(Constants!A:A,B40)</f>
        <v>1</v>
      </c>
      <c r="E40" s="57" t="str">
        <f t="shared" si="1"/>
        <v>link</v>
      </c>
      <c r="G40" s="43">
        <f t="shared" si="2"/>
        <v>4</v>
      </c>
      <c r="H40" s="21">
        <f>countif('v2022'!$A:$A,A40)</f>
        <v>1</v>
      </c>
      <c r="I40" s="21">
        <f>countif('v2018'!$A:$A,A40)</f>
        <v>1</v>
      </c>
      <c r="J40" s="21">
        <f>countif('v2014'!$A:$A,A40)</f>
        <v>1</v>
      </c>
      <c r="K40" s="21">
        <f>countif('v2010'!$A:$A,A40)</f>
        <v>1</v>
      </c>
      <c r="L40" s="21">
        <f>countif('v2006'!$A:$A,A40)</f>
        <v>0</v>
      </c>
      <c r="M40" s="21">
        <f>countif('v2002'!$A:$A,A40)</f>
        <v>0</v>
      </c>
      <c r="N40" s="21">
        <f>countif('v1998'!$A:$A,A40)</f>
        <v>0</v>
      </c>
    </row>
    <row r="41">
      <c r="A41" s="17" t="s">
        <v>979</v>
      </c>
      <c r="B41" s="17" t="s">
        <v>978</v>
      </c>
      <c r="C41" s="23">
        <f>countif(Constants!A:A,B41)</f>
        <v>1</v>
      </c>
      <c r="E41" s="57" t="str">
        <f t="shared" si="1"/>
        <v>link</v>
      </c>
      <c r="G41" s="43">
        <f t="shared" si="2"/>
        <v>4</v>
      </c>
      <c r="H41" s="21">
        <f>countif('v2022'!$A:$A,A41)</f>
        <v>1</v>
      </c>
      <c r="I41" s="21">
        <f>countif('v2018'!$A:$A,A41)</f>
        <v>1</v>
      </c>
      <c r="J41" s="21">
        <f>countif('v2014'!$A:$A,A41)</f>
        <v>1</v>
      </c>
      <c r="K41" s="21">
        <f>countif('v2010'!$A:$A,A41)</f>
        <v>1</v>
      </c>
      <c r="L41" s="21">
        <f>countif('v2006'!$A:$A,A41)</f>
        <v>0</v>
      </c>
      <c r="M41" s="21">
        <f>countif('v2002'!$A:$A,A41)</f>
        <v>0</v>
      </c>
      <c r="N41" s="21">
        <f>countif('v1998'!$A:$A,A41)</f>
        <v>0</v>
      </c>
    </row>
    <row r="42">
      <c r="A42" s="17" t="s">
        <v>962</v>
      </c>
      <c r="B42" s="17" t="s">
        <v>960</v>
      </c>
      <c r="C42" s="23">
        <f>countif(Constants!A:A,B42)</f>
        <v>1</v>
      </c>
      <c r="E42" s="57" t="str">
        <f t="shared" si="1"/>
        <v>link</v>
      </c>
      <c r="G42" s="43">
        <f t="shared" si="2"/>
        <v>3</v>
      </c>
      <c r="H42" s="21">
        <f>countif('v2022'!$A:$A,A42)</f>
        <v>0</v>
      </c>
      <c r="I42" s="21">
        <f>countif('v2018'!$A:$A,A42)</f>
        <v>0</v>
      </c>
      <c r="J42" s="21">
        <f>countif('v2014'!$A:$A,A42)</f>
        <v>0</v>
      </c>
      <c r="K42" s="21">
        <f>countif('v2010'!$A:$A,A42)</f>
        <v>0</v>
      </c>
      <c r="L42" s="21">
        <f>countif('v2006'!$A:$A,A42)</f>
        <v>1</v>
      </c>
      <c r="M42" s="21">
        <f>countif('v2002'!$A:$A,A42)</f>
        <v>1</v>
      </c>
      <c r="N42" s="21">
        <f>countif('v1998'!$A:$A,A42)</f>
        <v>1</v>
      </c>
    </row>
    <row r="43">
      <c r="A43" s="17" t="s">
        <v>1547</v>
      </c>
      <c r="B43" s="17" t="s">
        <v>978</v>
      </c>
      <c r="C43" s="23">
        <f>countif(Constants!A:A,B43)</f>
        <v>1</v>
      </c>
      <c r="E43" s="57" t="str">
        <f t="shared" si="1"/>
        <v>link</v>
      </c>
      <c r="G43" s="43">
        <f t="shared" si="2"/>
        <v>3</v>
      </c>
      <c r="H43" s="21">
        <f>countif('v2022'!$A:$A,A43)</f>
        <v>0</v>
      </c>
      <c r="I43" s="21">
        <f>countif('v2018'!$A:$A,A43)</f>
        <v>0</v>
      </c>
      <c r="J43" s="21">
        <f>countif('v2014'!$A:$A,A43)</f>
        <v>0</v>
      </c>
      <c r="K43" s="21">
        <f>countif('v2010'!$A:$A,A43)</f>
        <v>0</v>
      </c>
      <c r="L43" s="21">
        <f>countif('v2006'!$A:$A,A43)</f>
        <v>1</v>
      </c>
      <c r="M43" s="21">
        <f>countif('v2002'!$A:$A,A43)</f>
        <v>1</v>
      </c>
      <c r="N43" s="21">
        <f>countif('v1998'!$A:$A,A43)</f>
        <v>1</v>
      </c>
    </row>
    <row r="44">
      <c r="A44" s="17" t="s">
        <v>997</v>
      </c>
      <c r="B44" s="17" t="s">
        <v>994</v>
      </c>
      <c r="C44" s="23">
        <f>countif(Constants!A:A,B44)</f>
        <v>1</v>
      </c>
      <c r="E44" s="57" t="str">
        <f t="shared" si="1"/>
        <v>link</v>
      </c>
      <c r="G44" s="43">
        <f t="shared" si="2"/>
        <v>7</v>
      </c>
      <c r="H44" s="21">
        <f>countif('v2022'!$A:$A,A44)</f>
        <v>1</v>
      </c>
      <c r="I44" s="21">
        <f>countif('v2018'!$A:$A,A44)</f>
        <v>1</v>
      </c>
      <c r="J44" s="21">
        <f>countif('v2014'!$A:$A,A44)</f>
        <v>1</v>
      </c>
      <c r="K44" s="21">
        <f>countif('v2010'!$A:$A,A44)</f>
        <v>1</v>
      </c>
      <c r="L44" s="21">
        <f>countif('v2006'!$A:$A,A44)</f>
        <v>1</v>
      </c>
      <c r="M44" s="21">
        <f>countif('v2002'!$A:$A,A44)</f>
        <v>1</v>
      </c>
      <c r="N44" s="21">
        <f>countif('v1998'!$A:$A,A44)</f>
        <v>1</v>
      </c>
    </row>
    <row r="45">
      <c r="A45" s="17" t="s">
        <v>1015</v>
      </c>
      <c r="B45" s="17" t="s">
        <v>1014</v>
      </c>
      <c r="C45" s="23">
        <f>countif(Constants!A:A,B45)</f>
        <v>1</v>
      </c>
      <c r="E45" s="57" t="str">
        <f t="shared" si="1"/>
        <v>link</v>
      </c>
      <c r="G45" s="43">
        <f t="shared" si="2"/>
        <v>7</v>
      </c>
      <c r="H45" s="21">
        <f>countif('v2022'!$A:$A,A45)</f>
        <v>1</v>
      </c>
      <c r="I45" s="21">
        <f>countif('v2018'!$A:$A,A45)</f>
        <v>1</v>
      </c>
      <c r="J45" s="21">
        <f>countif('v2014'!$A:$A,A45)</f>
        <v>1</v>
      </c>
      <c r="K45" s="21">
        <f>countif('v2010'!$A:$A,A45)</f>
        <v>1</v>
      </c>
      <c r="L45" s="21">
        <f>countif('v2006'!$A:$A,A45)</f>
        <v>1</v>
      </c>
      <c r="M45" s="21">
        <f>countif('v2002'!$A:$A,A45)</f>
        <v>1</v>
      </c>
      <c r="N45" s="21">
        <f>countif('v1998'!$A:$A,A45)</f>
        <v>1</v>
      </c>
    </row>
    <row r="46">
      <c r="A46" s="65" t="s">
        <v>1592</v>
      </c>
      <c r="B46" s="17" t="s">
        <v>1049</v>
      </c>
      <c r="C46" s="23">
        <f>countif(Constants!A:A,B46)</f>
        <v>1</v>
      </c>
      <c r="E46" s="57" t="str">
        <f t="shared" si="1"/>
        <v>link</v>
      </c>
      <c r="G46" s="43">
        <f t="shared" si="2"/>
        <v>2</v>
      </c>
      <c r="H46" s="21">
        <f>countif('v2022'!$A:$A,A46)</f>
        <v>0</v>
      </c>
      <c r="I46" s="21">
        <f>countif('v2018'!$A:$A,A46)</f>
        <v>0</v>
      </c>
      <c r="J46" s="21">
        <f>countif('v2014'!$A:$A,A46)</f>
        <v>1</v>
      </c>
      <c r="K46" s="21">
        <f>countif('v2010'!$A:$A,A46)</f>
        <v>1</v>
      </c>
      <c r="L46" s="21">
        <f>countif('v2006'!$A:$A,A46)</f>
        <v>0</v>
      </c>
      <c r="M46" s="21">
        <f>countif('v2002'!$A:$A,A46)</f>
        <v>0</v>
      </c>
      <c r="N46" s="21">
        <f>countif('v1998'!$A:$A,A46)</f>
        <v>0</v>
      </c>
    </row>
    <row r="47">
      <c r="A47" s="17" t="s">
        <v>1053</v>
      </c>
      <c r="B47" s="17" t="s">
        <v>1049</v>
      </c>
      <c r="C47" s="23">
        <f>countif(Constants!A:A,B47)</f>
        <v>1</v>
      </c>
      <c r="E47" s="57" t="str">
        <f t="shared" si="1"/>
        <v>link</v>
      </c>
      <c r="G47" s="43">
        <f t="shared" si="2"/>
        <v>5</v>
      </c>
      <c r="H47" s="21">
        <f>countif('v2022'!$A:$A,A47)</f>
        <v>1</v>
      </c>
      <c r="I47" s="21">
        <f>countif('v2018'!$A:$A,A47)</f>
        <v>1</v>
      </c>
      <c r="J47" s="21">
        <f>countif('v2014'!$A:$A,A47)</f>
        <v>0</v>
      </c>
      <c r="K47" s="21">
        <f>countif('v2010'!$A:$A,A47)</f>
        <v>0</v>
      </c>
      <c r="L47" s="21">
        <f>countif('v2006'!$A:$A,A47)</f>
        <v>1</v>
      </c>
      <c r="M47" s="21">
        <f>countif('v2002'!$A:$A,A47)</f>
        <v>1</v>
      </c>
      <c r="N47" s="21">
        <f>countif('v1998'!$A:$A,A47)</f>
        <v>1</v>
      </c>
    </row>
    <row r="48">
      <c r="A48" s="17" t="s">
        <v>1076</v>
      </c>
      <c r="B48" s="17" t="s">
        <v>1072</v>
      </c>
      <c r="C48" s="23">
        <f>countif(Constants!A:A,B48)</f>
        <v>1</v>
      </c>
      <c r="E48" s="57" t="str">
        <f t="shared" si="1"/>
        <v>link</v>
      </c>
      <c r="G48" s="43">
        <f t="shared" si="2"/>
        <v>7</v>
      </c>
      <c r="H48" s="21">
        <f>countif('v2022'!$A:$A,A48)</f>
        <v>1</v>
      </c>
      <c r="I48" s="21">
        <f>countif('v2018'!$A:$A,A48)</f>
        <v>1</v>
      </c>
      <c r="J48" s="21">
        <f>countif('v2014'!$A:$A,A48)</f>
        <v>1</v>
      </c>
      <c r="K48" s="21">
        <f>countif('v2010'!$A:$A,A48)</f>
        <v>1</v>
      </c>
      <c r="L48" s="21">
        <f>countif('v2006'!$A:$A,A48)</f>
        <v>1</v>
      </c>
      <c r="M48" s="21">
        <f>countif('v2002'!$A:$A,A48)</f>
        <v>1</v>
      </c>
      <c r="N48" s="21">
        <f>countif('v1998'!$A:$A,A48)</f>
        <v>1</v>
      </c>
    </row>
    <row r="49">
      <c r="A49" s="17" t="s">
        <v>1090</v>
      </c>
      <c r="B49" s="17" t="s">
        <v>1087</v>
      </c>
      <c r="C49" s="23">
        <f>countif(Constants!A:A,B49)</f>
        <v>1</v>
      </c>
      <c r="E49" s="57" t="str">
        <f t="shared" si="1"/>
        <v>link</v>
      </c>
      <c r="G49" s="43">
        <f t="shared" si="2"/>
        <v>7</v>
      </c>
      <c r="H49" s="21">
        <f>countif('v2022'!$A:$A,A49)</f>
        <v>1</v>
      </c>
      <c r="I49" s="21">
        <f>countif('v2018'!$A:$A,A49)</f>
        <v>1</v>
      </c>
      <c r="J49" s="21">
        <f>countif('v2014'!$A:$A,A49)</f>
        <v>1</v>
      </c>
      <c r="K49" s="21">
        <f>countif('v2010'!$A:$A,A49)</f>
        <v>1</v>
      </c>
      <c r="L49" s="21">
        <f>countif('v2006'!$A:$A,A49)</f>
        <v>1</v>
      </c>
      <c r="M49" s="21">
        <f>countif('v2002'!$A:$A,A49)</f>
        <v>1</v>
      </c>
      <c r="N49" s="21">
        <f>countif('v1998'!$A:$A,A49)</f>
        <v>1</v>
      </c>
    </row>
    <row r="50">
      <c r="A50" s="17" t="s">
        <v>1107</v>
      </c>
      <c r="B50" s="17" t="s">
        <v>1102</v>
      </c>
      <c r="C50" s="23">
        <f>countif(Constants!A:A,B50)</f>
        <v>1</v>
      </c>
      <c r="E50" s="57" t="str">
        <f t="shared" si="1"/>
        <v>link</v>
      </c>
      <c r="G50" s="43">
        <f t="shared" si="2"/>
        <v>7</v>
      </c>
      <c r="H50" s="21">
        <f>countif('v2022'!$A:$A,A50)</f>
        <v>1</v>
      </c>
      <c r="I50" s="21">
        <f>countif('v2018'!$A:$A,A50)</f>
        <v>1</v>
      </c>
      <c r="J50" s="21">
        <f>countif('v2014'!$A:$A,A50)</f>
        <v>1</v>
      </c>
      <c r="K50" s="21">
        <f>countif('v2010'!$A:$A,A50)</f>
        <v>1</v>
      </c>
      <c r="L50" s="21">
        <f>countif('v2006'!$A:$A,A50)</f>
        <v>1</v>
      </c>
      <c r="M50" s="21">
        <f>countif('v2002'!$A:$A,A50)</f>
        <v>1</v>
      </c>
      <c r="N50" s="21">
        <f>countif('v1998'!$A:$A,A50)</f>
        <v>1</v>
      </c>
    </row>
    <row r="51">
      <c r="A51" s="17" t="s">
        <v>1125</v>
      </c>
      <c r="B51" s="17" t="s">
        <v>1123</v>
      </c>
      <c r="C51" s="23">
        <f>countif(Constants!A:A,B51)</f>
        <v>1</v>
      </c>
      <c r="E51" s="57" t="str">
        <f t="shared" si="1"/>
        <v>link</v>
      </c>
      <c r="G51" s="43">
        <f t="shared" si="2"/>
        <v>7</v>
      </c>
      <c r="H51" s="21">
        <f>countif('v2022'!$A:$A,A51)</f>
        <v>1</v>
      </c>
      <c r="I51" s="21">
        <f>countif('v2018'!$A:$A,A51)</f>
        <v>1</v>
      </c>
      <c r="J51" s="21">
        <f>countif('v2014'!$A:$A,A51)</f>
        <v>1</v>
      </c>
      <c r="K51" s="21">
        <f>countif('v2010'!$A:$A,A51)</f>
        <v>1</v>
      </c>
      <c r="L51" s="21">
        <f>countif('v2006'!$A:$A,A51)</f>
        <v>1</v>
      </c>
      <c r="M51" s="21">
        <f>countif('v2002'!$A:$A,A51)</f>
        <v>1</v>
      </c>
      <c r="N51" s="21">
        <f>countif('v1998'!$A:$A,A51)</f>
        <v>1</v>
      </c>
    </row>
    <row r="52">
      <c r="A52" s="17" t="s">
        <v>1146</v>
      </c>
      <c r="B52" s="17" t="s">
        <v>1142</v>
      </c>
      <c r="C52" s="23">
        <f>countif(Constants!A:A,B52)</f>
        <v>1</v>
      </c>
      <c r="E52" s="57" t="str">
        <f t="shared" si="1"/>
        <v>link</v>
      </c>
      <c r="G52" s="43">
        <f t="shared" si="2"/>
        <v>7</v>
      </c>
      <c r="H52" s="21">
        <f>countif('v2022'!$A:$A,A52)</f>
        <v>1</v>
      </c>
      <c r="I52" s="21">
        <f>countif('v2018'!$A:$A,A52)</f>
        <v>1</v>
      </c>
      <c r="J52" s="21">
        <f>countif('v2014'!$A:$A,A52)</f>
        <v>1</v>
      </c>
      <c r="K52" s="21">
        <f>countif('v2010'!$A:$A,A52)</f>
        <v>1</v>
      </c>
      <c r="L52" s="21">
        <f>countif('v2006'!$A:$A,A52)</f>
        <v>1</v>
      </c>
      <c r="M52" s="21">
        <f>countif('v2002'!$A:$A,A52)</f>
        <v>1</v>
      </c>
      <c r="N52" s="21">
        <f>countif('v1998'!$A:$A,A52)</f>
        <v>1</v>
      </c>
    </row>
    <row r="53">
      <c r="A53" s="17" t="s">
        <v>1162</v>
      </c>
      <c r="B53" s="17" t="s">
        <v>1159</v>
      </c>
      <c r="C53" s="23">
        <f>countif(Constants!A:A,B53)</f>
        <v>1</v>
      </c>
      <c r="E53" s="57" t="str">
        <f t="shared" si="1"/>
        <v>link</v>
      </c>
      <c r="G53" s="43">
        <f t="shared" si="2"/>
        <v>7</v>
      </c>
      <c r="H53" s="21">
        <f>countif('v2022'!$A:$A,A53)</f>
        <v>1</v>
      </c>
      <c r="I53" s="21">
        <f>countif('v2018'!$A:$A,A53)</f>
        <v>1</v>
      </c>
      <c r="J53" s="21">
        <f>countif('v2014'!$A:$A,A53)</f>
        <v>1</v>
      </c>
      <c r="K53" s="21">
        <f>countif('v2010'!$A:$A,A53)</f>
        <v>1</v>
      </c>
      <c r="L53" s="21">
        <f>countif('v2006'!$A:$A,A53)</f>
        <v>1</v>
      </c>
      <c r="M53" s="21">
        <f>countif('v2002'!$A:$A,A53)</f>
        <v>1</v>
      </c>
      <c r="N53" s="21">
        <f>countif('v1998'!$A:$A,A53)</f>
        <v>1</v>
      </c>
    </row>
    <row r="54">
      <c r="A54" s="17" t="s">
        <v>1184</v>
      </c>
      <c r="B54" s="17" t="s">
        <v>1180</v>
      </c>
      <c r="C54" s="23">
        <f>countif(Constants!A:A,B54)</f>
        <v>1</v>
      </c>
      <c r="E54" s="57" t="str">
        <f t="shared" si="1"/>
        <v>link</v>
      </c>
      <c r="G54" s="43">
        <f t="shared" si="2"/>
        <v>7</v>
      </c>
      <c r="H54" s="21">
        <f>countif('v2022'!$A:$A,A54)</f>
        <v>1</v>
      </c>
      <c r="I54" s="21">
        <f>countif('v2018'!$A:$A,A54)</f>
        <v>1</v>
      </c>
      <c r="J54" s="21">
        <f>countif('v2014'!$A:$A,A54)</f>
        <v>1</v>
      </c>
      <c r="K54" s="21">
        <f>countif('v2010'!$A:$A,A54)</f>
        <v>1</v>
      </c>
      <c r="L54" s="21">
        <f>countif('v2006'!$A:$A,A54)</f>
        <v>1</v>
      </c>
      <c r="M54" s="21">
        <f>countif('v2002'!$A:$A,A54)</f>
        <v>1</v>
      </c>
      <c r="N54" s="21">
        <f>countif('v1998'!$A:$A,A54)</f>
        <v>1</v>
      </c>
    </row>
    <row r="55">
      <c r="A55" s="17" t="s">
        <v>1203</v>
      </c>
      <c r="B55" s="17" t="s">
        <v>1199</v>
      </c>
      <c r="C55" s="23">
        <f>countif(Constants!A:A,B55)</f>
        <v>1</v>
      </c>
      <c r="E55" s="57" t="str">
        <f t="shared" si="1"/>
        <v>link</v>
      </c>
      <c r="G55" s="43">
        <f t="shared" si="2"/>
        <v>2</v>
      </c>
      <c r="H55" s="21">
        <f>countif('v2022'!$A:$A,A55)</f>
        <v>1</v>
      </c>
      <c r="I55" s="21">
        <f>countif('v2018'!$A:$A,A55)</f>
        <v>1</v>
      </c>
      <c r="J55" s="21">
        <f>countif('v2014'!$A:$A,A55)</f>
        <v>0</v>
      </c>
      <c r="K55" s="21">
        <f>countif('v2010'!$A:$A,A55)</f>
        <v>0</v>
      </c>
      <c r="L55" s="21">
        <f>countif('v2006'!$A:$A,A55)</f>
        <v>0</v>
      </c>
      <c r="M55" s="21">
        <f>countif('v2002'!$A:$A,A55)</f>
        <v>0</v>
      </c>
      <c r="N55" s="21">
        <f>countif('v1998'!$A:$A,A55)</f>
        <v>0</v>
      </c>
    </row>
    <row r="56">
      <c r="A56" s="17" t="s">
        <v>1657</v>
      </c>
      <c r="B56" s="17" t="s">
        <v>1199</v>
      </c>
      <c r="C56" s="23">
        <f>countif(Constants!A:A,B56)</f>
        <v>1</v>
      </c>
      <c r="E56" s="57" t="str">
        <f t="shared" si="1"/>
        <v>link</v>
      </c>
      <c r="G56" s="43">
        <f t="shared" si="2"/>
        <v>5</v>
      </c>
      <c r="H56" s="21">
        <f>countif('v2022'!$A:$A,A56)</f>
        <v>0</v>
      </c>
      <c r="I56" s="21">
        <f>countif('v2018'!$A:$A,A56)</f>
        <v>0</v>
      </c>
      <c r="J56" s="21">
        <f>countif('v2014'!$A:$A,A56)</f>
        <v>1</v>
      </c>
      <c r="K56" s="21">
        <f>countif('v2010'!$A:$A,A56)</f>
        <v>1</v>
      </c>
      <c r="L56" s="21">
        <f>countif('v2006'!$A:$A,A56)</f>
        <v>1</v>
      </c>
      <c r="M56" s="21">
        <f>countif('v2002'!$A:$A,A56)</f>
        <v>1</v>
      </c>
      <c r="N56" s="21">
        <f>countif('v1998'!$A:$A,A56)</f>
        <v>1</v>
      </c>
    </row>
    <row r="57">
      <c r="A57" s="17" t="s">
        <v>1224</v>
      </c>
      <c r="B57" s="17" t="s">
        <v>1221</v>
      </c>
      <c r="C57" s="23">
        <f>countif(Constants!A:A,B57)</f>
        <v>1</v>
      </c>
      <c r="E57" s="57" t="str">
        <f t="shared" si="1"/>
        <v>link</v>
      </c>
      <c r="G57" s="43">
        <f t="shared" si="2"/>
        <v>7</v>
      </c>
      <c r="H57" s="21">
        <f>countif('v2022'!$A:$A,A57)</f>
        <v>1</v>
      </c>
      <c r="I57" s="21">
        <f>countif('v2018'!$A:$A,A57)</f>
        <v>1</v>
      </c>
      <c r="J57" s="21">
        <f>countif('v2014'!$A:$A,A57)</f>
        <v>1</v>
      </c>
      <c r="K57" s="21">
        <f>countif('v2010'!$A:$A,A57)</f>
        <v>1</v>
      </c>
      <c r="L57" s="21">
        <f>countif('v2006'!$A:$A,A57)</f>
        <v>1</v>
      </c>
      <c r="M57" s="21">
        <f>countif('v2002'!$A:$A,A57)</f>
        <v>1</v>
      </c>
      <c r="N57" s="21">
        <f>countif('v1998'!$A:$A,A57)</f>
        <v>1</v>
      </c>
    </row>
    <row r="58">
      <c r="A58" s="17" t="s">
        <v>1240</v>
      </c>
      <c r="B58" s="17" t="s">
        <v>1238</v>
      </c>
      <c r="C58" s="23">
        <f>countif(Constants!A:A,B58)</f>
        <v>1</v>
      </c>
      <c r="E58" s="57" t="str">
        <f t="shared" si="1"/>
        <v>link</v>
      </c>
      <c r="G58" s="43">
        <f t="shared" si="2"/>
        <v>7</v>
      </c>
      <c r="H58" s="21">
        <f>countif('v2022'!$A:$A,A58)</f>
        <v>1</v>
      </c>
      <c r="I58" s="21">
        <f>countif('v2018'!$A:$A,A58)</f>
        <v>1</v>
      </c>
      <c r="J58" s="21">
        <f>countif('v2014'!$A:$A,A58)</f>
        <v>1</v>
      </c>
      <c r="K58" s="21">
        <f>countif('v2010'!$A:$A,A58)</f>
        <v>1</v>
      </c>
      <c r="L58" s="21">
        <f>countif('v2006'!$A:$A,A58)</f>
        <v>1</v>
      </c>
      <c r="M58" s="21">
        <f>countif('v2002'!$A:$A,A58)</f>
        <v>1</v>
      </c>
      <c r="N58" s="21">
        <f>countif('v1998'!$A:$A,A58)</f>
        <v>1</v>
      </c>
    </row>
    <row r="59">
      <c r="A59" s="17" t="s">
        <v>1258</v>
      </c>
      <c r="B59" s="17" t="s">
        <v>1256</v>
      </c>
      <c r="C59" s="23">
        <f>countif(Constants!A:A,B59)</f>
        <v>1</v>
      </c>
      <c r="E59" s="57" t="str">
        <f t="shared" si="1"/>
        <v>link</v>
      </c>
      <c r="G59" s="43">
        <f t="shared" si="2"/>
        <v>7</v>
      </c>
      <c r="H59" s="21">
        <f>countif('v2022'!$A:$A,A59)</f>
        <v>1</v>
      </c>
      <c r="I59" s="21">
        <f>countif('v2018'!$A:$A,A59)</f>
        <v>1</v>
      </c>
      <c r="J59" s="21">
        <f>countif('v2014'!$A:$A,A59)</f>
        <v>1</v>
      </c>
      <c r="K59" s="21">
        <f>countif('v2010'!$A:$A,A59)</f>
        <v>1</v>
      </c>
      <c r="L59" s="21">
        <f>countif('v2006'!$A:$A,A59)</f>
        <v>1</v>
      </c>
      <c r="M59" s="21">
        <f>countif('v2002'!$A:$A,A59)</f>
        <v>1</v>
      </c>
      <c r="N59" s="21">
        <f>countif('v1998'!$A:$A,A59)</f>
        <v>1</v>
      </c>
    </row>
    <row r="60">
      <c r="A60" s="17" t="s">
        <v>1279</v>
      </c>
      <c r="B60" s="17" t="s">
        <v>1276</v>
      </c>
      <c r="C60" s="23">
        <f>countif(Constants!A:A,B60)</f>
        <v>1</v>
      </c>
      <c r="E60" s="57" t="str">
        <f t="shared" si="1"/>
        <v>link</v>
      </c>
      <c r="G60" s="43">
        <f t="shared" si="2"/>
        <v>7</v>
      </c>
      <c r="H60" s="21">
        <f>countif('v2022'!$A:$A,A60)</f>
        <v>1</v>
      </c>
      <c r="I60" s="21">
        <f>countif('v2018'!$A:$A,A60)</f>
        <v>1</v>
      </c>
      <c r="J60" s="21">
        <f>countif('v2014'!$A:$A,A60)</f>
        <v>1</v>
      </c>
      <c r="K60" s="21">
        <f>countif('v2010'!$A:$A,A60)</f>
        <v>1</v>
      </c>
      <c r="L60" s="21">
        <f>countif('v2006'!$A:$A,A60)</f>
        <v>1</v>
      </c>
      <c r="M60" s="21">
        <f>countif('v2002'!$A:$A,A60)</f>
        <v>1</v>
      </c>
      <c r="N60" s="21">
        <f>countif('v1998'!$A:$A,A60)</f>
        <v>1</v>
      </c>
    </row>
    <row r="61">
      <c r="A61" s="17" t="s">
        <v>1301</v>
      </c>
      <c r="B61" s="17" t="s">
        <v>1297</v>
      </c>
      <c r="C61" s="23">
        <f>countif(Constants!A:A,B61)</f>
        <v>1</v>
      </c>
      <c r="E61" s="57" t="str">
        <f t="shared" si="1"/>
        <v>link</v>
      </c>
      <c r="G61" s="43">
        <f t="shared" si="2"/>
        <v>7</v>
      </c>
      <c r="H61" s="21">
        <f>countif('v2022'!$A:$A,A61)</f>
        <v>1</v>
      </c>
      <c r="I61" s="21">
        <f>countif('v2018'!$A:$A,A61)</f>
        <v>1</v>
      </c>
      <c r="J61" s="21">
        <f>countif('v2014'!$A:$A,A61)</f>
        <v>1</v>
      </c>
      <c r="K61" s="21">
        <f>countif('v2010'!$A:$A,A61)</f>
        <v>1</v>
      </c>
      <c r="L61" s="21">
        <f>countif('v2006'!$A:$A,A61)</f>
        <v>1</v>
      </c>
      <c r="M61" s="21">
        <f>countif('v2002'!$A:$A,A61)</f>
        <v>1</v>
      </c>
      <c r="N61" s="21">
        <f>countif('v1998'!$A:$A,A61)</f>
        <v>1</v>
      </c>
    </row>
    <row r="62">
      <c r="A62" s="17" t="s">
        <v>1319</v>
      </c>
      <c r="B62" s="17" t="s">
        <v>1317</v>
      </c>
      <c r="C62" s="23">
        <f>countif(Constants!A:A,B62)</f>
        <v>1</v>
      </c>
      <c r="E62" s="57" t="str">
        <f t="shared" si="1"/>
        <v>link</v>
      </c>
      <c r="G62" s="43">
        <f t="shared" si="2"/>
        <v>2</v>
      </c>
      <c r="H62" s="21">
        <f>countif('v2022'!$A:$A,A62)</f>
        <v>1</v>
      </c>
      <c r="I62" s="21">
        <f>countif('v2018'!$A:$A,A62)</f>
        <v>1</v>
      </c>
      <c r="J62" s="21">
        <f>countif('v2014'!$A:$A,A62)</f>
        <v>0</v>
      </c>
      <c r="K62" s="21">
        <f>countif('v2010'!$A:$A,A62)</f>
        <v>0</v>
      </c>
      <c r="L62" s="21">
        <f>countif('v2006'!$A:$A,A62)</f>
        <v>0</v>
      </c>
      <c r="M62" s="21">
        <f>countif('v2002'!$A:$A,A62)</f>
        <v>0</v>
      </c>
      <c r="N62" s="21">
        <f>countif('v1998'!$A:$A,A62)</f>
        <v>0</v>
      </c>
    </row>
    <row r="63">
      <c r="A63" s="17" t="s">
        <v>1691</v>
      </c>
      <c r="B63" s="17" t="s">
        <v>1317</v>
      </c>
      <c r="C63" s="23">
        <f>countif(Constants!A:A,B63)</f>
        <v>1</v>
      </c>
      <c r="E63" s="57" t="str">
        <f t="shared" si="1"/>
        <v>link</v>
      </c>
      <c r="G63" s="43">
        <f t="shared" si="2"/>
        <v>5</v>
      </c>
      <c r="H63" s="21">
        <f>countif('v2022'!$A:$A,A63)</f>
        <v>0</v>
      </c>
      <c r="I63" s="21">
        <f>countif('v2018'!$A:$A,A63)</f>
        <v>0</v>
      </c>
      <c r="J63" s="21">
        <f>countif('v2014'!$A:$A,A63)</f>
        <v>1</v>
      </c>
      <c r="K63" s="21">
        <f>countif('v2010'!$A:$A,A63)</f>
        <v>1</v>
      </c>
      <c r="L63" s="21">
        <f>countif('v2006'!$A:$A,A63)</f>
        <v>1</v>
      </c>
      <c r="M63" s="21">
        <f>countif('v2002'!$A:$A,A63)</f>
        <v>1</v>
      </c>
      <c r="N63" s="21">
        <f>countif('v1998'!$A:$A,A63)</f>
        <v>1</v>
      </c>
    </row>
    <row r="64">
      <c r="A64" s="17" t="s">
        <v>1335</v>
      </c>
      <c r="B64" s="17" t="s">
        <v>1334</v>
      </c>
      <c r="C64" s="23">
        <f>countif(Constants!A:A,B64)</f>
        <v>1</v>
      </c>
      <c r="E64" s="57" t="str">
        <f t="shared" si="1"/>
        <v>link</v>
      </c>
      <c r="G64" s="43">
        <f t="shared" si="2"/>
        <v>7</v>
      </c>
      <c r="H64" s="21">
        <f>countif('v2022'!$A:$A,A64)</f>
        <v>1</v>
      </c>
      <c r="I64" s="21">
        <f>countif('v2018'!$A:$A,A64)</f>
        <v>1</v>
      </c>
      <c r="J64" s="21">
        <f>countif('v2014'!$A:$A,A64)</f>
        <v>1</v>
      </c>
      <c r="K64" s="21">
        <f>countif('v2010'!$A:$A,A64)</f>
        <v>1</v>
      </c>
      <c r="L64" s="21">
        <f>countif('v2006'!$A:$A,A64)</f>
        <v>1</v>
      </c>
      <c r="M64" s="21">
        <f>countif('v2002'!$A:$A,A64)</f>
        <v>1</v>
      </c>
      <c r="N64" s="21">
        <f>countif('v1998'!$A:$A,A64)</f>
        <v>1</v>
      </c>
    </row>
    <row r="65">
      <c r="A65" s="17" t="s">
        <v>1351</v>
      </c>
      <c r="B65" s="17" t="s">
        <v>1350</v>
      </c>
      <c r="C65" s="23">
        <f>countif(Constants!A:A,B65)</f>
        <v>1</v>
      </c>
      <c r="E65" s="57" t="str">
        <f t="shared" si="1"/>
        <v>link</v>
      </c>
      <c r="G65" s="43">
        <f t="shared" si="2"/>
        <v>7</v>
      </c>
      <c r="H65" s="21">
        <f>countif('v2022'!$A:$A,A65)</f>
        <v>1</v>
      </c>
      <c r="I65" s="21">
        <f>countif('v2018'!$A:$A,A65)</f>
        <v>1</v>
      </c>
      <c r="J65" s="21">
        <f>countif('v2014'!$A:$A,A65)</f>
        <v>1</v>
      </c>
      <c r="K65" s="21">
        <f>countif('v2010'!$A:$A,A65)</f>
        <v>1</v>
      </c>
      <c r="L65" s="21">
        <f>countif('v2006'!$A:$A,A65)</f>
        <v>1</v>
      </c>
      <c r="M65" s="21">
        <f>countif('v2002'!$A:$A,A65)</f>
        <v>1</v>
      </c>
      <c r="N65" s="21">
        <f>countif('v1998'!$A:$A,A65)</f>
        <v>1</v>
      </c>
    </row>
    <row r="66">
      <c r="A66" s="17" t="s">
        <v>1371</v>
      </c>
      <c r="B66" s="17" t="s">
        <v>1367</v>
      </c>
      <c r="C66" s="23">
        <f>countif(Constants!A:A,B66)</f>
        <v>1</v>
      </c>
      <c r="E66" s="57" t="str">
        <f t="shared" si="1"/>
        <v>link</v>
      </c>
      <c r="G66" s="43">
        <f t="shared" si="2"/>
        <v>7</v>
      </c>
      <c r="H66" s="21">
        <f>countif('v2022'!$A:$A,A66)</f>
        <v>1</v>
      </c>
      <c r="I66" s="21">
        <f>countif('v2018'!$A:$A,A66)</f>
        <v>1</v>
      </c>
      <c r="J66" s="21">
        <f>countif('v2014'!$A:$A,A66)</f>
        <v>1</v>
      </c>
      <c r="K66" s="21">
        <f>countif('v2010'!$A:$A,A66)</f>
        <v>1</v>
      </c>
      <c r="L66" s="21">
        <f>countif('v2006'!$A:$A,A66)</f>
        <v>1</v>
      </c>
      <c r="M66" s="21">
        <f>countif('v2002'!$A:$A,A66)</f>
        <v>1</v>
      </c>
      <c r="N66" s="21">
        <f>countif('v1998'!$A:$A,A66)</f>
        <v>1</v>
      </c>
    </row>
    <row r="67">
      <c r="A67" s="17" t="s">
        <v>1711</v>
      </c>
      <c r="B67" s="17" t="s">
        <v>1712</v>
      </c>
      <c r="C67" s="23">
        <f>countif(Constants!A:A,B67)</f>
        <v>1</v>
      </c>
      <c r="E67" s="57" t="str">
        <f t="shared" si="1"/>
        <v>link</v>
      </c>
      <c r="G67" s="43">
        <f t="shared" si="2"/>
        <v>5</v>
      </c>
      <c r="H67" s="21">
        <f>countif('v2022'!$A:$A,A67)</f>
        <v>0</v>
      </c>
      <c r="I67" s="21">
        <f>countif('v2018'!$A:$A,A67)</f>
        <v>0</v>
      </c>
      <c r="J67" s="21">
        <f>countif('v2014'!$A:$A,A67)</f>
        <v>1</v>
      </c>
      <c r="K67" s="21">
        <f>countif('v2010'!$A:$A,A67)</f>
        <v>1</v>
      </c>
      <c r="L67" s="21">
        <f>countif('v2006'!$A:$A,A67)</f>
        <v>1</v>
      </c>
      <c r="M67" s="21">
        <f>countif('v2002'!$A:$A,A67)</f>
        <v>1</v>
      </c>
      <c r="N67" s="21">
        <f>countif('v1998'!$A:$A,A67)</f>
        <v>1</v>
      </c>
    </row>
    <row r="68">
      <c r="A68" s="17" t="s">
        <v>1388</v>
      </c>
      <c r="B68" s="17" t="s">
        <v>1385</v>
      </c>
      <c r="C68" s="23">
        <f>countif(Constants!A:A,B68)</f>
        <v>1</v>
      </c>
      <c r="E68" s="57" t="str">
        <f t="shared" si="1"/>
        <v>link</v>
      </c>
      <c r="G68" s="43">
        <f t="shared" si="2"/>
        <v>7</v>
      </c>
      <c r="H68" s="21">
        <f>countif('v2022'!$A:$A,A68)</f>
        <v>1</v>
      </c>
      <c r="I68" s="21">
        <f>countif('v2018'!$A:$A,A68)</f>
        <v>1</v>
      </c>
      <c r="J68" s="21">
        <f>countif('v2014'!$A:$A,A68)</f>
        <v>1</v>
      </c>
      <c r="K68" s="21">
        <f>countif('v2010'!$A:$A,A68)</f>
        <v>1</v>
      </c>
      <c r="L68" s="21">
        <f>countif('v2006'!$A:$A,A68)</f>
        <v>1</v>
      </c>
      <c r="M68" s="21">
        <f>countif('v2002'!$A:$A,A68)</f>
        <v>1</v>
      </c>
      <c r="N68" s="21">
        <f>countif('v1998'!$A:$A,A68)</f>
        <v>1</v>
      </c>
    </row>
    <row r="69">
      <c r="A69" s="17" t="s">
        <v>1401</v>
      </c>
      <c r="B69" s="17" t="s">
        <v>1400</v>
      </c>
      <c r="C69" s="23">
        <f>countif(Constants!A:A,B69)</f>
        <v>1</v>
      </c>
      <c r="E69" s="57" t="str">
        <f t="shared" si="1"/>
        <v>link</v>
      </c>
      <c r="G69" s="43">
        <f t="shared" si="2"/>
        <v>2</v>
      </c>
      <c r="H69" s="21">
        <f>countif('v2022'!$A:$A,A69)</f>
        <v>1</v>
      </c>
      <c r="I69" s="21">
        <f>countif('v2018'!$A:$A,A69)</f>
        <v>1</v>
      </c>
      <c r="J69" s="21">
        <f>countif('v2014'!$A:$A,A69)</f>
        <v>0</v>
      </c>
      <c r="K69" s="21">
        <f>countif('v2010'!$A:$A,A69)</f>
        <v>0</v>
      </c>
      <c r="L69" s="21">
        <f>countif('v2006'!$A:$A,A69)</f>
        <v>0</v>
      </c>
      <c r="M69" s="21">
        <f>countif('v2002'!$A:$A,A69)</f>
        <v>0</v>
      </c>
      <c r="N69" s="21">
        <f>countif('v1998'!$A:$A,A69)</f>
        <v>0</v>
      </c>
    </row>
    <row r="70">
      <c r="A70" s="17" t="s">
        <v>1404</v>
      </c>
      <c r="B70" s="17" t="s">
        <v>1403</v>
      </c>
      <c r="C70" s="23">
        <f>countif(Constants!A:A,B70)</f>
        <v>1</v>
      </c>
      <c r="E70" s="57" t="str">
        <f t="shared" si="1"/>
        <v>link</v>
      </c>
      <c r="G70" s="43">
        <f t="shared" si="2"/>
        <v>2</v>
      </c>
      <c r="H70" s="21">
        <f>countif('v2022'!$A:$A,A70)</f>
        <v>1</v>
      </c>
      <c r="I70" s="21">
        <f>countif('v2018'!$A:$A,A70)</f>
        <v>1</v>
      </c>
      <c r="J70" s="21">
        <f>countif('v2014'!$A:$A,A70)</f>
        <v>0</v>
      </c>
      <c r="K70" s="21">
        <f>countif('v2010'!$A:$A,A70)</f>
        <v>0</v>
      </c>
      <c r="L70" s="21">
        <f>countif('v2006'!$A:$A,A70)</f>
        <v>0</v>
      </c>
      <c r="M70" s="21">
        <f>countif('v2002'!$A:$A,A70)</f>
        <v>0</v>
      </c>
      <c r="N70" s="21">
        <f>countif('v1998'!$A:$A,A70)</f>
        <v>0</v>
      </c>
    </row>
    <row r="71">
      <c r="A71" s="17" t="s">
        <v>1422</v>
      </c>
      <c r="B71" s="17" t="s">
        <v>1421</v>
      </c>
      <c r="C71" s="23">
        <f>countif(Constants!A:A,B71)</f>
        <v>1</v>
      </c>
      <c r="E71" s="57" t="str">
        <f t="shared" si="1"/>
        <v>link</v>
      </c>
      <c r="G71" s="43">
        <f t="shared" si="2"/>
        <v>2</v>
      </c>
      <c r="H71" s="21">
        <f>countif('v2022'!$A:$A,A71)</f>
        <v>1</v>
      </c>
      <c r="I71" s="21">
        <f>countif('v2018'!$A:$A,A71)</f>
        <v>1</v>
      </c>
      <c r="J71" s="21">
        <f>countif('v2014'!$A:$A,A71)</f>
        <v>0</v>
      </c>
      <c r="K71" s="21">
        <f>countif('v2010'!$A:$A,A71)</f>
        <v>0</v>
      </c>
      <c r="L71" s="21">
        <f>countif('v2006'!$A:$A,A71)</f>
        <v>0</v>
      </c>
      <c r="M71" s="21">
        <f>countif('v2002'!$A:$A,A71)</f>
        <v>0</v>
      </c>
      <c r="N71" s="21">
        <f>countif('v1998'!$A:$A,A71)</f>
        <v>0</v>
      </c>
    </row>
    <row r="72">
      <c r="A72" s="17" t="s">
        <v>1431</v>
      </c>
      <c r="B72" s="17" t="s">
        <v>1430</v>
      </c>
      <c r="C72" s="23">
        <f>countif(Constants!A:A,B72)</f>
        <v>1</v>
      </c>
      <c r="E72" s="57" t="str">
        <f t="shared" si="1"/>
        <v>link</v>
      </c>
      <c r="G72" s="43">
        <f t="shared" si="2"/>
        <v>2</v>
      </c>
      <c r="H72" s="21">
        <f>countif('v2022'!$A:$A,A72)</f>
        <v>1</v>
      </c>
      <c r="I72" s="21">
        <f>countif('v2018'!$A:$A,A72)</f>
        <v>1</v>
      </c>
      <c r="J72" s="21">
        <f>countif('v2014'!$A:$A,A72)</f>
        <v>0</v>
      </c>
      <c r="K72" s="21">
        <f>countif('v2010'!$A:$A,A72)</f>
        <v>0</v>
      </c>
      <c r="L72" s="21">
        <f>countif('v2006'!$A:$A,A72)</f>
        <v>0</v>
      </c>
      <c r="M72" s="21">
        <f>countif('v2002'!$A:$A,A72)</f>
        <v>0</v>
      </c>
      <c r="N72" s="21">
        <f>countif('v1998'!$A:$A,A72)</f>
        <v>0</v>
      </c>
    </row>
    <row r="73">
      <c r="A73" s="17" t="s">
        <v>1445</v>
      </c>
      <c r="B73" s="17" t="s">
        <v>1444</v>
      </c>
      <c r="C73" s="23">
        <f>countif(Constants!A:A,B73)</f>
        <v>1</v>
      </c>
      <c r="E73" s="57" t="str">
        <f t="shared" si="1"/>
        <v>link</v>
      </c>
      <c r="G73" s="43">
        <f t="shared" si="2"/>
        <v>7</v>
      </c>
      <c r="H73" s="21">
        <f>countif('v2022'!$A:$A,A73)</f>
        <v>1</v>
      </c>
      <c r="I73" s="21">
        <f>countif('v2018'!$A:$A,A73)</f>
        <v>1</v>
      </c>
      <c r="J73" s="21">
        <f>countif('v2014'!$A:$A,A73)</f>
        <v>1</v>
      </c>
      <c r="K73" s="21">
        <f>countif('v2010'!$A:$A,A73)</f>
        <v>1</v>
      </c>
      <c r="L73" s="21">
        <f>countif('v2006'!$A:$A,A73)</f>
        <v>1</v>
      </c>
      <c r="M73" s="21">
        <f>countif('v2002'!$A:$A,A73)</f>
        <v>1</v>
      </c>
      <c r="N73" s="21">
        <f>countif('v1998'!$A:$A,A73)</f>
        <v>1</v>
      </c>
    </row>
    <row r="74">
      <c r="A74" s="17" t="s">
        <v>1455</v>
      </c>
      <c r="B74" s="17" t="s">
        <v>1454</v>
      </c>
      <c r="C74" s="23">
        <f>countif(Constants!A:A,B74)</f>
        <v>1</v>
      </c>
      <c r="E74" s="57" t="str">
        <f t="shared" si="1"/>
        <v>link</v>
      </c>
      <c r="G74" s="43">
        <f t="shared" si="2"/>
        <v>2</v>
      </c>
      <c r="H74" s="21">
        <f>countif('v2022'!$A:$A,A74)</f>
        <v>1</v>
      </c>
      <c r="I74" s="21">
        <f>countif('v2018'!$A:$A,A74)</f>
        <v>1</v>
      </c>
      <c r="J74" s="21">
        <f>countif('v2014'!$A:$A,A74)</f>
        <v>0</v>
      </c>
      <c r="K74" s="21">
        <f>countif('v2010'!$A:$A,A74)</f>
        <v>0</v>
      </c>
      <c r="L74" s="21">
        <f>countif('v2006'!$A:$A,A74)</f>
        <v>0</v>
      </c>
      <c r="M74" s="21">
        <f>countif('v2002'!$A:$A,A74)</f>
        <v>0</v>
      </c>
      <c r="N74" s="21">
        <f>countif('v1998'!$A:$A,A74)</f>
        <v>0</v>
      </c>
    </row>
    <row r="75">
      <c r="A75" s="17" t="s">
        <v>1471</v>
      </c>
      <c r="B75" s="17" t="s">
        <v>1469</v>
      </c>
      <c r="C75" s="23">
        <f>countif(Constants!A:A,B75)</f>
        <v>1</v>
      </c>
      <c r="E75" s="57" t="str">
        <f t="shared" si="1"/>
        <v>link</v>
      </c>
      <c r="G75" s="43">
        <f t="shared" si="2"/>
        <v>2</v>
      </c>
      <c r="H75" s="21">
        <f>countif('v2022'!$A:$A,A75)</f>
        <v>1</v>
      </c>
      <c r="I75" s="21">
        <f>countif('v2018'!$A:$A,A75)</f>
        <v>1</v>
      </c>
      <c r="J75" s="21">
        <f>countif('v2014'!$A:$A,A75)</f>
        <v>0</v>
      </c>
      <c r="K75" s="21">
        <f>countif('v2010'!$A:$A,A75)</f>
        <v>0</v>
      </c>
      <c r="L75" s="21">
        <f>countif('v2006'!$A:$A,A75)</f>
        <v>0</v>
      </c>
      <c r="M75" s="21">
        <f>countif('v2002'!$A:$A,A75)</f>
        <v>0</v>
      </c>
      <c r="N75" s="21">
        <f>countif('v1998'!$A:$A,A75)</f>
        <v>0</v>
      </c>
    </row>
    <row r="76">
      <c r="A76" s="17" t="s">
        <v>1722</v>
      </c>
      <c r="B76" s="17" t="s">
        <v>1482</v>
      </c>
      <c r="C76" s="23">
        <f>countif(Constants!A:A,B76)</f>
        <v>1</v>
      </c>
      <c r="E76" s="57" t="str">
        <f t="shared" si="1"/>
        <v>link</v>
      </c>
      <c r="G76" s="43">
        <f t="shared" si="2"/>
        <v>7</v>
      </c>
      <c r="H76" s="21">
        <f>countif('v2022'!$A:$A,A76)</f>
        <v>1</v>
      </c>
      <c r="I76" s="21">
        <f>countif('v2018'!$A:$A,A76)</f>
        <v>1</v>
      </c>
      <c r="J76" s="21">
        <f>countif('v2014'!$A:$A,A76)</f>
        <v>1</v>
      </c>
      <c r="K76" s="21">
        <f>countif('v2010'!$A:$A,A76)</f>
        <v>1</v>
      </c>
      <c r="L76" s="21">
        <f>countif('v2006'!$A:$A,A76)</f>
        <v>1</v>
      </c>
      <c r="M76" s="21">
        <f>countif('v2002'!$A:$A,A76)</f>
        <v>1</v>
      </c>
      <c r="N76" s="21">
        <f>countif('v1998'!$A:$A,A76)</f>
        <v>1</v>
      </c>
    </row>
    <row r="77">
      <c r="A77" s="17" t="s">
        <v>1492</v>
      </c>
      <c r="B77" s="17" t="s">
        <v>1491</v>
      </c>
      <c r="C77" s="23">
        <f>countif(Constants!A:A,B77)</f>
        <v>1</v>
      </c>
      <c r="E77" s="57" t="str">
        <f t="shared" si="1"/>
        <v>link</v>
      </c>
      <c r="G77" s="43">
        <f t="shared" si="2"/>
        <v>2</v>
      </c>
      <c r="H77" s="21">
        <f>countif('v2022'!$A:$A,A77)</f>
        <v>1</v>
      </c>
      <c r="I77" s="21">
        <f>countif('v2018'!$A:$A,A77)</f>
        <v>1</v>
      </c>
      <c r="J77" s="21">
        <f>countif('v2014'!$A:$A,A77)</f>
        <v>0</v>
      </c>
      <c r="K77" s="21">
        <f>countif('v2010'!$A:$A,A77)</f>
        <v>0</v>
      </c>
      <c r="L77" s="21">
        <f>countif('v2006'!$A:$A,A77)</f>
        <v>0</v>
      </c>
      <c r="M77" s="21">
        <f>countif('v2002'!$A:$A,A77)</f>
        <v>0</v>
      </c>
      <c r="N77" s="21">
        <f>countif('v1998'!$A:$A,A77)</f>
        <v>0</v>
      </c>
    </row>
    <row r="78">
      <c r="A78" s="17" t="s">
        <v>1504</v>
      </c>
      <c r="B78" s="17" t="s">
        <v>1502</v>
      </c>
      <c r="C78" s="23">
        <f>countif(Constants!A:A,B78)</f>
        <v>1</v>
      </c>
      <c r="E78" s="57" t="str">
        <f t="shared" si="1"/>
        <v>link</v>
      </c>
      <c r="G78" s="43">
        <f t="shared" si="2"/>
        <v>2</v>
      </c>
      <c r="H78" s="21">
        <f>countif('v2022'!$A:$A,A78)</f>
        <v>1</v>
      </c>
      <c r="I78" s="21">
        <f>countif('v2018'!$A:$A,A78)</f>
        <v>1</v>
      </c>
      <c r="J78" s="21">
        <f>countif('v2014'!$A:$A,A78)</f>
        <v>0</v>
      </c>
      <c r="K78" s="21">
        <f>countif('v2010'!$A:$A,A78)</f>
        <v>0</v>
      </c>
      <c r="L78" s="21">
        <f>countif('v2006'!$A:$A,A78)</f>
        <v>0</v>
      </c>
      <c r="M78" s="21">
        <f>countif('v2002'!$A:$A,A78)</f>
        <v>0</v>
      </c>
      <c r="N78" s="21">
        <f>countif('v1998'!$A:$A,A78)</f>
        <v>0</v>
      </c>
    </row>
    <row r="79">
      <c r="A79" s="17" t="s">
        <v>1824</v>
      </c>
      <c r="B79" s="17" t="s">
        <v>1502</v>
      </c>
      <c r="C79" s="23">
        <f>countif(Constants!A:A,B79)</f>
        <v>1</v>
      </c>
      <c r="E79" s="57" t="str">
        <f t="shared" si="1"/>
        <v>link</v>
      </c>
      <c r="G79" s="43">
        <f t="shared" si="2"/>
        <v>5</v>
      </c>
      <c r="H79" s="21">
        <f>countif('v2022'!$A:$A,A79)</f>
        <v>0</v>
      </c>
      <c r="I79" s="21">
        <f>countif('v2018'!$A:$A,A79)</f>
        <v>0</v>
      </c>
      <c r="J79" s="21">
        <f>countif('v2014'!$A:$A,A79)</f>
        <v>1</v>
      </c>
      <c r="K79" s="21">
        <f>countif('v2010'!$A:$A,A79)</f>
        <v>1</v>
      </c>
      <c r="L79" s="21">
        <f>countif('v2006'!$A:$A,A79)</f>
        <v>1</v>
      </c>
      <c r="M79" s="21">
        <f>countif('v2002'!$A:$A,A79)</f>
        <v>1</v>
      </c>
      <c r="N79" s="21">
        <f>countif('v1998'!$A:$A,A79)</f>
        <v>1</v>
      </c>
    </row>
    <row r="80">
      <c r="A80" s="17" t="s">
        <v>1551</v>
      </c>
      <c r="B80" s="17" t="s">
        <v>1546</v>
      </c>
      <c r="C80" s="23">
        <f>countif(Constants!A:A,B80)</f>
        <v>1</v>
      </c>
      <c r="E80" s="57" t="str">
        <f t="shared" si="1"/>
        <v>link</v>
      </c>
      <c r="G80" s="43">
        <f t="shared" si="2"/>
        <v>5</v>
      </c>
      <c r="H80" s="21">
        <f>countif('v2022'!$A:$A,A80)</f>
        <v>1</v>
      </c>
      <c r="I80" s="21">
        <f>countif('v2018'!$A:$A,A80)</f>
        <v>1</v>
      </c>
      <c r="J80" s="21">
        <f>countif('v2014'!$A:$A,A80)</f>
        <v>1</v>
      </c>
      <c r="K80" s="21">
        <f>countif('v2010'!$A:$A,A80)</f>
        <v>1</v>
      </c>
      <c r="L80" s="21">
        <f>countif('v2006'!$A:$A,A80)</f>
        <v>1</v>
      </c>
      <c r="M80" s="21">
        <f>countif('v2002'!$A:$A,A80)</f>
        <v>0</v>
      </c>
      <c r="N80" s="21">
        <f>countif('v1998'!$A:$A,A80)</f>
        <v>0</v>
      </c>
    </row>
    <row r="81">
      <c r="A81" s="17" t="s">
        <v>1745</v>
      </c>
      <c r="B81" s="17" t="s">
        <v>1571</v>
      </c>
      <c r="C81" s="23">
        <f>countif(Constants!A:A,B81)</f>
        <v>1</v>
      </c>
      <c r="E81" s="57" t="str">
        <f t="shared" si="1"/>
        <v>link</v>
      </c>
      <c r="G81" s="43">
        <f t="shared" si="2"/>
        <v>4</v>
      </c>
      <c r="H81" s="21">
        <f>countif('v2022'!$A:$A,A81)</f>
        <v>1</v>
      </c>
      <c r="I81" s="21">
        <f>countif('v2018'!$A:$A,A81)</f>
        <v>1</v>
      </c>
      <c r="J81" s="21">
        <f>countif('v2014'!$A:$A,A81)</f>
        <v>1</v>
      </c>
      <c r="K81" s="21">
        <f>countif('v2010'!$A:$A,A81)</f>
        <v>1</v>
      </c>
      <c r="L81" s="21">
        <f>countif('v2006'!$A:$A,A81)</f>
        <v>0</v>
      </c>
      <c r="M81" s="21">
        <f>countif('v2002'!$A:$A,A81)</f>
        <v>0</v>
      </c>
      <c r="N81" s="21">
        <f>countif('v1998'!$A:$A,A81)</f>
        <v>0</v>
      </c>
    </row>
    <row r="82">
      <c r="A82" s="17" t="s">
        <v>1749</v>
      </c>
      <c r="B82" s="17" t="s">
        <v>1587</v>
      </c>
      <c r="C82" s="23">
        <f>countif(Constants!A:A,B82)</f>
        <v>1</v>
      </c>
      <c r="E82" s="57" t="str">
        <f t="shared" si="1"/>
        <v>link</v>
      </c>
      <c r="G82" s="43">
        <f t="shared" si="2"/>
        <v>4</v>
      </c>
      <c r="H82" s="21">
        <f>countif('v2022'!$A:$A,A82)</f>
        <v>1</v>
      </c>
      <c r="I82" s="21">
        <f>countif('v2018'!$A:$A,A82)</f>
        <v>1</v>
      </c>
      <c r="J82" s="21">
        <f>countif('v2014'!$A:$A,A82)</f>
        <v>1</v>
      </c>
      <c r="K82" s="21">
        <f>countif('v2010'!$A:$A,A82)</f>
        <v>1</v>
      </c>
      <c r="L82" s="21">
        <f>countif('v2006'!$A:$A,A82)</f>
        <v>0</v>
      </c>
      <c r="M82" s="21">
        <f>countif('v2002'!$A:$A,A82)</f>
        <v>0</v>
      </c>
      <c r="N82" s="21">
        <f>countif('v1998'!$A:$A,A82)</f>
        <v>0</v>
      </c>
    </row>
    <row r="83">
      <c r="A83" s="17" t="s">
        <v>1755</v>
      </c>
      <c r="B83" s="17" t="s">
        <v>1599</v>
      </c>
      <c r="C83" s="23">
        <f>countif(Constants!A:A,B83)</f>
        <v>1</v>
      </c>
      <c r="E83" s="57" t="str">
        <f t="shared" si="1"/>
        <v>link</v>
      </c>
      <c r="G83" s="43">
        <f t="shared" si="2"/>
        <v>4</v>
      </c>
      <c r="H83" s="21">
        <f>countif('v2022'!$A:$A,A83)</f>
        <v>1</v>
      </c>
      <c r="I83" s="21">
        <f>countif('v2018'!$A:$A,A83)</f>
        <v>1</v>
      </c>
      <c r="J83" s="21">
        <f>countif('v2014'!$A:$A,A83)</f>
        <v>1</v>
      </c>
      <c r="K83" s="21">
        <f>countif('v2010'!$A:$A,A83)</f>
        <v>1</v>
      </c>
      <c r="L83" s="21">
        <f>countif('v2006'!$A:$A,A83)</f>
        <v>0</v>
      </c>
      <c r="M83" s="21">
        <f>countif('v2002'!$A:$A,A83)</f>
        <v>0</v>
      </c>
      <c r="N83" s="21">
        <f>countif('v1998'!$A:$A,A83)</f>
        <v>0</v>
      </c>
    </row>
    <row r="84">
      <c r="A84" s="17" t="s">
        <v>1572</v>
      </c>
      <c r="B84" s="17" t="s">
        <v>1571</v>
      </c>
      <c r="C84" s="23">
        <f>countif(Constants!A:A,B84)</f>
        <v>1</v>
      </c>
      <c r="E84" s="57" t="str">
        <f t="shared" si="1"/>
        <v>link</v>
      </c>
      <c r="G84" s="43">
        <f t="shared" si="2"/>
        <v>3</v>
      </c>
      <c r="H84" s="21">
        <f>countif('v2022'!$A:$A,A84)</f>
        <v>0</v>
      </c>
      <c r="I84" s="21">
        <f>countif('v2018'!$A:$A,A84)</f>
        <v>0</v>
      </c>
      <c r="J84" s="21">
        <f>countif('v2014'!$A:$A,A84)</f>
        <v>0</v>
      </c>
      <c r="K84" s="21">
        <f>countif('v2010'!$A:$A,A84)</f>
        <v>0</v>
      </c>
      <c r="L84" s="21">
        <f>countif('v2006'!$A:$A,A84)</f>
        <v>1</v>
      </c>
      <c r="M84" s="21">
        <f>countif('v2002'!$A:$A,A84)</f>
        <v>1</v>
      </c>
      <c r="N84" s="21">
        <f>countif('v1998'!$A:$A,A84)</f>
        <v>1</v>
      </c>
    </row>
    <row r="85">
      <c r="A85" s="17" t="s">
        <v>1588</v>
      </c>
      <c r="B85" s="17" t="s">
        <v>1587</v>
      </c>
      <c r="C85" s="23">
        <f>countif(Constants!A:A,B85)</f>
        <v>1</v>
      </c>
      <c r="E85" s="57" t="str">
        <f t="shared" si="1"/>
        <v>link</v>
      </c>
      <c r="G85" s="43">
        <f t="shared" si="2"/>
        <v>3</v>
      </c>
      <c r="H85" s="21">
        <f>countif('v2022'!$A:$A,A85)</f>
        <v>0</v>
      </c>
      <c r="I85" s="21">
        <f>countif('v2018'!$A:$A,A85)</f>
        <v>0</v>
      </c>
      <c r="J85" s="21">
        <f>countif('v2014'!$A:$A,A85)</f>
        <v>0</v>
      </c>
      <c r="K85" s="21">
        <f>countif('v2010'!$A:$A,A85)</f>
        <v>0</v>
      </c>
      <c r="L85" s="21">
        <f>countif('v2006'!$A:$A,A85)</f>
        <v>1</v>
      </c>
      <c r="M85" s="21">
        <f>countif('v2002'!$A:$A,A85)</f>
        <v>1</v>
      </c>
      <c r="N85" s="21">
        <f>countif('v1998'!$A:$A,A85)</f>
        <v>1</v>
      </c>
    </row>
    <row r="86">
      <c r="A86" s="17" t="s">
        <v>1600</v>
      </c>
      <c r="B86" s="17" t="s">
        <v>1599</v>
      </c>
      <c r="C86" s="23">
        <f>countif(Constants!A:A,B86)</f>
        <v>1</v>
      </c>
      <c r="E86" s="57" t="str">
        <f t="shared" si="1"/>
        <v>link</v>
      </c>
      <c r="G86" s="43">
        <f t="shared" si="2"/>
        <v>3</v>
      </c>
      <c r="H86" s="21">
        <f>countif('v2022'!$A:$A,A86)</f>
        <v>0</v>
      </c>
      <c r="I86" s="21">
        <f>countif('v2018'!$A:$A,A86)</f>
        <v>0</v>
      </c>
      <c r="J86" s="21">
        <f>countif('v2014'!$A:$A,A86)</f>
        <v>0</v>
      </c>
      <c r="K86" s="21">
        <f>countif('v2010'!$A:$A,A86)</f>
        <v>0</v>
      </c>
      <c r="L86" s="21">
        <f>countif('v2006'!$A:$A,A86)</f>
        <v>1</v>
      </c>
      <c r="M86" s="21">
        <f>countif('v2002'!$A:$A,A86)</f>
        <v>1</v>
      </c>
      <c r="N86" s="21">
        <f>countif('v1998'!$A:$A,A86)</f>
        <v>1</v>
      </c>
    </row>
    <row r="87">
      <c r="A87" s="17" t="s">
        <v>1609</v>
      </c>
      <c r="B87" s="17" t="s">
        <v>1606</v>
      </c>
      <c r="C87" s="23">
        <f>countif(Constants!A:A,B87)</f>
        <v>1</v>
      </c>
      <c r="E87" s="57" t="str">
        <f t="shared" si="1"/>
        <v>link</v>
      </c>
      <c r="G87" s="43">
        <f t="shared" si="2"/>
        <v>7</v>
      </c>
      <c r="H87" s="21">
        <f>countif('v2022'!$A:$A,A87)</f>
        <v>1</v>
      </c>
      <c r="I87" s="21">
        <f>countif('v2018'!$A:$A,A87)</f>
        <v>1</v>
      </c>
      <c r="J87" s="21">
        <f>countif('v2014'!$A:$A,A87)</f>
        <v>1</v>
      </c>
      <c r="K87" s="21">
        <f>countif('v2010'!$A:$A,A87)</f>
        <v>1</v>
      </c>
      <c r="L87" s="21">
        <f>countif('v2006'!$A:$A,A87)</f>
        <v>1</v>
      </c>
      <c r="M87" s="21">
        <f>countif('v2002'!$A:$A,A87)</f>
        <v>1</v>
      </c>
      <c r="N87" s="21">
        <f>countif('v1998'!$A:$A,A87)</f>
        <v>1</v>
      </c>
    </row>
    <row r="88">
      <c r="A88" s="17" t="s">
        <v>1617</v>
      </c>
      <c r="B88" s="17" t="s">
        <v>1615</v>
      </c>
      <c r="C88" s="23">
        <f>countif(Constants!A:A,B88)</f>
        <v>1</v>
      </c>
      <c r="E88" s="57" t="str">
        <f t="shared" si="1"/>
        <v>link</v>
      </c>
      <c r="G88" s="43">
        <f t="shared" si="2"/>
        <v>7</v>
      </c>
      <c r="H88" s="21">
        <f>countif('v2022'!$A:$A,A88)</f>
        <v>1</v>
      </c>
      <c r="I88" s="21">
        <f>countif('v2018'!$A:$A,A88)</f>
        <v>1</v>
      </c>
      <c r="J88" s="21">
        <f>countif('v2014'!$A:$A,A88)</f>
        <v>1</v>
      </c>
      <c r="K88" s="21">
        <f>countif('v2010'!$A:$A,A88)</f>
        <v>1</v>
      </c>
      <c r="L88" s="21">
        <f>countif('v2006'!$A:$A,A88)</f>
        <v>1</v>
      </c>
      <c r="M88" s="21">
        <f>countif('v2002'!$A:$A,A88)</f>
        <v>1</v>
      </c>
      <c r="N88" s="21">
        <f>countif('v1998'!$A:$A,A88)</f>
        <v>1</v>
      </c>
    </row>
    <row r="89">
      <c r="A89" s="17" t="s">
        <v>1632</v>
      </c>
      <c r="B89" s="17" t="s">
        <v>1629</v>
      </c>
      <c r="C89" s="23">
        <f>countif(Constants!A:A,B89)</f>
        <v>1</v>
      </c>
      <c r="E89" s="57" t="str">
        <f t="shared" si="1"/>
        <v>link</v>
      </c>
      <c r="G89" s="43">
        <f t="shared" si="2"/>
        <v>7</v>
      </c>
      <c r="H89" s="21">
        <f>countif('v2022'!$A:$A,A89)</f>
        <v>1</v>
      </c>
      <c r="I89" s="21">
        <f>countif('v2018'!$A:$A,A89)</f>
        <v>1</v>
      </c>
      <c r="J89" s="21">
        <f>countif('v2014'!$A:$A,A89)</f>
        <v>1</v>
      </c>
      <c r="K89" s="21">
        <f>countif('v2010'!$A:$A,A89)</f>
        <v>1</v>
      </c>
      <c r="L89" s="21">
        <f>countif('v2006'!$A:$A,A89)</f>
        <v>1</v>
      </c>
      <c r="M89" s="21">
        <f>countif('v2002'!$A:$A,A89)</f>
        <v>1</v>
      </c>
      <c r="N89" s="21">
        <f>countif('v1998'!$A:$A,A89)</f>
        <v>1</v>
      </c>
    </row>
    <row r="90">
      <c r="A90" s="17" t="s">
        <v>1643</v>
      </c>
      <c r="B90" s="17" t="s">
        <v>1639</v>
      </c>
      <c r="C90" s="23">
        <f>countif(Constants!A:A,B90)</f>
        <v>1</v>
      </c>
      <c r="E90" s="57" t="str">
        <f t="shared" si="1"/>
        <v>link</v>
      </c>
      <c r="G90" s="43">
        <f t="shared" si="2"/>
        <v>7</v>
      </c>
      <c r="H90" s="21">
        <f>countif('v2022'!$A:$A,A90)</f>
        <v>1</v>
      </c>
      <c r="I90" s="21">
        <f>countif('v2018'!$A:$A,A90)</f>
        <v>1</v>
      </c>
      <c r="J90" s="21">
        <f>countif('v2014'!$A:$A,A90)</f>
        <v>1</v>
      </c>
      <c r="K90" s="21">
        <f>countif('v2010'!$A:$A,A90)</f>
        <v>1</v>
      </c>
      <c r="L90" s="21">
        <f>countif('v2006'!$A:$A,A90)</f>
        <v>1</v>
      </c>
      <c r="M90" s="21">
        <f>countif('v2002'!$A:$A,A90)</f>
        <v>1</v>
      </c>
      <c r="N90" s="21">
        <f>countif('v1998'!$A:$A,A90)</f>
        <v>1</v>
      </c>
    </row>
    <row r="91">
      <c r="A91" s="17" t="s">
        <v>1651</v>
      </c>
      <c r="B91" s="17" t="s">
        <v>1650</v>
      </c>
      <c r="C91" s="23">
        <f>countif(Constants!A:A,B91)</f>
        <v>1</v>
      </c>
      <c r="E91" s="57" t="str">
        <f t="shared" si="1"/>
        <v>link</v>
      </c>
      <c r="G91" s="43">
        <f t="shared" si="2"/>
        <v>7</v>
      </c>
      <c r="H91" s="21">
        <f>countif('v2022'!$A:$A,A91)</f>
        <v>1</v>
      </c>
      <c r="I91" s="21">
        <f>countif('v2018'!$A:$A,A91)</f>
        <v>1</v>
      </c>
      <c r="J91" s="21">
        <f>countif('v2014'!$A:$A,A91)</f>
        <v>1</v>
      </c>
      <c r="K91" s="21">
        <f>countif('v2010'!$A:$A,A91)</f>
        <v>1</v>
      </c>
      <c r="L91" s="21">
        <f>countif('v2006'!$A:$A,A91)</f>
        <v>1</v>
      </c>
      <c r="M91" s="21">
        <f>countif('v2002'!$A:$A,A91)</f>
        <v>1</v>
      </c>
      <c r="N91" s="21">
        <f>countif('v1998'!$A:$A,A91)</f>
        <v>1</v>
      </c>
    </row>
    <row r="92">
      <c r="A92" s="17" t="s">
        <v>1677</v>
      </c>
      <c r="B92" s="17" t="s">
        <v>1676</v>
      </c>
      <c r="C92" s="23">
        <f>countif(Constants!A:A,B92)</f>
        <v>1</v>
      </c>
      <c r="E92" s="57" t="str">
        <f t="shared" si="1"/>
        <v>link</v>
      </c>
      <c r="G92" s="43">
        <f t="shared" si="2"/>
        <v>2</v>
      </c>
      <c r="H92" s="21">
        <f>countif('v2022'!$A:$A,A92)</f>
        <v>1</v>
      </c>
      <c r="I92" s="21">
        <f>countif('v2018'!$A:$A,A92)</f>
        <v>1</v>
      </c>
      <c r="J92" s="21">
        <f>countif('v2014'!$A:$A,A92)</f>
        <v>0</v>
      </c>
      <c r="K92" s="21">
        <f>countif('v2010'!$A:$A,A92)</f>
        <v>0</v>
      </c>
      <c r="L92" s="21">
        <f>countif('v2006'!$A:$A,A92)</f>
        <v>0</v>
      </c>
      <c r="M92" s="21">
        <f>countif('v2002'!$A:$A,A92)</f>
        <v>0</v>
      </c>
      <c r="N92" s="21">
        <f>countif('v1998'!$A:$A,A92)</f>
        <v>0</v>
      </c>
    </row>
    <row r="93">
      <c r="A93" s="17" t="s">
        <v>1681</v>
      </c>
      <c r="B93" s="17" t="s">
        <v>1680</v>
      </c>
      <c r="C93" s="23">
        <f>countif(Constants!A:A,B93)</f>
        <v>1</v>
      </c>
      <c r="E93" s="57" t="str">
        <f t="shared" si="1"/>
        <v>link</v>
      </c>
      <c r="G93" s="43">
        <f t="shared" si="2"/>
        <v>6</v>
      </c>
      <c r="H93" s="21">
        <f>countif('v2022'!$A:$A,A93)</f>
        <v>1</v>
      </c>
      <c r="I93" s="21">
        <f>countif('v2018'!$A:$A,A93)</f>
        <v>1</v>
      </c>
      <c r="J93" s="21">
        <f>countif('v2014'!$A:$A,A93)</f>
        <v>1</v>
      </c>
      <c r="K93" s="21">
        <f>countif('v2010'!$A:$A,A93)</f>
        <v>1</v>
      </c>
      <c r="L93" s="21">
        <f>countif('v2006'!$A:$A,A93)</f>
        <v>1</v>
      </c>
      <c r="M93" s="21">
        <f>countif('v2002'!$A:$A,A93)</f>
        <v>1</v>
      </c>
      <c r="N93" s="21">
        <f>countif('v1998'!$A:$A,A93)</f>
        <v>0</v>
      </c>
    </row>
    <row r="94">
      <c r="A94" s="17" t="s">
        <v>1734</v>
      </c>
      <c r="B94" s="17" t="s">
        <v>1516</v>
      </c>
      <c r="C94" s="23">
        <f>countif(Constants!A:A,B94)</f>
        <v>1</v>
      </c>
      <c r="E94" s="57" t="str">
        <f t="shared" si="1"/>
        <v>link</v>
      </c>
      <c r="G94" s="43">
        <f t="shared" si="2"/>
        <v>4</v>
      </c>
      <c r="H94" s="21">
        <f>countif('v2022'!$A:$A,A94)</f>
        <v>1</v>
      </c>
      <c r="I94" s="21">
        <f>countif('v2018'!$A:$A,A94)</f>
        <v>1</v>
      </c>
      <c r="J94" s="21">
        <f>countif('v2014'!$A:$A,A94)</f>
        <v>1</v>
      </c>
      <c r="K94" s="21">
        <f>countif('v2010'!$A:$A,A94)</f>
        <v>1</v>
      </c>
      <c r="L94" s="21">
        <f>countif('v2006'!$A:$A,A94)</f>
        <v>0</v>
      </c>
      <c r="M94" s="21">
        <f>countif('v2002'!$A:$A,A94)</f>
        <v>0</v>
      </c>
      <c r="N94" s="21">
        <f>countif('v1998'!$A:$A,A94)</f>
        <v>0</v>
      </c>
    </row>
    <row r="95">
      <c r="A95" s="17" t="s">
        <v>1985</v>
      </c>
      <c r="B95" s="17" t="s">
        <v>1516</v>
      </c>
      <c r="C95" s="23">
        <f>countif(Constants!A:A,B95)</f>
        <v>1</v>
      </c>
      <c r="E95" s="57" t="str">
        <f t="shared" si="1"/>
        <v>link</v>
      </c>
      <c r="G95" s="43">
        <f t="shared" si="2"/>
        <v>3</v>
      </c>
      <c r="H95" s="21">
        <f>countif('v2022'!$A:$A,A95)</f>
        <v>0</v>
      </c>
      <c r="I95" s="21">
        <f>countif('v2018'!$A:$A,A95)</f>
        <v>0</v>
      </c>
      <c r="J95" s="21">
        <f>countif('v2014'!$A:$A,A95)</f>
        <v>0</v>
      </c>
      <c r="K95" s="21">
        <f>countif('v2010'!$A:$A,A95)</f>
        <v>0</v>
      </c>
      <c r="L95" s="21">
        <f>countif('v2006'!$A:$A,A95)</f>
        <v>1</v>
      </c>
      <c r="M95" s="21">
        <f>countif('v2002'!$A:$A,A95)</f>
        <v>1</v>
      </c>
      <c r="N95" s="21">
        <f>countif('v1998'!$A:$A,A95)</f>
        <v>1</v>
      </c>
    </row>
    <row r="96">
      <c r="A96" s="17" t="s">
        <v>1738</v>
      </c>
      <c r="B96" s="17" t="s">
        <v>1529</v>
      </c>
      <c r="C96" s="23">
        <f>countif(Constants!A:A,B96)</f>
        <v>1</v>
      </c>
      <c r="E96" s="57" t="str">
        <f t="shared" si="1"/>
        <v>link</v>
      </c>
      <c r="G96" s="43">
        <f t="shared" si="2"/>
        <v>7</v>
      </c>
      <c r="H96" s="21">
        <f>countif('v2022'!$A:$A,A96)</f>
        <v>1</v>
      </c>
      <c r="I96" s="21">
        <f>countif('v2018'!$A:$A,A96)</f>
        <v>1</v>
      </c>
      <c r="J96" s="21">
        <f>countif('v2014'!$A:$A,A96)</f>
        <v>1</v>
      </c>
      <c r="K96" s="21">
        <f>countif('v2010'!$A:$A,A96)</f>
        <v>1</v>
      </c>
      <c r="L96" s="21">
        <f>countif('v2006'!$A:$A,A96)</f>
        <v>1</v>
      </c>
      <c r="M96" s="21">
        <f>countif('v2002'!$A:$A,A96)</f>
        <v>1</v>
      </c>
      <c r="N96" s="21">
        <f>countif('v1998'!$A:$A,A96)</f>
        <v>1</v>
      </c>
    </row>
    <row r="97">
      <c r="A97" s="17" t="s">
        <v>1777</v>
      </c>
      <c r="B97" s="17" t="s">
        <v>1658</v>
      </c>
      <c r="C97" s="23">
        <f>countif(Constants!A:A,B97)</f>
        <v>1</v>
      </c>
      <c r="E97" s="57" t="str">
        <f t="shared" si="1"/>
        <v>link</v>
      </c>
      <c r="G97" s="43">
        <f t="shared" si="2"/>
        <v>4</v>
      </c>
      <c r="H97" s="21">
        <f>countif('v2022'!$A:$A,A97)</f>
        <v>1</v>
      </c>
      <c r="I97" s="21">
        <f>countif('v2018'!$A:$A,A97)</f>
        <v>1</v>
      </c>
      <c r="J97" s="21">
        <f>countif('v2014'!$A:$A,A97)</f>
        <v>1</v>
      </c>
      <c r="K97" s="21">
        <f>countif('v2010'!$A:$A,A97)</f>
        <v>1</v>
      </c>
      <c r="L97" s="21">
        <f>countif('v2006'!$A:$A,A97)</f>
        <v>0</v>
      </c>
      <c r="M97" s="21">
        <f>countif('v2002'!$A:$A,A97)</f>
        <v>0</v>
      </c>
      <c r="N97" s="21">
        <f>countif('v1998'!$A:$A,A97)</f>
        <v>0</v>
      </c>
    </row>
    <row r="98">
      <c r="A98" s="17" t="s">
        <v>1994</v>
      </c>
      <c r="B98" s="17" t="s">
        <v>1658</v>
      </c>
      <c r="C98" s="23">
        <f>countif(Constants!A:A,B98)</f>
        <v>1</v>
      </c>
      <c r="E98" s="57" t="str">
        <f t="shared" si="1"/>
        <v>link</v>
      </c>
      <c r="G98" s="43">
        <f t="shared" si="2"/>
        <v>3</v>
      </c>
      <c r="H98" s="21">
        <f>countif('v2022'!$A:$A,A98)</f>
        <v>0</v>
      </c>
      <c r="I98" s="21">
        <f>countif('v2018'!$A:$A,A98)</f>
        <v>0</v>
      </c>
      <c r="J98" s="21">
        <f>countif('v2014'!$A:$A,A98)</f>
        <v>0</v>
      </c>
      <c r="K98" s="21">
        <f>countif('v2010'!$A:$A,A98)</f>
        <v>0</v>
      </c>
      <c r="L98" s="21">
        <f>countif('v2006'!$A:$A,A98)</f>
        <v>1</v>
      </c>
      <c r="M98" s="21">
        <f>countif('v2002'!$A:$A,A98)</f>
        <v>1</v>
      </c>
      <c r="N98" s="21">
        <f>countif('v1998'!$A:$A,A98)</f>
        <v>1</v>
      </c>
    </row>
    <row r="99">
      <c r="A99" s="17" t="s">
        <v>1781</v>
      </c>
      <c r="B99" s="17" t="s">
        <v>1664</v>
      </c>
      <c r="C99" s="23">
        <f>countif(Constants!A:A,B99)</f>
        <v>1</v>
      </c>
      <c r="E99" s="57" t="str">
        <f t="shared" si="1"/>
        <v>link</v>
      </c>
      <c r="G99" s="43">
        <f t="shared" si="2"/>
        <v>4</v>
      </c>
      <c r="H99" s="21">
        <f>countif('v2022'!$A:$A,A99)</f>
        <v>1</v>
      </c>
      <c r="I99" s="21">
        <f>countif('v2018'!$A:$A,A99)</f>
        <v>1</v>
      </c>
      <c r="J99" s="21">
        <f>countif('v2014'!$A:$A,A99)</f>
        <v>1</v>
      </c>
      <c r="K99" s="21">
        <f>countif('v2010'!$A:$A,A99)</f>
        <v>1</v>
      </c>
      <c r="L99" s="21">
        <f>countif('v2006'!$A:$A,A99)</f>
        <v>0</v>
      </c>
      <c r="M99" s="21">
        <f>countif('v2002'!$A:$A,A99)</f>
        <v>0</v>
      </c>
      <c r="N99" s="21">
        <f>countif('v1998'!$A:$A,A99)</f>
        <v>0</v>
      </c>
    </row>
    <row r="100">
      <c r="A100" s="17" t="s">
        <v>2016</v>
      </c>
      <c r="B100" s="17" t="s">
        <v>1664</v>
      </c>
      <c r="C100" s="23">
        <f>countif(Constants!A:A,B100)</f>
        <v>1</v>
      </c>
      <c r="E100" s="57" t="str">
        <f t="shared" si="1"/>
        <v>link</v>
      </c>
      <c r="G100" s="43">
        <f t="shared" si="2"/>
        <v>3</v>
      </c>
      <c r="H100" s="21">
        <f>countif('v2022'!$A:$A,A100)</f>
        <v>0</v>
      </c>
      <c r="I100" s="21">
        <f>countif('v2018'!$A:$A,A100)</f>
        <v>0</v>
      </c>
      <c r="J100" s="21">
        <f>countif('v2014'!$A:$A,A100)</f>
        <v>0</v>
      </c>
      <c r="K100" s="21">
        <f>countif('v2010'!$A:$A,A100)</f>
        <v>0</v>
      </c>
      <c r="L100" s="21">
        <f>countif('v2006'!$A:$A,A100)</f>
        <v>1</v>
      </c>
      <c r="M100" s="21">
        <f>countif('v2002'!$A:$A,A100)</f>
        <v>1</v>
      </c>
      <c r="N100" s="21">
        <f>countif('v1998'!$A:$A,A100)</f>
        <v>1</v>
      </c>
    </row>
    <row r="101">
      <c r="A101" s="17" t="s">
        <v>1785</v>
      </c>
      <c r="B101" s="17" t="s">
        <v>1669</v>
      </c>
      <c r="C101" s="23">
        <f>countif(Constants!A:A,B101)</f>
        <v>1</v>
      </c>
      <c r="E101" s="57" t="str">
        <f t="shared" si="1"/>
        <v>link</v>
      </c>
      <c r="G101" s="43">
        <f t="shared" si="2"/>
        <v>7</v>
      </c>
      <c r="H101" s="21">
        <f>countif('v2022'!$A:$A,A101)</f>
        <v>1</v>
      </c>
      <c r="I101" s="21">
        <f>countif('v2018'!$A:$A,A101)</f>
        <v>1</v>
      </c>
      <c r="J101" s="21">
        <f>countif('v2014'!$A:$A,A101)</f>
        <v>1</v>
      </c>
      <c r="K101" s="21">
        <f>countif('v2010'!$A:$A,A101)</f>
        <v>1</v>
      </c>
      <c r="L101" s="21">
        <f>countif('v2006'!$A:$A,A101)</f>
        <v>1</v>
      </c>
      <c r="M101" s="21">
        <f>countif('v2002'!$A:$A,A101)</f>
        <v>1</v>
      </c>
      <c r="N101" s="21">
        <f>countif('v1998'!$A:$A,A101)</f>
        <v>1</v>
      </c>
    </row>
    <row r="102">
      <c r="A102" s="17" t="s">
        <v>2034</v>
      </c>
      <c r="B102" s="17" t="s">
        <v>2035</v>
      </c>
      <c r="C102" s="23">
        <f>countif(Constants!A:A,B102)</f>
        <v>1</v>
      </c>
      <c r="E102" s="57" t="str">
        <f t="shared" si="1"/>
        <v>link</v>
      </c>
      <c r="G102" s="43">
        <f t="shared" si="2"/>
        <v>5</v>
      </c>
      <c r="H102" s="21">
        <f>countif('v2022'!$A:$A,A102)</f>
        <v>0</v>
      </c>
      <c r="I102" s="21">
        <f>countif('v2018'!$A:$A,A102)</f>
        <v>0</v>
      </c>
      <c r="J102" s="21">
        <f>countif('v2014'!$A:$A,A102)</f>
        <v>1</v>
      </c>
      <c r="K102" s="21">
        <f>countif('v2010'!$A:$A,A102)</f>
        <v>1</v>
      </c>
      <c r="L102" s="21">
        <f>countif('v2006'!$A:$A,A102)</f>
        <v>1</v>
      </c>
      <c r="M102" s="21">
        <f>countif('v2002'!$A:$A,A102)</f>
        <v>1</v>
      </c>
      <c r="N102" s="21">
        <f>countif('v1998'!$A:$A,A102)</f>
        <v>1</v>
      </c>
    </row>
    <row r="103">
      <c r="A103" s="17" t="s">
        <v>1687</v>
      </c>
      <c r="B103" s="17" t="s">
        <v>1686</v>
      </c>
      <c r="C103" s="23">
        <f>countif(Constants!A:A,B103)</f>
        <v>1</v>
      </c>
      <c r="E103" s="57" t="str">
        <f t="shared" si="1"/>
        <v>link</v>
      </c>
      <c r="G103" s="43">
        <f t="shared" si="2"/>
        <v>7</v>
      </c>
      <c r="H103" s="21">
        <f>countif('v2022'!$A:$A,A103)</f>
        <v>1</v>
      </c>
      <c r="I103" s="21">
        <f>countif('v2018'!$A:$A,A103)</f>
        <v>1</v>
      </c>
      <c r="J103" s="21">
        <f>countif('v2014'!$A:$A,A103)</f>
        <v>1</v>
      </c>
      <c r="K103" s="21">
        <f>countif('v2010'!$A:$A,A103)</f>
        <v>1</v>
      </c>
      <c r="L103" s="21">
        <f>countif('v2006'!$A:$A,A103)</f>
        <v>1</v>
      </c>
      <c r="M103" s="21">
        <f>countif('v2002'!$A:$A,A103)</f>
        <v>1</v>
      </c>
      <c r="N103" s="21">
        <f>countif('v1998'!$A:$A,A103)</f>
        <v>1</v>
      </c>
    </row>
    <row r="104">
      <c r="A104" s="17" t="s">
        <v>1706</v>
      </c>
      <c r="B104" s="17" t="s">
        <v>1705</v>
      </c>
      <c r="C104" s="23">
        <f>countif(Constants!A:A,B104)</f>
        <v>1</v>
      </c>
      <c r="E104" s="57" t="str">
        <f t="shared" si="1"/>
        <v>link</v>
      </c>
      <c r="G104" s="43">
        <f t="shared" si="2"/>
        <v>7</v>
      </c>
      <c r="H104" s="21">
        <f>countif('v2022'!$A:$A,A104)</f>
        <v>1</v>
      </c>
      <c r="I104" s="21">
        <f>countif('v2018'!$A:$A,A104)</f>
        <v>1</v>
      </c>
      <c r="J104" s="21">
        <f>countif('v2014'!$A:$A,A104)</f>
        <v>1</v>
      </c>
      <c r="K104" s="21">
        <f>countif('v2010'!$A:$A,A104)</f>
        <v>1</v>
      </c>
      <c r="L104" s="21">
        <f>countif('v2006'!$A:$A,A104)</f>
        <v>1</v>
      </c>
      <c r="M104" s="21">
        <f>countif('v2002'!$A:$A,A104)</f>
        <v>1</v>
      </c>
      <c r="N104" s="21">
        <f>countif('v1998'!$A:$A,A104)</f>
        <v>1</v>
      </c>
    </row>
    <row r="105">
      <c r="A105" s="17" t="s">
        <v>1812</v>
      </c>
      <c r="B105" s="17" t="s">
        <v>1714</v>
      </c>
      <c r="C105" s="23">
        <f>countif(Constants!A:A,B105)</f>
        <v>1</v>
      </c>
      <c r="E105" s="57" t="str">
        <f t="shared" si="1"/>
        <v>link</v>
      </c>
      <c r="G105" s="43">
        <f t="shared" si="2"/>
        <v>4</v>
      </c>
      <c r="H105" s="21">
        <f>countif('v2022'!$A:$A,A105)</f>
        <v>1</v>
      </c>
      <c r="I105" s="21">
        <f>countif('v2018'!$A:$A,A105)</f>
        <v>1</v>
      </c>
      <c r="J105" s="21">
        <f>countif('v2014'!$A:$A,A105)</f>
        <v>1</v>
      </c>
      <c r="K105" s="21">
        <f>countif('v2010'!$A:$A,A105)</f>
        <v>1</v>
      </c>
      <c r="L105" s="21">
        <f>countif('v2006'!$A:$A,A105)</f>
        <v>0</v>
      </c>
      <c r="M105" s="21">
        <f>countif('v2002'!$A:$A,A105)</f>
        <v>0</v>
      </c>
      <c r="N105" s="21">
        <f>countif('v1998'!$A:$A,A105)</f>
        <v>0</v>
      </c>
    </row>
    <row r="106">
      <c r="A106" s="17" t="s">
        <v>1715</v>
      </c>
      <c r="B106" s="17" t="s">
        <v>1714</v>
      </c>
      <c r="C106" s="23">
        <f>countif(Constants!A:A,B106)</f>
        <v>1</v>
      </c>
      <c r="E106" s="57" t="str">
        <f t="shared" si="1"/>
        <v>link</v>
      </c>
      <c r="G106" s="43">
        <f t="shared" si="2"/>
        <v>3</v>
      </c>
      <c r="H106" s="21">
        <f>countif('v2022'!$A:$A,A106)</f>
        <v>0</v>
      </c>
      <c r="I106" s="21">
        <f>countif('v2018'!$A:$A,A106)</f>
        <v>0</v>
      </c>
      <c r="J106" s="21">
        <f>countif('v2014'!$A:$A,A106)</f>
        <v>0</v>
      </c>
      <c r="K106" s="21">
        <f>countif('v2010'!$A:$A,A106)</f>
        <v>0</v>
      </c>
      <c r="L106" s="21">
        <f>countif('v2006'!$A:$A,A106)</f>
        <v>1</v>
      </c>
      <c r="M106" s="21">
        <f>countif('v2002'!$A:$A,A106)</f>
        <v>1</v>
      </c>
      <c r="N106" s="21">
        <f>countif('v1998'!$A:$A,A106)</f>
        <v>1</v>
      </c>
    </row>
    <row r="107">
      <c r="A107" s="17" t="s">
        <v>1815</v>
      </c>
      <c r="B107" s="17" t="s">
        <v>1729</v>
      </c>
      <c r="C107" s="23">
        <f>countif(Constants!A:A,B107)</f>
        <v>1</v>
      </c>
      <c r="E107" s="57" t="str">
        <f t="shared" si="1"/>
        <v>link</v>
      </c>
      <c r="G107" s="43">
        <f t="shared" si="2"/>
        <v>2</v>
      </c>
      <c r="H107" s="21">
        <f>countif('v2022'!$A:$A,A107)</f>
        <v>1</v>
      </c>
      <c r="I107" s="21">
        <f>countif('v2018'!$A:$A,A107)</f>
        <v>1</v>
      </c>
      <c r="J107" s="21">
        <f>countif('v2014'!$A:$A,A107)</f>
        <v>0</v>
      </c>
      <c r="K107" s="21">
        <f>countif('v2010'!$A:$A,A107)</f>
        <v>0</v>
      </c>
      <c r="L107" s="21">
        <f>countif('v2006'!$A:$A,A107)</f>
        <v>0</v>
      </c>
      <c r="M107" s="21">
        <f>countif('v2002'!$A:$A,A107)</f>
        <v>0</v>
      </c>
      <c r="N107" s="21">
        <f>countif('v1998'!$A:$A,A107)</f>
        <v>0</v>
      </c>
    </row>
    <row r="108">
      <c r="A108" s="17" t="s">
        <v>2102</v>
      </c>
      <c r="B108" s="17" t="s">
        <v>1729</v>
      </c>
      <c r="C108" s="23">
        <f>countif(Constants!A:A,B108)</f>
        <v>1</v>
      </c>
      <c r="E108" s="57" t="str">
        <f t="shared" si="1"/>
        <v>link</v>
      </c>
      <c r="G108" s="43">
        <f t="shared" si="2"/>
        <v>2</v>
      </c>
      <c r="H108" s="21">
        <f>countif('v2022'!$A:$A,A108)</f>
        <v>0</v>
      </c>
      <c r="I108" s="21">
        <f>countif('v2018'!$A:$A,A108)</f>
        <v>0</v>
      </c>
      <c r="J108" s="21">
        <f>countif('v2014'!$A:$A,A108)</f>
        <v>1</v>
      </c>
      <c r="K108" s="21">
        <f>countif('v2010'!$A:$A,A108)</f>
        <v>1</v>
      </c>
      <c r="L108" s="21">
        <f>countif('v2006'!$A:$A,A108)</f>
        <v>0</v>
      </c>
      <c r="M108" s="21">
        <f>countif('v2002'!$A:$A,A108)</f>
        <v>0</v>
      </c>
      <c r="N108" s="21">
        <f>countif('v1998'!$A:$A,A108)</f>
        <v>0</v>
      </c>
    </row>
    <row r="109">
      <c r="A109" s="17" t="s">
        <v>1731</v>
      </c>
      <c r="B109" s="17" t="s">
        <v>1729</v>
      </c>
      <c r="C109" s="23">
        <f>countif(Constants!A:A,B109)</f>
        <v>1</v>
      </c>
      <c r="E109" s="57" t="str">
        <f t="shared" si="1"/>
        <v>link</v>
      </c>
      <c r="G109" s="43">
        <f t="shared" si="2"/>
        <v>3</v>
      </c>
      <c r="H109" s="21">
        <f>countif('v2022'!$A:$A,A109)</f>
        <v>0</v>
      </c>
      <c r="I109" s="21">
        <f>countif('v2018'!$A:$A,A109)</f>
        <v>0</v>
      </c>
      <c r="J109" s="21">
        <f>countif('v2014'!$A:$A,A109)</f>
        <v>0</v>
      </c>
      <c r="K109" s="21">
        <f>countif('v2010'!$A:$A,A109)</f>
        <v>0</v>
      </c>
      <c r="L109" s="21">
        <f>countif('v2006'!$A:$A,A109)</f>
        <v>1</v>
      </c>
      <c r="M109" s="21">
        <f>countif('v2002'!$A:$A,A109)</f>
        <v>1</v>
      </c>
      <c r="N109" s="21">
        <f>countif('v1998'!$A:$A,A109)</f>
        <v>1</v>
      </c>
    </row>
    <row r="110">
      <c r="A110" s="17" t="s">
        <v>1825</v>
      </c>
      <c r="B110" s="17" t="s">
        <v>1761</v>
      </c>
      <c r="C110" s="23">
        <f>countif(Constants!A:A,B110)</f>
        <v>1</v>
      </c>
      <c r="E110" s="57" t="str">
        <f t="shared" si="1"/>
        <v>link</v>
      </c>
      <c r="G110" s="43">
        <f t="shared" si="2"/>
        <v>4</v>
      </c>
      <c r="H110" s="21">
        <f>countif('v2022'!$A:$A,A110)</f>
        <v>1</v>
      </c>
      <c r="I110" s="21">
        <f>countif('v2018'!$A:$A,A110)</f>
        <v>1</v>
      </c>
      <c r="J110" s="21">
        <f>countif('v2014'!$A:$A,A110)</f>
        <v>1</v>
      </c>
      <c r="K110" s="21">
        <f>countif('v2010'!$A:$A,A110)</f>
        <v>1</v>
      </c>
      <c r="L110" s="21">
        <f>countif('v2006'!$A:$A,A110)</f>
        <v>0</v>
      </c>
      <c r="M110" s="21">
        <f>countif('v2002'!$A:$A,A110)</f>
        <v>0</v>
      </c>
      <c r="N110" s="21">
        <f>countif('v1998'!$A:$A,A110)</f>
        <v>0</v>
      </c>
    </row>
    <row r="111">
      <c r="A111" s="17" t="s">
        <v>1827</v>
      </c>
      <c r="B111" s="17" t="s">
        <v>1772</v>
      </c>
      <c r="C111" s="23">
        <f>countif(Constants!A:A,B111)</f>
        <v>2</v>
      </c>
      <c r="E111" s="57" t="str">
        <f t="shared" si="1"/>
        <v>link</v>
      </c>
      <c r="G111" s="43">
        <f t="shared" si="2"/>
        <v>4</v>
      </c>
      <c r="H111" s="21">
        <f>countif('v2022'!$A:$A,A111)</f>
        <v>1</v>
      </c>
      <c r="I111" s="21">
        <f>countif('v2018'!$A:$A,A111)</f>
        <v>1</v>
      </c>
      <c r="J111" s="21">
        <f>countif('v2014'!$A:$A,A111)</f>
        <v>1</v>
      </c>
      <c r="K111" s="21">
        <f>countif('v2010'!$A:$A,A111)</f>
        <v>1</v>
      </c>
      <c r="L111" s="21">
        <f>countif('v2006'!$A:$A,A111)</f>
        <v>0</v>
      </c>
      <c r="M111" s="21">
        <f>countif('v2002'!$A:$A,A111)</f>
        <v>0</v>
      </c>
      <c r="N111" s="21">
        <f>countif('v1998'!$A:$A,A111)</f>
        <v>0</v>
      </c>
    </row>
    <row r="112">
      <c r="A112" s="17" t="s">
        <v>1833</v>
      </c>
      <c r="B112" s="17" t="s">
        <v>1788</v>
      </c>
      <c r="C112" s="23">
        <f>countif(Constants!A:A,B112)</f>
        <v>1</v>
      </c>
      <c r="E112" s="57" t="str">
        <f t="shared" si="1"/>
        <v>link</v>
      </c>
      <c r="G112" s="43">
        <f t="shared" si="2"/>
        <v>4</v>
      </c>
      <c r="H112" s="21">
        <f>countif('v2022'!$A:$A,A112)</f>
        <v>1</v>
      </c>
      <c r="I112" s="21">
        <f>countif('v2018'!$A:$A,A112)</f>
        <v>1</v>
      </c>
      <c r="J112" s="21">
        <f>countif('v2014'!$A:$A,A112)</f>
        <v>1</v>
      </c>
      <c r="K112" s="21">
        <f>countif('v2010'!$A:$A,A112)</f>
        <v>1</v>
      </c>
      <c r="L112" s="21">
        <f>countif('v2006'!$A:$A,A112)</f>
        <v>0</v>
      </c>
      <c r="M112" s="21">
        <f>countif('v2002'!$A:$A,A112)</f>
        <v>0</v>
      </c>
      <c r="N112" s="21">
        <f>countif('v1998'!$A:$A,A112)</f>
        <v>0</v>
      </c>
    </row>
    <row r="113">
      <c r="A113" s="17" t="s">
        <v>1837</v>
      </c>
      <c r="B113" s="17" t="s">
        <v>1799</v>
      </c>
      <c r="C113" s="23">
        <f>countif(Constants!A:A,B113)</f>
        <v>1</v>
      </c>
      <c r="E113" s="57" t="str">
        <f t="shared" si="1"/>
        <v>link</v>
      </c>
      <c r="G113" s="43">
        <f t="shared" si="2"/>
        <v>4</v>
      </c>
      <c r="H113" s="21">
        <f>countif('v2022'!$A:$A,A113)</f>
        <v>1</v>
      </c>
      <c r="I113" s="21">
        <f>countif('v2018'!$A:$A,A113)</f>
        <v>1</v>
      </c>
      <c r="J113" s="21">
        <f>countif('v2014'!$A:$A,A113)</f>
        <v>1</v>
      </c>
      <c r="K113" s="21">
        <f>countif('v2010'!$A:$A,A113)</f>
        <v>1</v>
      </c>
      <c r="L113" s="21">
        <f>countif('v2006'!$A:$A,A113)</f>
        <v>0</v>
      </c>
      <c r="M113" s="21">
        <f>countif('v2002'!$A:$A,A113)</f>
        <v>0</v>
      </c>
      <c r="N113" s="21">
        <f>countif('v1998'!$A:$A,A113)</f>
        <v>0</v>
      </c>
    </row>
    <row r="114">
      <c r="A114" s="17" t="s">
        <v>1763</v>
      </c>
      <c r="B114" s="17" t="s">
        <v>1761</v>
      </c>
      <c r="C114" s="23">
        <f>countif(Constants!A:A,B114)</f>
        <v>1</v>
      </c>
      <c r="E114" s="57" t="str">
        <f t="shared" si="1"/>
        <v>link</v>
      </c>
      <c r="G114" s="43">
        <f t="shared" si="2"/>
        <v>3</v>
      </c>
      <c r="H114" s="21">
        <f>countif('v2022'!$A:$A,A114)</f>
        <v>0</v>
      </c>
      <c r="I114" s="21">
        <f>countif('v2018'!$A:$A,A114)</f>
        <v>0</v>
      </c>
      <c r="J114" s="21">
        <f>countif('v2014'!$A:$A,A114)</f>
        <v>0</v>
      </c>
      <c r="K114" s="21">
        <f>countif('v2010'!$A:$A,A114)</f>
        <v>0</v>
      </c>
      <c r="L114" s="21">
        <f>countif('v2006'!$A:$A,A114)</f>
        <v>1</v>
      </c>
      <c r="M114" s="21">
        <f>countif('v2002'!$A:$A,A114)</f>
        <v>1</v>
      </c>
      <c r="N114" s="21">
        <f>countif('v1998'!$A:$A,A114)</f>
        <v>1</v>
      </c>
    </row>
    <row r="115">
      <c r="A115" s="17" t="s">
        <v>1773</v>
      </c>
      <c r="B115" s="17" t="s">
        <v>1772</v>
      </c>
      <c r="C115" s="23">
        <f>countif(Constants!A:A,B115)</f>
        <v>2</v>
      </c>
      <c r="E115" s="57" t="str">
        <f t="shared" si="1"/>
        <v>link</v>
      </c>
      <c r="G115" s="43">
        <f t="shared" si="2"/>
        <v>3</v>
      </c>
      <c r="H115" s="21">
        <f>countif('v2022'!$A:$A,A115)</f>
        <v>0</v>
      </c>
      <c r="I115" s="21">
        <f>countif('v2018'!$A:$A,A115)</f>
        <v>0</v>
      </c>
      <c r="J115" s="21">
        <f>countif('v2014'!$A:$A,A115)</f>
        <v>0</v>
      </c>
      <c r="K115" s="21">
        <f>countif('v2010'!$A:$A,A115)</f>
        <v>0</v>
      </c>
      <c r="L115" s="21">
        <f>countif('v2006'!$A:$A,A115)</f>
        <v>1</v>
      </c>
      <c r="M115" s="21">
        <f>countif('v2002'!$A:$A,A115)</f>
        <v>1</v>
      </c>
      <c r="N115" s="21">
        <f>countif('v1998'!$A:$A,A115)</f>
        <v>1</v>
      </c>
    </row>
    <row r="116">
      <c r="A116" s="17" t="s">
        <v>1789</v>
      </c>
      <c r="B116" s="17" t="s">
        <v>1788</v>
      </c>
      <c r="C116" s="23">
        <f>countif(Constants!A:A,B116)</f>
        <v>1</v>
      </c>
      <c r="E116" s="57" t="str">
        <f t="shared" si="1"/>
        <v>link</v>
      </c>
      <c r="G116" s="43">
        <f t="shared" si="2"/>
        <v>3</v>
      </c>
      <c r="H116" s="21">
        <f>countif('v2022'!$A:$A,A116)</f>
        <v>0</v>
      </c>
      <c r="I116" s="21">
        <f>countif('v2018'!$A:$A,A116)</f>
        <v>0</v>
      </c>
      <c r="J116" s="21">
        <f>countif('v2014'!$A:$A,A116)</f>
        <v>0</v>
      </c>
      <c r="K116" s="21">
        <f>countif('v2010'!$A:$A,A116)</f>
        <v>0</v>
      </c>
      <c r="L116" s="21">
        <f>countif('v2006'!$A:$A,A116)</f>
        <v>1</v>
      </c>
      <c r="M116" s="21">
        <f>countif('v2002'!$A:$A,A116)</f>
        <v>1</v>
      </c>
      <c r="N116" s="21">
        <f>countif('v1998'!$A:$A,A116)</f>
        <v>1</v>
      </c>
    </row>
    <row r="117">
      <c r="A117" s="17" t="s">
        <v>1800</v>
      </c>
      <c r="B117" s="17" t="s">
        <v>1799</v>
      </c>
      <c r="C117" s="23">
        <f>countif(Constants!A:A,B117)</f>
        <v>1</v>
      </c>
      <c r="E117" s="57" t="str">
        <f t="shared" si="1"/>
        <v>link</v>
      </c>
      <c r="G117" s="43">
        <f t="shared" si="2"/>
        <v>3</v>
      </c>
      <c r="H117" s="21">
        <f>countif('v2022'!$A:$A,A117)</f>
        <v>0</v>
      </c>
      <c r="I117" s="21">
        <f>countif('v2018'!$A:$A,A117)</f>
        <v>0</v>
      </c>
      <c r="J117" s="21">
        <f>countif('v2014'!$A:$A,A117)</f>
        <v>0</v>
      </c>
      <c r="K117" s="21">
        <f>countif('v2010'!$A:$A,A117)</f>
        <v>0</v>
      </c>
      <c r="L117" s="21">
        <f>countif('v2006'!$A:$A,A117)</f>
        <v>1</v>
      </c>
      <c r="M117" s="21">
        <f>countif('v2002'!$A:$A,A117)</f>
        <v>1</v>
      </c>
      <c r="N117" s="21">
        <f>countif('v1998'!$A:$A,A117)</f>
        <v>1</v>
      </c>
    </row>
    <row r="118">
      <c r="A118" s="17" t="s">
        <v>1818</v>
      </c>
      <c r="B118" s="17" t="s">
        <v>1814</v>
      </c>
      <c r="C118" s="23">
        <f>countif(Constants!A:A,B118)</f>
        <v>1</v>
      </c>
      <c r="E118" s="57" t="str">
        <f t="shared" si="1"/>
        <v>link</v>
      </c>
      <c r="G118" s="43">
        <f t="shared" si="2"/>
        <v>7</v>
      </c>
      <c r="H118" s="21">
        <f>countif('v2022'!$A:$A,A118)</f>
        <v>1</v>
      </c>
      <c r="I118" s="21">
        <f>countif('v2018'!$A:$A,A118)</f>
        <v>1</v>
      </c>
      <c r="J118" s="21">
        <f>countif('v2014'!$A:$A,A118)</f>
        <v>1</v>
      </c>
      <c r="K118" s="21">
        <f>countif('v2010'!$A:$A,A118)</f>
        <v>1</v>
      </c>
      <c r="L118" s="21">
        <f>countif('v2006'!$A:$A,A118)</f>
        <v>1</v>
      </c>
      <c r="M118" s="21">
        <f>countif('v2002'!$A:$A,A118)</f>
        <v>1</v>
      </c>
      <c r="N118" s="21">
        <f>countif('v1998'!$A:$A,A118)</f>
        <v>1</v>
      </c>
    </row>
    <row r="119">
      <c r="A119" s="17" t="s">
        <v>1831</v>
      </c>
      <c r="B119" s="17" t="s">
        <v>1830</v>
      </c>
      <c r="C119" s="23">
        <f>countif(Constants!A:A,B119)</f>
        <v>1</v>
      </c>
      <c r="E119" s="57" t="str">
        <f t="shared" si="1"/>
        <v>link</v>
      </c>
      <c r="G119" s="43">
        <f t="shared" si="2"/>
        <v>7</v>
      </c>
      <c r="H119" s="21">
        <f>countif('v2022'!$A:$A,A119)</f>
        <v>1</v>
      </c>
      <c r="I119" s="21">
        <f>countif('v2018'!$A:$A,A119)</f>
        <v>1</v>
      </c>
      <c r="J119" s="21">
        <f>countif('v2014'!$A:$A,A119)</f>
        <v>1</v>
      </c>
      <c r="K119" s="21">
        <f>countif('v2010'!$A:$A,A119)</f>
        <v>1</v>
      </c>
      <c r="L119" s="21">
        <f>countif('v2006'!$A:$A,A119)</f>
        <v>1</v>
      </c>
      <c r="M119" s="21">
        <f>countif('v2002'!$A:$A,A119)</f>
        <v>1</v>
      </c>
      <c r="N119" s="21">
        <f>countif('v1998'!$A:$A,A119)</f>
        <v>1</v>
      </c>
    </row>
    <row r="120">
      <c r="A120" s="17" t="s">
        <v>1845</v>
      </c>
      <c r="B120" s="17" t="s">
        <v>1842</v>
      </c>
      <c r="C120" s="23">
        <f>countif(Constants!A:A,B120)</f>
        <v>1</v>
      </c>
      <c r="E120" s="57" t="str">
        <f t="shared" si="1"/>
        <v>link</v>
      </c>
      <c r="G120" s="43">
        <f t="shared" si="2"/>
        <v>7</v>
      </c>
      <c r="H120" s="21">
        <f>countif('v2022'!$A:$A,A120)</f>
        <v>1</v>
      </c>
      <c r="I120" s="21">
        <f>countif('v2018'!$A:$A,A120)</f>
        <v>1</v>
      </c>
      <c r="J120" s="21">
        <f>countif('v2014'!$A:$A,A120)</f>
        <v>1</v>
      </c>
      <c r="K120" s="21">
        <f>countif('v2010'!$A:$A,A120)</f>
        <v>1</v>
      </c>
      <c r="L120" s="21">
        <f>countif('v2006'!$A:$A,A120)</f>
        <v>1</v>
      </c>
      <c r="M120" s="21">
        <f>countif('v2002'!$A:$A,A120)</f>
        <v>1</v>
      </c>
      <c r="N120" s="21">
        <f>countif('v1998'!$A:$A,A120)</f>
        <v>1</v>
      </c>
    </row>
    <row r="121">
      <c r="A121" s="17" t="s">
        <v>1853</v>
      </c>
      <c r="B121" s="17" t="s">
        <v>1856</v>
      </c>
      <c r="C121" s="23">
        <f>countif(Constants!A:A,B121)</f>
        <v>1</v>
      </c>
      <c r="E121" s="57" t="str">
        <f t="shared" si="1"/>
        <v>link</v>
      </c>
      <c r="G121" s="43">
        <f t="shared" si="2"/>
        <v>7</v>
      </c>
      <c r="H121" s="21">
        <f>countif('v2022'!$A:$A,A121)</f>
        <v>1</v>
      </c>
      <c r="I121" s="21">
        <f>countif('v2018'!$A:$A,A121)</f>
        <v>1</v>
      </c>
      <c r="J121" s="21">
        <f>countif('v2014'!$A:$A,A121)</f>
        <v>1</v>
      </c>
      <c r="K121" s="21">
        <f>countif('v2010'!$A:$A,A121)</f>
        <v>1</v>
      </c>
      <c r="L121" s="21">
        <f>countif('v2006'!$A:$A,A121)</f>
        <v>1</v>
      </c>
      <c r="M121" s="21">
        <f>countif('v2002'!$A:$A,A121)</f>
        <v>1</v>
      </c>
      <c r="N121" s="21">
        <f>countif('v1998'!$A:$A,A121)</f>
        <v>1</v>
      </c>
    </row>
    <row r="122">
      <c r="A122" s="17" t="s">
        <v>1860</v>
      </c>
      <c r="B122" s="17" t="s">
        <v>1875</v>
      </c>
      <c r="C122" s="23">
        <f>countif(Constants!A:A,B122)</f>
        <v>1</v>
      </c>
      <c r="E122" s="57" t="str">
        <f t="shared" si="1"/>
        <v>link</v>
      </c>
      <c r="G122" s="43">
        <f t="shared" si="2"/>
        <v>7</v>
      </c>
      <c r="H122" s="21">
        <f>countif('v2022'!$A:$A,A122)</f>
        <v>1</v>
      </c>
      <c r="I122" s="21">
        <f>countif('v2018'!$A:$A,A122)</f>
        <v>1</v>
      </c>
      <c r="J122" s="21">
        <f>countif('v2014'!$A:$A,A122)</f>
        <v>1</v>
      </c>
      <c r="K122" s="21">
        <f>countif('v2010'!$A:$A,A122)</f>
        <v>1</v>
      </c>
      <c r="L122" s="21">
        <f>countif('v2006'!$A:$A,A122)</f>
        <v>1</v>
      </c>
      <c r="M122" s="21">
        <f>countif('v2002'!$A:$A,A122)</f>
        <v>1</v>
      </c>
      <c r="N122" s="21">
        <f>countif('v1998'!$A:$A,A122)</f>
        <v>1</v>
      </c>
    </row>
    <row r="123">
      <c r="A123" s="17" t="s">
        <v>1893</v>
      </c>
      <c r="B123" s="17" t="s">
        <v>1991</v>
      </c>
      <c r="C123" s="23">
        <f>countif(Constants!A:A,B123)</f>
        <v>1</v>
      </c>
      <c r="E123" s="57" t="str">
        <f t="shared" si="1"/>
        <v>link</v>
      </c>
      <c r="G123" s="43">
        <f t="shared" si="2"/>
        <v>2</v>
      </c>
      <c r="H123" s="21">
        <f>countif('v2022'!$A:$A,A123)</f>
        <v>1</v>
      </c>
      <c r="I123" s="21">
        <f>countif('v2018'!$A:$A,A123)</f>
        <v>1</v>
      </c>
      <c r="J123" s="21">
        <f>countif('v2014'!$A:$A,A123)</f>
        <v>0</v>
      </c>
      <c r="K123" s="21">
        <f>countif('v2010'!$A:$A,A123)</f>
        <v>0</v>
      </c>
      <c r="L123" s="21">
        <f>countif('v2006'!$A:$A,A123)</f>
        <v>0</v>
      </c>
      <c r="M123" s="21">
        <f>countif('v2002'!$A:$A,A123)</f>
        <v>0</v>
      </c>
      <c r="N123" s="21">
        <f>countif('v1998'!$A:$A,A123)</f>
        <v>0</v>
      </c>
    </row>
    <row r="124">
      <c r="A124" s="17" t="s">
        <v>1900</v>
      </c>
      <c r="B124" s="17" t="s">
        <v>2006</v>
      </c>
      <c r="C124" s="23">
        <f>countif(Constants!A:A,B124)</f>
        <v>1</v>
      </c>
      <c r="E124" s="57" t="str">
        <f t="shared" si="1"/>
        <v>link</v>
      </c>
      <c r="G124" s="43">
        <f t="shared" si="2"/>
        <v>7</v>
      </c>
      <c r="H124" s="21">
        <f>countif('v2022'!$A:$A,A124)</f>
        <v>1</v>
      </c>
      <c r="I124" s="21">
        <f>countif('v2018'!$A:$A,A124)</f>
        <v>1</v>
      </c>
      <c r="J124" s="21">
        <f>countif('v2014'!$A:$A,A124)</f>
        <v>1</v>
      </c>
      <c r="K124" s="21">
        <f>countif('v2010'!$A:$A,A124)</f>
        <v>1</v>
      </c>
      <c r="L124" s="21">
        <f>countif('v2006'!$A:$A,A124)</f>
        <v>1</v>
      </c>
      <c r="M124" s="21">
        <f>countif('v2002'!$A:$A,A124)</f>
        <v>1</v>
      </c>
      <c r="N124" s="21">
        <f>countif('v1998'!$A:$A,A124)</f>
        <v>1</v>
      </c>
    </row>
    <row r="125">
      <c r="A125" s="17" t="s">
        <v>1904</v>
      </c>
      <c r="B125" s="17" t="s">
        <v>2021</v>
      </c>
      <c r="C125" s="23">
        <f>countif(Constants!A:A,B125)</f>
        <v>1</v>
      </c>
      <c r="E125" s="57" t="str">
        <f t="shared" si="1"/>
        <v>link</v>
      </c>
      <c r="G125" s="43">
        <f t="shared" si="2"/>
        <v>4</v>
      </c>
      <c r="H125" s="21">
        <f>countif('v2022'!$A:$A,A125)</f>
        <v>1</v>
      </c>
      <c r="I125" s="21">
        <f>countif('v2018'!$A:$A,A125)</f>
        <v>1</v>
      </c>
      <c r="J125" s="21">
        <f>countif('v2014'!$A:$A,A125)</f>
        <v>1</v>
      </c>
      <c r="K125" s="21">
        <f>countif('v2010'!$A:$A,A125)</f>
        <v>1</v>
      </c>
      <c r="L125" s="21">
        <f>countif('v2006'!$A:$A,A125)</f>
        <v>0</v>
      </c>
      <c r="M125" s="21">
        <f>countif('v2002'!$A:$A,A125)</f>
        <v>0</v>
      </c>
      <c r="N125" s="21">
        <f>countif('v1998'!$A:$A,A125)</f>
        <v>0</v>
      </c>
    </row>
    <row r="126">
      <c r="A126" s="17" t="s">
        <v>2022</v>
      </c>
      <c r="B126" s="17" t="s">
        <v>2021</v>
      </c>
      <c r="C126" s="23">
        <f>countif(Constants!A:A,B126)</f>
        <v>1</v>
      </c>
      <c r="E126" s="57" t="str">
        <f t="shared" si="1"/>
        <v>link</v>
      </c>
      <c r="G126" s="43">
        <f t="shared" si="2"/>
        <v>3</v>
      </c>
      <c r="H126" s="21">
        <f>countif('v2022'!$A:$A,A126)</f>
        <v>0</v>
      </c>
      <c r="I126" s="21">
        <f>countif('v2018'!$A:$A,A126)</f>
        <v>0</v>
      </c>
      <c r="J126" s="21">
        <f>countif('v2014'!$A:$A,A126)</f>
        <v>0</v>
      </c>
      <c r="K126" s="21">
        <f>countif('v2010'!$A:$A,A126)</f>
        <v>0</v>
      </c>
      <c r="L126" s="21">
        <f>countif('v2006'!$A:$A,A126)</f>
        <v>1</v>
      </c>
      <c r="M126" s="21">
        <f>countif('v2002'!$A:$A,A126)</f>
        <v>1</v>
      </c>
      <c r="N126" s="21">
        <f>countif('v1998'!$A:$A,A126)</f>
        <v>1</v>
      </c>
    </row>
    <row r="127">
      <c r="A127" s="17" t="s">
        <v>1910</v>
      </c>
      <c r="B127" s="17" t="s">
        <v>2030</v>
      </c>
      <c r="C127" s="23">
        <f>countif(Constants!A:A,B127)</f>
        <v>1</v>
      </c>
      <c r="E127" s="57" t="str">
        <f t="shared" si="1"/>
        <v>link</v>
      </c>
      <c r="G127" s="43">
        <f t="shared" si="2"/>
        <v>4</v>
      </c>
      <c r="H127" s="21">
        <f>countif('v2022'!$A:$A,A127)</f>
        <v>1</v>
      </c>
      <c r="I127" s="21">
        <f>countif('v2018'!$A:$A,A127)</f>
        <v>1</v>
      </c>
      <c r="J127" s="21">
        <f>countif('v2014'!$A:$A,A127)</f>
        <v>1</v>
      </c>
      <c r="K127" s="21">
        <f>countif('v2010'!$A:$A,A127)</f>
        <v>1</v>
      </c>
      <c r="L127" s="21">
        <f>countif('v2006'!$A:$A,A127)</f>
        <v>0</v>
      </c>
      <c r="M127" s="21">
        <f>countif('v2002'!$A:$A,A127)</f>
        <v>0</v>
      </c>
      <c r="N127" s="21">
        <f>countif('v1998'!$A:$A,A127)</f>
        <v>0</v>
      </c>
    </row>
    <row r="128">
      <c r="A128" s="17" t="s">
        <v>2031</v>
      </c>
      <c r="B128" s="17" t="s">
        <v>2030</v>
      </c>
      <c r="C128" s="23">
        <f>countif(Constants!A:A,B128)</f>
        <v>1</v>
      </c>
      <c r="E128" s="57" t="str">
        <f t="shared" si="1"/>
        <v>link</v>
      </c>
      <c r="G128" s="43">
        <f t="shared" si="2"/>
        <v>3</v>
      </c>
      <c r="H128" s="21">
        <f>countif('v2022'!$A:$A,A128)</f>
        <v>0</v>
      </c>
      <c r="I128" s="21">
        <f>countif('v2018'!$A:$A,A128)</f>
        <v>0</v>
      </c>
      <c r="J128" s="21">
        <f>countif('v2014'!$A:$A,A128)</f>
        <v>0</v>
      </c>
      <c r="K128" s="21">
        <f>countif('v2010'!$A:$A,A128)</f>
        <v>0</v>
      </c>
      <c r="L128" s="21">
        <f>countif('v2006'!$A:$A,A128)</f>
        <v>1</v>
      </c>
      <c r="M128" s="21">
        <f>countif('v2002'!$A:$A,A128)</f>
        <v>1</v>
      </c>
      <c r="N128" s="21">
        <f>countif('v1998'!$A:$A,A128)</f>
        <v>1</v>
      </c>
    </row>
    <row r="129">
      <c r="A129" s="17" t="s">
        <v>1919</v>
      </c>
      <c r="B129" s="17" t="s">
        <v>2075</v>
      </c>
      <c r="C129" s="23">
        <f>countif(Constants!A:A,B129)</f>
        <v>1</v>
      </c>
      <c r="E129" s="57" t="str">
        <f t="shared" si="1"/>
        <v>link</v>
      </c>
      <c r="G129" s="43">
        <f t="shared" si="2"/>
        <v>7</v>
      </c>
      <c r="H129" s="21">
        <f>countif('v2022'!$A:$A,A129)</f>
        <v>1</v>
      </c>
      <c r="I129" s="21">
        <f>countif('v2018'!$A:$A,A129)</f>
        <v>1</v>
      </c>
      <c r="J129" s="21">
        <f>countif('v2014'!$A:$A,A129)</f>
        <v>1</v>
      </c>
      <c r="K129" s="21">
        <f>countif('v2010'!$A:$A,A129)</f>
        <v>1</v>
      </c>
      <c r="L129" s="21">
        <f>countif('v2006'!$A:$A,A129)</f>
        <v>1</v>
      </c>
      <c r="M129" s="21">
        <f>countif('v2002'!$A:$A,A129)</f>
        <v>1</v>
      </c>
      <c r="N129" s="21">
        <f>countif('v1998'!$A:$A,A129)</f>
        <v>1</v>
      </c>
    </row>
    <row r="130">
      <c r="A130" s="17" t="s">
        <v>1920</v>
      </c>
      <c r="B130" s="17" t="s">
        <v>2096</v>
      </c>
      <c r="C130" s="23">
        <f>countif(Constants!A:A,B130)</f>
        <v>1</v>
      </c>
      <c r="E130" s="57" t="str">
        <f t="shared" si="1"/>
        <v>link</v>
      </c>
      <c r="G130" s="43">
        <f t="shared" si="2"/>
        <v>7</v>
      </c>
      <c r="H130" s="21">
        <f>countif('v2022'!$A:$A,A130)</f>
        <v>1</v>
      </c>
      <c r="I130" s="21">
        <f>countif('v2018'!$A:$A,A130)</f>
        <v>1</v>
      </c>
      <c r="J130" s="21">
        <f>countif('v2014'!$A:$A,A130)</f>
        <v>1</v>
      </c>
      <c r="K130" s="21">
        <f>countif('v2010'!$A:$A,A130)</f>
        <v>1</v>
      </c>
      <c r="L130" s="21">
        <f>countif('v2006'!$A:$A,A130)</f>
        <v>1</v>
      </c>
      <c r="M130" s="21">
        <f>countif('v2002'!$A:$A,A130)</f>
        <v>1</v>
      </c>
      <c r="N130" s="21">
        <f>countif('v1998'!$A:$A,A130)</f>
        <v>1</v>
      </c>
    </row>
    <row r="131">
      <c r="A131" s="17" t="s">
        <v>1923</v>
      </c>
      <c r="B131" s="17" t="s">
        <v>2112</v>
      </c>
      <c r="C131" s="23">
        <f>countif(Constants!A:A,B131)</f>
        <v>1</v>
      </c>
      <c r="E131" s="57" t="str">
        <f t="shared" si="1"/>
        <v>link</v>
      </c>
      <c r="G131" s="43">
        <f t="shared" si="2"/>
        <v>7</v>
      </c>
      <c r="H131" s="21">
        <f>countif('v2022'!$A:$A,A131)</f>
        <v>1</v>
      </c>
      <c r="I131" s="21">
        <f>countif('v2018'!$A:$A,A131)</f>
        <v>1</v>
      </c>
      <c r="J131" s="21">
        <f>countif('v2014'!$A:$A,A131)</f>
        <v>1</v>
      </c>
      <c r="K131" s="21">
        <f>countif('v2010'!$A:$A,A131)</f>
        <v>1</v>
      </c>
      <c r="L131" s="21">
        <f>countif('v2006'!$A:$A,A131)</f>
        <v>1</v>
      </c>
      <c r="M131" s="21">
        <f>countif('v2002'!$A:$A,A131)</f>
        <v>1</v>
      </c>
      <c r="N131" s="21">
        <f>countif('v1998'!$A:$A,A131)</f>
        <v>1</v>
      </c>
    </row>
    <row r="132">
      <c r="A132" s="17" t="s">
        <v>1931</v>
      </c>
      <c r="B132" s="17" t="s">
        <v>2123</v>
      </c>
      <c r="C132" s="23">
        <f>countif(Constants!A:A,B132)</f>
        <v>1</v>
      </c>
      <c r="E132" s="57" t="str">
        <f t="shared" si="1"/>
        <v>link</v>
      </c>
      <c r="G132" s="43">
        <f t="shared" si="2"/>
        <v>7</v>
      </c>
      <c r="H132" s="21">
        <f>countif('v2022'!$A:$A,A132)</f>
        <v>1</v>
      </c>
      <c r="I132" s="21">
        <f>countif('v2018'!$A:$A,A132)</f>
        <v>1</v>
      </c>
      <c r="J132" s="21">
        <f>countif('v2014'!$A:$A,A132)</f>
        <v>1</v>
      </c>
      <c r="K132" s="21">
        <f>countif('v2010'!$A:$A,A132)</f>
        <v>1</v>
      </c>
      <c r="L132" s="21">
        <f>countif('v2006'!$A:$A,A132)</f>
        <v>1</v>
      </c>
      <c r="M132" s="21">
        <f>countif('v2002'!$A:$A,A132)</f>
        <v>1</v>
      </c>
      <c r="N132" s="21">
        <f>countif('v1998'!$A:$A,A132)</f>
        <v>1</v>
      </c>
    </row>
    <row r="133">
      <c r="A133" s="17" t="s">
        <v>1934</v>
      </c>
      <c r="B133" s="17" t="s">
        <v>2140</v>
      </c>
      <c r="C133" s="23">
        <f>countif(Constants!A:A,B133)</f>
        <v>1</v>
      </c>
      <c r="E133" s="57" t="str">
        <f t="shared" si="1"/>
        <v>link</v>
      </c>
      <c r="G133" s="43">
        <f t="shared" si="2"/>
        <v>7</v>
      </c>
      <c r="H133" s="21">
        <f>countif('v2022'!$A:$A,A133)</f>
        <v>1</v>
      </c>
      <c r="I133" s="21">
        <f>countif('v2018'!$A:$A,A133)</f>
        <v>1</v>
      </c>
      <c r="J133" s="21">
        <f>countif('v2014'!$A:$A,A133)</f>
        <v>1</v>
      </c>
      <c r="K133" s="21">
        <f>countif('v2010'!$A:$A,A133)</f>
        <v>1</v>
      </c>
      <c r="L133" s="21">
        <f>countif('v2006'!$A:$A,A133)</f>
        <v>1</v>
      </c>
      <c r="M133" s="21">
        <f>countif('v2002'!$A:$A,A133)</f>
        <v>1</v>
      </c>
      <c r="N133" s="21">
        <f>countif('v1998'!$A:$A,A133)</f>
        <v>1</v>
      </c>
    </row>
    <row r="134">
      <c r="A134" s="17" t="s">
        <v>1937</v>
      </c>
      <c r="B134" s="17" t="s">
        <v>2155</v>
      </c>
      <c r="C134" s="23">
        <f>countif(Constants!A:A,B134)</f>
        <v>1</v>
      </c>
      <c r="E134" s="57" t="str">
        <f t="shared" si="1"/>
        <v>link</v>
      </c>
      <c r="G134" s="43">
        <f t="shared" si="2"/>
        <v>7</v>
      </c>
      <c r="H134" s="21">
        <f>countif('v2022'!$A:$A,A134)</f>
        <v>1</v>
      </c>
      <c r="I134" s="21">
        <f>countif('v2018'!$A:$A,A134)</f>
        <v>1</v>
      </c>
      <c r="J134" s="21">
        <f>countif('v2014'!$A:$A,A134)</f>
        <v>1</v>
      </c>
      <c r="K134" s="21">
        <f>countif('v2010'!$A:$A,A134)</f>
        <v>1</v>
      </c>
      <c r="L134" s="21">
        <f>countif('v2006'!$A:$A,A134)</f>
        <v>1</v>
      </c>
      <c r="M134" s="21">
        <f>countif('v2002'!$A:$A,A134)</f>
        <v>1</v>
      </c>
      <c r="N134" s="21">
        <f>countif('v1998'!$A:$A,A134)</f>
        <v>1</v>
      </c>
    </row>
    <row r="135">
      <c r="A135" s="17" t="s">
        <v>1940</v>
      </c>
      <c r="B135" s="17" t="s">
        <v>2169</v>
      </c>
      <c r="C135" s="23">
        <f>countif(Constants!A:A,B135)</f>
        <v>1</v>
      </c>
      <c r="E135" s="57" t="str">
        <f t="shared" si="1"/>
        <v>link</v>
      </c>
      <c r="G135" s="43">
        <f t="shared" si="2"/>
        <v>7</v>
      </c>
      <c r="H135" s="21">
        <f>countif('v2022'!$A:$A,A135)</f>
        <v>1</v>
      </c>
      <c r="I135" s="21">
        <f>countif('v2018'!$A:$A,A135)</f>
        <v>1</v>
      </c>
      <c r="J135" s="21">
        <f>countif('v2014'!$A:$A,A135)</f>
        <v>1</v>
      </c>
      <c r="K135" s="21">
        <f>countif('v2010'!$A:$A,A135)</f>
        <v>1</v>
      </c>
      <c r="L135" s="21">
        <f>countif('v2006'!$A:$A,A135)</f>
        <v>1</v>
      </c>
      <c r="M135" s="21">
        <f>countif('v2002'!$A:$A,A135)</f>
        <v>1</v>
      </c>
      <c r="N135" s="21">
        <f>countif('v1998'!$A:$A,A135)</f>
        <v>1</v>
      </c>
    </row>
    <row r="136">
      <c r="A136" s="17" t="s">
        <v>1944</v>
      </c>
      <c r="B136" s="17" t="s">
        <v>2186</v>
      </c>
      <c r="C136" s="23">
        <f>countif(Constants!A:A,B136)</f>
        <v>1</v>
      </c>
      <c r="E136" s="57" t="str">
        <f t="shared" si="1"/>
        <v>link</v>
      </c>
      <c r="G136" s="43">
        <f t="shared" si="2"/>
        <v>7</v>
      </c>
      <c r="H136" s="21">
        <f>countif('v2022'!$A:$A,A136)</f>
        <v>1</v>
      </c>
      <c r="I136" s="21">
        <f>countif('v2018'!$A:$A,A136)</f>
        <v>1</v>
      </c>
      <c r="J136" s="21">
        <f>countif('v2014'!$A:$A,A136)</f>
        <v>1</v>
      </c>
      <c r="K136" s="21">
        <f>countif('v2010'!$A:$A,A136)</f>
        <v>1</v>
      </c>
      <c r="L136" s="21">
        <f>countif('v2006'!$A:$A,A136)</f>
        <v>1</v>
      </c>
      <c r="M136" s="21">
        <f>countif('v2002'!$A:$A,A136)</f>
        <v>1</v>
      </c>
      <c r="N136" s="21">
        <f>countif('v1998'!$A:$A,A136)</f>
        <v>1</v>
      </c>
    </row>
    <row r="137">
      <c r="A137" s="17" t="s">
        <v>1802</v>
      </c>
      <c r="B137" s="17" t="s">
        <v>1694</v>
      </c>
      <c r="C137" s="23">
        <f>countif(Constants!A:A,B137)</f>
        <v>1</v>
      </c>
      <c r="E137" s="57" t="str">
        <f t="shared" si="1"/>
        <v>link</v>
      </c>
      <c r="G137" s="43">
        <f t="shared" si="2"/>
        <v>4</v>
      </c>
      <c r="H137" s="21">
        <f>countif('v2022'!$A:$A,A137)</f>
        <v>1</v>
      </c>
      <c r="I137" s="21">
        <f>countif('v2018'!$A:$A,A137)</f>
        <v>1</v>
      </c>
      <c r="J137" s="21">
        <f>countif('v2014'!$A:$A,A137)</f>
        <v>1</v>
      </c>
      <c r="K137" s="21">
        <f>countif('v2010'!$A:$A,A137)</f>
        <v>1</v>
      </c>
      <c r="L137" s="21">
        <f>countif('v2006'!$A:$A,A137)</f>
        <v>0</v>
      </c>
      <c r="M137" s="21">
        <f>countif('v2002'!$A:$A,A137)</f>
        <v>0</v>
      </c>
      <c r="N137" s="21">
        <f>countif('v1998'!$A:$A,A137)</f>
        <v>0</v>
      </c>
    </row>
    <row r="138">
      <c r="A138" s="17" t="s">
        <v>2376</v>
      </c>
      <c r="B138" s="17" t="s">
        <v>1694</v>
      </c>
      <c r="C138" s="23">
        <f>countif(Constants!A:A,B138)</f>
        <v>1</v>
      </c>
      <c r="E138" s="57" t="str">
        <f t="shared" si="1"/>
        <v>link</v>
      </c>
      <c r="G138" s="43">
        <f t="shared" si="2"/>
        <v>3</v>
      </c>
      <c r="H138" s="21">
        <f>countif('v2022'!$A:$A,A138)</f>
        <v>0</v>
      </c>
      <c r="I138" s="21">
        <f>countif('v2018'!$A:$A,A138)</f>
        <v>0</v>
      </c>
      <c r="J138" s="21">
        <f>countif('v2014'!$A:$A,A138)</f>
        <v>0</v>
      </c>
      <c r="K138" s="21">
        <f>countif('v2010'!$A:$A,A138)</f>
        <v>0</v>
      </c>
      <c r="L138" s="21">
        <f>countif('v2006'!$A:$A,A138)</f>
        <v>1</v>
      </c>
      <c r="M138" s="21">
        <f>countif('v2002'!$A:$A,A138)</f>
        <v>1</v>
      </c>
      <c r="N138" s="21">
        <f>countif('v1998'!$A:$A,A138)</f>
        <v>1</v>
      </c>
    </row>
    <row r="139">
      <c r="A139" s="17" t="s">
        <v>1806</v>
      </c>
      <c r="B139" s="17" t="s">
        <v>1700</v>
      </c>
      <c r="C139" s="23">
        <f>countif(Constants!A:A,B139)</f>
        <v>1</v>
      </c>
      <c r="E139" s="57" t="str">
        <f t="shared" si="1"/>
        <v>link</v>
      </c>
      <c r="G139" s="43">
        <f t="shared" si="2"/>
        <v>7</v>
      </c>
      <c r="H139" s="21">
        <f>countif('v2022'!$A:$A,A139)</f>
        <v>1</v>
      </c>
      <c r="I139" s="21">
        <f>countif('v2018'!$A:$A,A139)</f>
        <v>1</v>
      </c>
      <c r="J139" s="21">
        <f>countif('v2014'!$A:$A,A139)</f>
        <v>1</v>
      </c>
      <c r="K139" s="21">
        <f>countif('v2010'!$A:$A,A139)</f>
        <v>1</v>
      </c>
      <c r="L139" s="21">
        <f>countif('v2006'!$A:$A,A139)</f>
        <v>1</v>
      </c>
      <c r="M139" s="21">
        <f>countif('v2002'!$A:$A,A139)</f>
        <v>1</v>
      </c>
      <c r="N139" s="21">
        <f>countif('v1998'!$A:$A,A139)</f>
        <v>1</v>
      </c>
    </row>
    <row r="140">
      <c r="A140" s="17" t="s">
        <v>1820</v>
      </c>
      <c r="B140" s="17" t="s">
        <v>1752</v>
      </c>
      <c r="C140" s="23">
        <f>countif(Constants!A:A,B140)</f>
        <v>1</v>
      </c>
      <c r="E140" s="57" t="str">
        <f t="shared" si="1"/>
        <v>link</v>
      </c>
      <c r="G140" s="43">
        <f t="shared" si="2"/>
        <v>4</v>
      </c>
      <c r="H140" s="21">
        <f>countif('v2022'!$A:$A,A140)</f>
        <v>1</v>
      </c>
      <c r="I140" s="21">
        <f>countif('v2018'!$A:$A,A140)</f>
        <v>1</v>
      </c>
      <c r="J140" s="21">
        <f>countif('v2014'!$A:$A,A140)</f>
        <v>1</v>
      </c>
      <c r="K140" s="21">
        <f>countif('v2010'!$A:$A,A140)</f>
        <v>1</v>
      </c>
      <c r="L140" s="21">
        <f>countif('v2006'!$A:$A,A140)</f>
        <v>0</v>
      </c>
      <c r="M140" s="21">
        <f>countif('v2002'!$A:$A,A140)</f>
        <v>0</v>
      </c>
      <c r="N140" s="21">
        <f>countif('v1998'!$A:$A,A140)</f>
        <v>0</v>
      </c>
    </row>
    <row r="141">
      <c r="A141" s="17" t="s">
        <v>1864</v>
      </c>
      <c r="B141" s="17" t="s">
        <v>1889</v>
      </c>
      <c r="C141" s="23">
        <f>countif(Constants!A:A,B141)</f>
        <v>1</v>
      </c>
      <c r="E141" s="57" t="str">
        <f t="shared" si="1"/>
        <v>link</v>
      </c>
      <c r="G141" s="43">
        <f t="shared" si="2"/>
        <v>4</v>
      </c>
      <c r="H141" s="21">
        <f>countif('v2022'!$A:$A,A141)</f>
        <v>1</v>
      </c>
      <c r="I141" s="21">
        <f>countif('v2018'!$A:$A,A141)</f>
        <v>1</v>
      </c>
      <c r="J141" s="21">
        <f>countif('v2014'!$A:$A,A141)</f>
        <v>1</v>
      </c>
      <c r="K141" s="21">
        <f>countif('v2010'!$A:$A,A141)</f>
        <v>1</v>
      </c>
      <c r="L141" s="21">
        <f>countif('v2006'!$A:$A,A141)</f>
        <v>0</v>
      </c>
      <c r="M141" s="21">
        <f>countif('v2002'!$A:$A,A141)</f>
        <v>0</v>
      </c>
      <c r="N141" s="21">
        <f>countif('v1998'!$A:$A,A141)</f>
        <v>0</v>
      </c>
    </row>
    <row r="142">
      <c r="A142" s="17" t="s">
        <v>2432</v>
      </c>
      <c r="B142" s="17" t="s">
        <v>1889</v>
      </c>
      <c r="C142" s="23">
        <f>countif(Constants!A:A,B142)</f>
        <v>1</v>
      </c>
      <c r="E142" s="57" t="str">
        <f t="shared" si="1"/>
        <v>link</v>
      </c>
      <c r="G142" s="43">
        <f t="shared" si="2"/>
        <v>3</v>
      </c>
      <c r="H142" s="21">
        <f>countif('v2022'!$A:$A,A142)</f>
        <v>0</v>
      </c>
      <c r="I142" s="21">
        <f>countif('v2018'!$A:$A,A142)</f>
        <v>0</v>
      </c>
      <c r="J142" s="21">
        <f>countif('v2014'!$A:$A,A142)</f>
        <v>0</v>
      </c>
      <c r="K142" s="21">
        <f>countif('v2010'!$A:$A,A142)</f>
        <v>0</v>
      </c>
      <c r="L142" s="21">
        <f>countif('v2006'!$A:$A,A142)</f>
        <v>1</v>
      </c>
      <c r="M142" s="21">
        <f>countif('v2002'!$A:$A,A142)</f>
        <v>1</v>
      </c>
      <c r="N142" s="21">
        <f>countif('v1998'!$A:$A,A142)</f>
        <v>1</v>
      </c>
    </row>
    <row r="143">
      <c r="A143" s="17" t="s">
        <v>1868</v>
      </c>
      <c r="B143" s="17" t="s">
        <v>1908</v>
      </c>
      <c r="C143" s="23">
        <f>countif(Constants!A:A,B143)</f>
        <v>1</v>
      </c>
      <c r="E143" s="57" t="str">
        <f t="shared" si="1"/>
        <v>link</v>
      </c>
      <c r="G143" s="43">
        <f t="shared" si="2"/>
        <v>7</v>
      </c>
      <c r="H143" s="21">
        <f>countif('v2022'!$A:$A,A143)</f>
        <v>1</v>
      </c>
      <c r="I143" s="21">
        <f>countif('v2018'!$A:$A,A143)</f>
        <v>1</v>
      </c>
      <c r="J143" s="21">
        <f>countif('v2014'!$A:$A,A143)</f>
        <v>1</v>
      </c>
      <c r="K143" s="21">
        <f>countif('v2010'!$A:$A,A143)</f>
        <v>1</v>
      </c>
      <c r="L143" s="21">
        <f>countif('v2006'!$A:$A,A143)</f>
        <v>1</v>
      </c>
      <c r="M143" s="21">
        <f>countif('v2002'!$A:$A,A143)</f>
        <v>1</v>
      </c>
      <c r="N143" s="21">
        <f>countif('v1998'!$A:$A,A143)</f>
        <v>1</v>
      </c>
    </row>
    <row r="144">
      <c r="A144" s="17" t="s">
        <v>1872</v>
      </c>
      <c r="B144" s="17" t="s">
        <v>1926</v>
      </c>
      <c r="C144" s="23">
        <f>countif(Constants!A:A,B144)</f>
        <v>1</v>
      </c>
      <c r="E144" s="57" t="str">
        <f t="shared" si="1"/>
        <v>link</v>
      </c>
      <c r="G144" s="43">
        <f t="shared" si="2"/>
        <v>4</v>
      </c>
      <c r="H144" s="21">
        <f>countif('v2022'!$A:$A,A144)</f>
        <v>1</v>
      </c>
      <c r="I144" s="21">
        <f>countif('v2018'!$A:$A,A144)</f>
        <v>1</v>
      </c>
      <c r="J144" s="21">
        <f>countif('v2014'!$A:$A,A144)</f>
        <v>1</v>
      </c>
      <c r="K144" s="21">
        <f>countif('v2010'!$A:$A,A144)</f>
        <v>1</v>
      </c>
      <c r="L144" s="21">
        <f>countif('v2006'!$A:$A,A144)</f>
        <v>0</v>
      </c>
      <c r="M144" s="21">
        <f>countif('v2002'!$A:$A,A144)</f>
        <v>0</v>
      </c>
      <c r="N144" s="21">
        <f>countif('v1998'!$A:$A,A144)</f>
        <v>0</v>
      </c>
    </row>
    <row r="145">
      <c r="A145" s="17" t="s">
        <v>2498</v>
      </c>
      <c r="B145" s="17" t="s">
        <v>1926</v>
      </c>
      <c r="C145" s="23">
        <f>countif(Constants!A:A,B145)</f>
        <v>1</v>
      </c>
      <c r="E145" s="57" t="str">
        <f t="shared" si="1"/>
        <v>link</v>
      </c>
      <c r="G145" s="43">
        <f t="shared" si="2"/>
        <v>3</v>
      </c>
      <c r="H145" s="21">
        <f>countif('v2022'!$A:$A,A145)</f>
        <v>0</v>
      </c>
      <c r="I145" s="21">
        <f>countif('v2018'!$A:$A,A145)</f>
        <v>0</v>
      </c>
      <c r="J145" s="21">
        <f>countif('v2014'!$A:$A,A145)</f>
        <v>0</v>
      </c>
      <c r="K145" s="21">
        <f>countif('v2010'!$A:$A,A145)</f>
        <v>0</v>
      </c>
      <c r="L145" s="21">
        <f>countif('v2006'!$A:$A,A145)</f>
        <v>1</v>
      </c>
      <c r="M145" s="21">
        <f>countif('v2002'!$A:$A,A145)</f>
        <v>1</v>
      </c>
      <c r="N145" s="21">
        <f>countif('v1998'!$A:$A,A145)</f>
        <v>1</v>
      </c>
    </row>
    <row r="146">
      <c r="A146" s="17" t="s">
        <v>1878</v>
      </c>
      <c r="B146" s="17" t="s">
        <v>1939</v>
      </c>
      <c r="C146" s="23">
        <f>countif(Constants!A:A,B146)</f>
        <v>1</v>
      </c>
      <c r="E146" s="57" t="str">
        <f t="shared" si="1"/>
        <v>link</v>
      </c>
      <c r="G146" s="43">
        <f t="shared" si="2"/>
        <v>7</v>
      </c>
      <c r="H146" s="21">
        <f>countif('v2022'!$A:$A,A146)</f>
        <v>1</v>
      </c>
      <c r="I146" s="21">
        <f>countif('v2018'!$A:$A,A146)</f>
        <v>1</v>
      </c>
      <c r="J146" s="21">
        <f>countif('v2014'!$A:$A,A146)</f>
        <v>1</v>
      </c>
      <c r="K146" s="21">
        <f>countif('v2010'!$A:$A,A146)</f>
        <v>1</v>
      </c>
      <c r="L146" s="21">
        <f>countif('v2006'!$A:$A,A146)</f>
        <v>1</v>
      </c>
      <c r="M146" s="21">
        <f>countif('v2002'!$A:$A,A146)</f>
        <v>1</v>
      </c>
      <c r="N146" s="21">
        <f>countif('v1998'!$A:$A,A146)</f>
        <v>1</v>
      </c>
    </row>
    <row r="147">
      <c r="A147" s="17" t="s">
        <v>1882</v>
      </c>
      <c r="B147" s="17" t="s">
        <v>1953</v>
      </c>
      <c r="C147" s="23">
        <f>countif(Constants!A:A,B147)</f>
        <v>1</v>
      </c>
      <c r="E147" s="57" t="str">
        <f t="shared" si="1"/>
        <v>link</v>
      </c>
      <c r="G147" s="43">
        <f t="shared" si="2"/>
        <v>4</v>
      </c>
      <c r="H147" s="21">
        <f>countif('v2022'!$A:$A,A147)</f>
        <v>1</v>
      </c>
      <c r="I147" s="21">
        <f>countif('v2018'!$A:$A,A147)</f>
        <v>1</v>
      </c>
      <c r="J147" s="21">
        <f>countif('v2014'!$A:$A,A147)</f>
        <v>1</v>
      </c>
      <c r="K147" s="21">
        <f>countif('v2010'!$A:$A,A147)</f>
        <v>1</v>
      </c>
      <c r="L147" s="21">
        <f>countif('v2006'!$A:$A,A147)</f>
        <v>0</v>
      </c>
      <c r="M147" s="21">
        <f>countif('v2002'!$A:$A,A147)</f>
        <v>0</v>
      </c>
      <c r="N147" s="21">
        <f>countif('v1998'!$A:$A,A147)</f>
        <v>0</v>
      </c>
    </row>
    <row r="148">
      <c r="A148" s="17" t="s">
        <v>2541</v>
      </c>
      <c r="B148" s="17" t="s">
        <v>1953</v>
      </c>
      <c r="C148" s="23">
        <f>countif(Constants!A:A,B148)</f>
        <v>1</v>
      </c>
      <c r="E148" s="57" t="str">
        <f t="shared" si="1"/>
        <v>link</v>
      </c>
      <c r="G148" s="43">
        <f t="shared" si="2"/>
        <v>3</v>
      </c>
      <c r="H148" s="21">
        <f>countif('v2022'!$A:$A,A148)</f>
        <v>0</v>
      </c>
      <c r="I148" s="21">
        <f>countif('v2018'!$A:$A,A148)</f>
        <v>0</v>
      </c>
      <c r="J148" s="21">
        <f>countif('v2014'!$A:$A,A148)</f>
        <v>0</v>
      </c>
      <c r="K148" s="21">
        <f>countif('v2010'!$A:$A,A148)</f>
        <v>0</v>
      </c>
      <c r="L148" s="21">
        <f>countif('v2006'!$A:$A,A148)</f>
        <v>1</v>
      </c>
      <c r="M148" s="21">
        <f>countif('v2002'!$A:$A,A148)</f>
        <v>1</v>
      </c>
      <c r="N148" s="21">
        <f>countif('v1998'!$A:$A,A148)</f>
        <v>1</v>
      </c>
    </row>
    <row r="149">
      <c r="A149" s="17" t="s">
        <v>1886</v>
      </c>
      <c r="B149" s="17" t="s">
        <v>1971</v>
      </c>
      <c r="C149" s="23">
        <f>countif(Constants!A:A,B149)</f>
        <v>1</v>
      </c>
      <c r="E149" s="57" t="str">
        <f t="shared" si="1"/>
        <v>link</v>
      </c>
      <c r="G149" s="43">
        <f t="shared" si="2"/>
        <v>7</v>
      </c>
      <c r="H149" s="21">
        <f>countif('v2022'!$A:$A,A149)</f>
        <v>1</v>
      </c>
      <c r="I149" s="21">
        <f>countif('v2018'!$A:$A,A149)</f>
        <v>1</v>
      </c>
      <c r="J149" s="21">
        <f>countif('v2014'!$A:$A,A149)</f>
        <v>1</v>
      </c>
      <c r="K149" s="21">
        <f>countif('v2010'!$A:$A,A149)</f>
        <v>1</v>
      </c>
      <c r="L149" s="21">
        <f>countif('v2006'!$A:$A,A149)</f>
        <v>1</v>
      </c>
      <c r="M149" s="21">
        <f>countif('v2002'!$A:$A,A149)</f>
        <v>1</v>
      </c>
      <c r="N149" s="21">
        <f>countif('v1998'!$A:$A,A149)</f>
        <v>1</v>
      </c>
    </row>
    <row r="150">
      <c r="A150" s="17" t="s">
        <v>1896</v>
      </c>
      <c r="B150" s="17" t="s">
        <v>1995</v>
      </c>
      <c r="C150" s="23">
        <f>countif(Constants!A:A,B150)</f>
        <v>1</v>
      </c>
      <c r="E150" s="57" t="str">
        <f t="shared" si="1"/>
        <v>link</v>
      </c>
      <c r="G150" s="43">
        <f t="shared" si="2"/>
        <v>7</v>
      </c>
      <c r="H150" s="21">
        <f>countif('v2022'!$A:$A,A150)</f>
        <v>1</v>
      </c>
      <c r="I150" s="21">
        <f>countif('v2018'!$A:$A,A150)</f>
        <v>1</v>
      </c>
      <c r="J150" s="21">
        <f>countif('v2014'!$A:$A,A150)</f>
        <v>1</v>
      </c>
      <c r="K150" s="21">
        <f>countif('v2010'!$A:$A,A150)</f>
        <v>1</v>
      </c>
      <c r="L150" s="21">
        <f>countif('v2006'!$A:$A,A150)</f>
        <v>1</v>
      </c>
      <c r="M150" s="21">
        <f>countif('v2002'!$A:$A,A150)</f>
        <v>1</v>
      </c>
      <c r="N150" s="21">
        <f>countif('v1998'!$A:$A,A150)</f>
        <v>1</v>
      </c>
    </row>
    <row r="151">
      <c r="A151" s="17" t="s">
        <v>1916</v>
      </c>
      <c r="B151" s="17" t="s">
        <v>2048</v>
      </c>
      <c r="C151" s="23">
        <f>countif(Constants!A:A,B151)</f>
        <v>1</v>
      </c>
      <c r="E151" s="57" t="str">
        <f t="shared" si="1"/>
        <v>link</v>
      </c>
      <c r="G151" s="43">
        <f t="shared" si="2"/>
        <v>4</v>
      </c>
      <c r="H151" s="21">
        <f>countif('v2022'!$A:$A,A151)</f>
        <v>1</v>
      </c>
      <c r="I151" s="21">
        <f>countif('v2018'!$A:$A,A151)</f>
        <v>1</v>
      </c>
      <c r="J151" s="21">
        <f>countif('v2014'!$A:$A,A151)</f>
        <v>1</v>
      </c>
      <c r="K151" s="21">
        <f>countif('v2010'!$A:$A,A151)</f>
        <v>1</v>
      </c>
      <c r="L151" s="21">
        <f>countif('v2006'!$A:$A,A151)</f>
        <v>0</v>
      </c>
      <c r="M151" s="21">
        <f>countif('v2002'!$A:$A,A151)</f>
        <v>0</v>
      </c>
      <c r="N151" s="21">
        <f>countif('v1998'!$A:$A,A151)</f>
        <v>0</v>
      </c>
    </row>
    <row r="152">
      <c r="A152" s="17" t="s">
        <v>1947</v>
      </c>
      <c r="B152" s="17" t="s">
        <v>2201</v>
      </c>
      <c r="C152" s="23">
        <f>countif(Constants!A:A,B152)</f>
        <v>1</v>
      </c>
      <c r="E152" s="57" t="str">
        <f t="shared" si="1"/>
        <v>link</v>
      </c>
      <c r="G152" s="43">
        <f t="shared" si="2"/>
        <v>4</v>
      </c>
      <c r="H152" s="21">
        <f>countif('v2022'!$A:$A,A152)</f>
        <v>1</v>
      </c>
      <c r="I152" s="21">
        <f>countif('v2018'!$A:$A,A152)</f>
        <v>1</v>
      </c>
      <c r="J152" s="21">
        <f>countif('v2014'!$A:$A,A152)</f>
        <v>1</v>
      </c>
      <c r="K152" s="21">
        <f>countif('v2010'!$A:$A,A152)</f>
        <v>1</v>
      </c>
      <c r="L152" s="21">
        <f>countif('v2006'!$A:$A,A152)</f>
        <v>0</v>
      </c>
      <c r="M152" s="21">
        <f>countif('v2002'!$A:$A,A152)</f>
        <v>0</v>
      </c>
      <c r="N152" s="21">
        <f>countif('v1998'!$A:$A,A152)</f>
        <v>0</v>
      </c>
    </row>
    <row r="153">
      <c r="A153" s="17" t="s">
        <v>2603</v>
      </c>
      <c r="B153" s="17" t="s">
        <v>2215</v>
      </c>
      <c r="C153" s="23">
        <f>countif(Constants!A:A,B153)</f>
        <v>1</v>
      </c>
      <c r="E153" s="57" t="str">
        <f t="shared" si="1"/>
        <v>link</v>
      </c>
      <c r="G153" s="43">
        <f t="shared" si="2"/>
        <v>5</v>
      </c>
      <c r="H153" s="21">
        <f>countif('v2022'!$A:$A,A153)</f>
        <v>0</v>
      </c>
      <c r="I153" s="21">
        <f>countif('v2018'!$A:$A,A153)</f>
        <v>0</v>
      </c>
      <c r="J153" s="21">
        <f>countif('v2014'!$A:$A,A153)</f>
        <v>1</v>
      </c>
      <c r="K153" s="21">
        <f>countif('v2010'!$A:$A,A153)</f>
        <v>1</v>
      </c>
      <c r="L153" s="21">
        <f>countif('v2006'!$A:$A,A153)</f>
        <v>1</v>
      </c>
      <c r="M153" s="21">
        <f>countif('v2002'!$A:$A,A153)</f>
        <v>1</v>
      </c>
      <c r="N153" s="21">
        <f>countif('v1998'!$A:$A,A153)</f>
        <v>1</v>
      </c>
    </row>
    <row r="154">
      <c r="A154" s="17" t="s">
        <v>1949</v>
      </c>
      <c r="B154" s="17" t="s">
        <v>2215</v>
      </c>
      <c r="C154" s="23">
        <f>countif(Constants!A:A,B154)</f>
        <v>1</v>
      </c>
      <c r="E154" s="57" t="str">
        <f t="shared" si="1"/>
        <v>link</v>
      </c>
      <c r="G154" s="43">
        <f t="shared" si="2"/>
        <v>2</v>
      </c>
      <c r="H154" s="21">
        <f>countif('v2022'!$A:$A,A154)</f>
        <v>1</v>
      </c>
      <c r="I154" s="21">
        <f>countif('v2018'!$A:$A,A154)</f>
        <v>1</v>
      </c>
      <c r="J154" s="21">
        <f>countif('v2014'!$A:$A,A154)</f>
        <v>0</v>
      </c>
      <c r="K154" s="21">
        <f>countif('v2010'!$A:$A,A154)</f>
        <v>0</v>
      </c>
      <c r="L154" s="21">
        <f>countif('v2006'!$A:$A,A154)</f>
        <v>0</v>
      </c>
      <c r="M154" s="21">
        <f>countif('v2002'!$A:$A,A154)</f>
        <v>0</v>
      </c>
      <c r="N154" s="21">
        <f>countif('v1998'!$A:$A,A154)</f>
        <v>0</v>
      </c>
    </row>
    <row r="155">
      <c r="A155" s="17" t="s">
        <v>1956</v>
      </c>
      <c r="B155" s="17" t="s">
        <v>2224</v>
      </c>
      <c r="C155" s="23">
        <f>countif(Constants!A:A,B155)</f>
        <v>1</v>
      </c>
      <c r="E155" s="57" t="str">
        <f t="shared" si="1"/>
        <v>link</v>
      </c>
      <c r="G155" s="43">
        <f t="shared" si="2"/>
        <v>7</v>
      </c>
      <c r="H155" s="21">
        <f>countif('v2022'!$A:$A,A155)</f>
        <v>1</v>
      </c>
      <c r="I155" s="21">
        <f>countif('v2018'!$A:$A,A155)</f>
        <v>1</v>
      </c>
      <c r="J155" s="21">
        <f>countif('v2014'!$A:$A,A155)</f>
        <v>1</v>
      </c>
      <c r="K155" s="21">
        <f>countif('v2010'!$A:$A,A155)</f>
        <v>1</v>
      </c>
      <c r="L155" s="21">
        <f>countif('v2006'!$A:$A,A155)</f>
        <v>1</v>
      </c>
      <c r="M155" s="21">
        <f>countif('v2002'!$A:$A,A155)</f>
        <v>1</v>
      </c>
      <c r="N155" s="21">
        <f>countif('v1998'!$A:$A,A155)</f>
        <v>1</v>
      </c>
    </row>
    <row r="156">
      <c r="A156" s="17" t="s">
        <v>2239</v>
      </c>
      <c r="B156" s="17" t="s">
        <v>2234</v>
      </c>
      <c r="C156" s="23">
        <f>countif(Constants!A:A,B156)</f>
        <v>1</v>
      </c>
      <c r="E156" s="57" t="str">
        <f t="shared" si="1"/>
        <v>link</v>
      </c>
      <c r="G156" s="43">
        <f t="shared" si="2"/>
        <v>5</v>
      </c>
      <c r="H156" s="21">
        <f>countif('v2022'!$A:$A,A156)</f>
        <v>0</v>
      </c>
      <c r="I156" s="21">
        <f>countif('v2018'!$A:$A,A156)</f>
        <v>0</v>
      </c>
      <c r="J156" s="21">
        <f>countif('v2014'!$A:$A,A156)</f>
        <v>1</v>
      </c>
      <c r="K156" s="21">
        <f>countif('v2010'!$A:$A,A156)</f>
        <v>1</v>
      </c>
      <c r="L156" s="21">
        <f>countif('v2006'!$A:$A,A156)</f>
        <v>1</v>
      </c>
      <c r="M156" s="21">
        <f>countif('v2002'!$A:$A,A156)</f>
        <v>1</v>
      </c>
      <c r="N156" s="21">
        <f>countif('v1998'!$A:$A,A156)</f>
        <v>1</v>
      </c>
    </row>
    <row r="157">
      <c r="A157" s="17" t="s">
        <v>1960</v>
      </c>
      <c r="B157" s="17" t="s">
        <v>2255</v>
      </c>
      <c r="C157" s="23">
        <f>countif(Constants!A:A,B157)</f>
        <v>1</v>
      </c>
      <c r="E157" s="57" t="str">
        <f t="shared" si="1"/>
        <v>link</v>
      </c>
      <c r="G157" s="43">
        <f t="shared" si="2"/>
        <v>7</v>
      </c>
      <c r="H157" s="21">
        <f>countif('v2022'!$A:$A,A157)</f>
        <v>1</v>
      </c>
      <c r="I157" s="21">
        <f>countif('v2018'!$A:$A,A157)</f>
        <v>1</v>
      </c>
      <c r="J157" s="21">
        <f>countif('v2014'!$A:$A,A157)</f>
        <v>1</v>
      </c>
      <c r="K157" s="21">
        <f>countif('v2010'!$A:$A,A157)</f>
        <v>1</v>
      </c>
      <c r="L157" s="21">
        <f>countif('v2006'!$A:$A,A157)</f>
        <v>1</v>
      </c>
      <c r="M157" s="21">
        <f>countif('v2002'!$A:$A,A157)</f>
        <v>1</v>
      </c>
      <c r="N157" s="21">
        <f>countif('v1998'!$A:$A,A157)</f>
        <v>1</v>
      </c>
    </row>
    <row r="158">
      <c r="A158" s="17" t="s">
        <v>1966</v>
      </c>
      <c r="B158" s="17" t="s">
        <v>2270</v>
      </c>
      <c r="C158" s="23">
        <f>countif(Constants!A:A,B158)</f>
        <v>1</v>
      </c>
      <c r="E158" s="57" t="str">
        <f t="shared" si="1"/>
        <v>link</v>
      </c>
      <c r="G158" s="43">
        <f t="shared" si="2"/>
        <v>7</v>
      </c>
      <c r="H158" s="21">
        <f>countif('v2022'!$A:$A,A158)</f>
        <v>1</v>
      </c>
      <c r="I158" s="21">
        <f>countif('v2018'!$A:$A,A158)</f>
        <v>1</v>
      </c>
      <c r="J158" s="21">
        <f>countif('v2014'!$A:$A,A158)</f>
        <v>1</v>
      </c>
      <c r="K158" s="21">
        <f>countif('v2010'!$A:$A,A158)</f>
        <v>1</v>
      </c>
      <c r="L158" s="21">
        <f>countif('v2006'!$A:$A,A158)</f>
        <v>1</v>
      </c>
      <c r="M158" s="21">
        <f>countif('v2002'!$A:$A,A158)</f>
        <v>1</v>
      </c>
      <c r="N158" s="21">
        <f>countif('v1998'!$A:$A,A158)</f>
        <v>1</v>
      </c>
    </row>
    <row r="159">
      <c r="A159" s="17" t="s">
        <v>1972</v>
      </c>
      <c r="B159" s="17" t="s">
        <v>2282</v>
      </c>
      <c r="C159" s="23">
        <f>countif(Constants!A:A,B159)</f>
        <v>1</v>
      </c>
      <c r="E159" s="57" t="str">
        <f t="shared" si="1"/>
        <v>link</v>
      </c>
      <c r="G159" s="43">
        <f t="shared" si="2"/>
        <v>7</v>
      </c>
      <c r="H159" s="21">
        <f>countif('v2022'!$A:$A,A159)</f>
        <v>1</v>
      </c>
      <c r="I159" s="21">
        <f>countif('v2018'!$A:$A,A159)</f>
        <v>1</v>
      </c>
      <c r="J159" s="21">
        <f>countif('v2014'!$A:$A,A159)</f>
        <v>1</v>
      </c>
      <c r="K159" s="21">
        <f>countif('v2010'!$A:$A,A159)</f>
        <v>1</v>
      </c>
      <c r="L159" s="21">
        <f>countif('v2006'!$A:$A,A159)</f>
        <v>1</v>
      </c>
      <c r="M159" s="21">
        <f>countif('v2002'!$A:$A,A159)</f>
        <v>1</v>
      </c>
      <c r="N159" s="21">
        <f>countif('v1998'!$A:$A,A159)</f>
        <v>1</v>
      </c>
    </row>
    <row r="160">
      <c r="A160" s="17" t="s">
        <v>1979</v>
      </c>
      <c r="B160" s="17" t="s">
        <v>2293</v>
      </c>
      <c r="C160" s="23">
        <f>countif(Constants!A:A,B160)</f>
        <v>1</v>
      </c>
      <c r="E160" s="57" t="str">
        <f t="shared" si="1"/>
        <v>link</v>
      </c>
      <c r="G160" s="43">
        <f t="shared" si="2"/>
        <v>7</v>
      </c>
      <c r="H160" s="21">
        <f>countif('v2022'!$A:$A,A160)</f>
        <v>1</v>
      </c>
      <c r="I160" s="21">
        <f>countif('v2018'!$A:$A,A160)</f>
        <v>1</v>
      </c>
      <c r="J160" s="21">
        <f>countif('v2014'!$A:$A,A160)</f>
        <v>1</v>
      </c>
      <c r="K160" s="21">
        <f>countif('v2010'!$A:$A,A160)</f>
        <v>1</v>
      </c>
      <c r="L160" s="21">
        <f>countif('v2006'!$A:$A,A160)</f>
        <v>1</v>
      </c>
      <c r="M160" s="21">
        <f>countif('v2002'!$A:$A,A160)</f>
        <v>1</v>
      </c>
      <c r="N160" s="21">
        <f>countif('v1998'!$A:$A,A160)</f>
        <v>1</v>
      </c>
    </row>
    <row r="161">
      <c r="A161" s="17" t="s">
        <v>2684</v>
      </c>
      <c r="B161" s="17" t="s">
        <v>2337</v>
      </c>
      <c r="C161" s="23">
        <f>countif(Constants!A:A,B161)</f>
        <v>1</v>
      </c>
      <c r="E161" s="57" t="str">
        <f t="shared" si="1"/>
        <v>link</v>
      </c>
      <c r="G161" s="43">
        <f t="shared" si="2"/>
        <v>3</v>
      </c>
      <c r="H161" s="21">
        <f>countif('v2022'!$A:$A,A161)</f>
        <v>0</v>
      </c>
      <c r="I161" s="21">
        <f>countif('v2018'!$A:$A,A161)</f>
        <v>0</v>
      </c>
      <c r="J161" s="21">
        <f>countif('v2014'!$A:$A,A161)</f>
        <v>0</v>
      </c>
      <c r="K161" s="21">
        <f>countif('v2010'!$A:$A,A161)</f>
        <v>0</v>
      </c>
      <c r="L161" s="21">
        <f>countif('v2006'!$A:$A,A161)</f>
        <v>1</v>
      </c>
      <c r="M161" s="21">
        <f>countif('v2002'!$A:$A,A161)</f>
        <v>1</v>
      </c>
      <c r="N161" s="21">
        <f>countif('v1998'!$A:$A,A161)</f>
        <v>1</v>
      </c>
    </row>
    <row r="162">
      <c r="A162" s="17" t="s">
        <v>1990</v>
      </c>
      <c r="B162" s="17" t="s">
        <v>2337</v>
      </c>
      <c r="C162" s="23">
        <f>countif(Constants!A:A,B162)</f>
        <v>1</v>
      </c>
      <c r="E162" s="57" t="str">
        <f t="shared" si="1"/>
        <v>link</v>
      </c>
      <c r="G162" s="43">
        <f t="shared" si="2"/>
        <v>4</v>
      </c>
      <c r="H162" s="21">
        <f>countif('v2022'!$A:$A,A162)</f>
        <v>1</v>
      </c>
      <c r="I162" s="21">
        <f>countif('v2018'!$A:$A,A162)</f>
        <v>1</v>
      </c>
      <c r="J162" s="21">
        <f>countif('v2014'!$A:$A,A162)</f>
        <v>1</v>
      </c>
      <c r="K162" s="21">
        <f>countif('v2010'!$A:$A,A162)</f>
        <v>1</v>
      </c>
      <c r="L162" s="21">
        <f>countif('v2006'!$A:$A,A162)</f>
        <v>0</v>
      </c>
      <c r="M162" s="21">
        <f>countif('v2002'!$A:$A,A162)</f>
        <v>0</v>
      </c>
      <c r="N162" s="21">
        <f>countif('v1998'!$A:$A,A162)</f>
        <v>0</v>
      </c>
    </row>
    <row r="163">
      <c r="A163" s="17" t="s">
        <v>1993</v>
      </c>
      <c r="B163" s="17" t="s">
        <v>2353</v>
      </c>
      <c r="C163" s="23">
        <f>countif(Constants!A:A,B163)</f>
        <v>1</v>
      </c>
      <c r="E163" s="57" t="str">
        <f t="shared" si="1"/>
        <v>link</v>
      </c>
      <c r="G163" s="43">
        <f t="shared" si="2"/>
        <v>7</v>
      </c>
      <c r="H163" s="21">
        <f>countif('v2022'!$A:$A,A163)</f>
        <v>1</v>
      </c>
      <c r="I163" s="21">
        <f>countif('v2018'!$A:$A,A163)</f>
        <v>1</v>
      </c>
      <c r="J163" s="21">
        <f>countif('v2014'!$A:$A,A163)</f>
        <v>1</v>
      </c>
      <c r="K163" s="21">
        <f>countif('v2010'!$A:$A,A163)</f>
        <v>1</v>
      </c>
      <c r="L163" s="21">
        <f>countif('v2006'!$A:$A,A163)</f>
        <v>1</v>
      </c>
      <c r="M163" s="21">
        <f>countif('v2002'!$A:$A,A163)</f>
        <v>1</v>
      </c>
      <c r="N163" s="21">
        <f>countif('v1998'!$A:$A,A163)</f>
        <v>1</v>
      </c>
    </row>
    <row r="164">
      <c r="A164" s="17" t="s">
        <v>1984</v>
      </c>
      <c r="B164" s="17" t="s">
        <v>2305</v>
      </c>
      <c r="C164" s="23">
        <f>countif(Constants!A:A,B164)</f>
        <v>1</v>
      </c>
      <c r="E164" s="57" t="str">
        <f t="shared" si="1"/>
        <v>link</v>
      </c>
      <c r="G164" s="43">
        <f t="shared" si="2"/>
        <v>7</v>
      </c>
      <c r="H164" s="21">
        <f>countif('v2022'!$A:$A,A164)</f>
        <v>1</v>
      </c>
      <c r="I164" s="21">
        <f>countif('v2018'!$A:$A,A164)</f>
        <v>1</v>
      </c>
      <c r="J164" s="21">
        <f>countif('v2014'!$A:$A,A164)</f>
        <v>1</v>
      </c>
      <c r="K164" s="21">
        <f>countif('v2010'!$A:$A,A164)</f>
        <v>1</v>
      </c>
      <c r="L164" s="21">
        <f>countif('v2006'!$A:$A,A164)</f>
        <v>1</v>
      </c>
      <c r="M164" s="21">
        <f>countif('v2002'!$A:$A,A164)</f>
        <v>1</v>
      </c>
      <c r="N164" s="21">
        <f>countif('v1998'!$A:$A,A164)</f>
        <v>1</v>
      </c>
    </row>
    <row r="165">
      <c r="A165" s="17" t="s">
        <v>1988</v>
      </c>
      <c r="B165" s="17" t="s">
        <v>2321</v>
      </c>
      <c r="C165" s="23">
        <f>countif(Constants!A:A,B165)</f>
        <v>1</v>
      </c>
      <c r="E165" s="57" t="str">
        <f t="shared" si="1"/>
        <v>link</v>
      </c>
      <c r="G165" s="43">
        <f t="shared" si="2"/>
        <v>7</v>
      </c>
      <c r="H165" s="21">
        <f>countif('v2022'!$A:$A,A165)</f>
        <v>1</v>
      </c>
      <c r="I165" s="21">
        <f>countif('v2018'!$A:$A,A165)</f>
        <v>1</v>
      </c>
      <c r="J165" s="21">
        <f>countif('v2014'!$A:$A,A165)</f>
        <v>1</v>
      </c>
      <c r="K165" s="21">
        <f>countif('v2010'!$A:$A,A165)</f>
        <v>1</v>
      </c>
      <c r="L165" s="21">
        <f>countif('v2006'!$A:$A,A165)</f>
        <v>1</v>
      </c>
      <c r="M165" s="21">
        <f>countif('v2002'!$A:$A,A165)</f>
        <v>1</v>
      </c>
      <c r="N165" s="21">
        <f>countif('v1998'!$A:$A,A165)</f>
        <v>1</v>
      </c>
    </row>
    <row r="166">
      <c r="A166" s="17" t="s">
        <v>1997</v>
      </c>
      <c r="B166" s="17" t="s">
        <v>2375</v>
      </c>
      <c r="C166" s="23">
        <f>countif(Constants!A:A,B166)</f>
        <v>1</v>
      </c>
      <c r="E166" s="57" t="str">
        <f t="shared" si="1"/>
        <v>link</v>
      </c>
      <c r="G166" s="43">
        <f t="shared" si="2"/>
        <v>7</v>
      </c>
      <c r="H166" s="21">
        <f>countif('v2022'!$A:$A,A166)</f>
        <v>1</v>
      </c>
      <c r="I166" s="21">
        <f>countif('v2018'!$A:$A,A166)</f>
        <v>1</v>
      </c>
      <c r="J166" s="21">
        <f>countif('v2014'!$A:$A,A166)</f>
        <v>1</v>
      </c>
      <c r="K166" s="21">
        <f>countif('v2010'!$A:$A,A166)</f>
        <v>1</v>
      </c>
      <c r="L166" s="21">
        <f>countif('v2006'!$A:$A,A166)</f>
        <v>1</v>
      </c>
      <c r="M166" s="21">
        <f>countif('v2002'!$A:$A,A166)</f>
        <v>1</v>
      </c>
      <c r="N166" s="21">
        <f>countif('v1998'!$A:$A,A166)</f>
        <v>1</v>
      </c>
    </row>
    <row r="167">
      <c r="A167" s="17" t="s">
        <v>2000</v>
      </c>
      <c r="B167" s="17" t="s">
        <v>2396</v>
      </c>
      <c r="C167" s="23">
        <f>countif(Constants!A:A,B167)</f>
        <v>1</v>
      </c>
      <c r="E167" s="57" t="str">
        <f t="shared" si="1"/>
        <v>link</v>
      </c>
      <c r="G167" s="43">
        <f t="shared" si="2"/>
        <v>7</v>
      </c>
      <c r="H167" s="21">
        <f>countif('v2022'!$A:$A,A167)</f>
        <v>1</v>
      </c>
      <c r="I167" s="21">
        <f>countif('v2018'!$A:$A,A167)</f>
        <v>1</v>
      </c>
      <c r="J167" s="21">
        <f>countif('v2014'!$A:$A,A167)</f>
        <v>1</v>
      </c>
      <c r="K167" s="21">
        <f>countif('v2010'!$A:$A,A167)</f>
        <v>1</v>
      </c>
      <c r="L167" s="21">
        <f>countif('v2006'!$A:$A,A167)</f>
        <v>1</v>
      </c>
      <c r="M167" s="21">
        <f>countif('v2002'!$A:$A,A167)</f>
        <v>1</v>
      </c>
      <c r="N167" s="21">
        <f>countif('v1998'!$A:$A,A167)</f>
        <v>1</v>
      </c>
    </row>
    <row r="168">
      <c r="A168" s="17" t="s">
        <v>2004</v>
      </c>
      <c r="B168" s="17" t="s">
        <v>2406</v>
      </c>
      <c r="C168" s="23">
        <f>countif(Constants!A:A,B168)</f>
        <v>1</v>
      </c>
      <c r="E168" s="57" t="str">
        <f t="shared" si="1"/>
        <v>link</v>
      </c>
      <c r="G168" s="43">
        <f t="shared" si="2"/>
        <v>7</v>
      </c>
      <c r="H168" s="21">
        <f>countif('v2022'!$A:$A,A168)</f>
        <v>1</v>
      </c>
      <c r="I168" s="21">
        <f>countif('v2018'!$A:$A,A168)</f>
        <v>1</v>
      </c>
      <c r="J168" s="21">
        <f>countif('v2014'!$A:$A,A168)</f>
        <v>1</v>
      </c>
      <c r="K168" s="21">
        <f>countif('v2010'!$A:$A,A168)</f>
        <v>1</v>
      </c>
      <c r="L168" s="21">
        <f>countif('v2006'!$A:$A,A168)</f>
        <v>1</v>
      </c>
      <c r="M168" s="21">
        <f>countif('v2002'!$A:$A,A168)</f>
        <v>1</v>
      </c>
      <c r="N168" s="21">
        <f>countif('v1998'!$A:$A,A168)</f>
        <v>1</v>
      </c>
    </row>
    <row r="169">
      <c r="A169" s="17" t="s">
        <v>2009</v>
      </c>
      <c r="B169" s="17" t="s">
        <v>2421</v>
      </c>
      <c r="C169" s="23">
        <f>countif(Constants!A:A,B169)</f>
        <v>1</v>
      </c>
      <c r="E169" s="57" t="str">
        <f t="shared" si="1"/>
        <v>link</v>
      </c>
      <c r="G169" s="43">
        <f t="shared" si="2"/>
        <v>7</v>
      </c>
      <c r="H169" s="21">
        <f>countif('v2022'!$A:$A,A169)</f>
        <v>1</v>
      </c>
      <c r="I169" s="21">
        <f>countif('v2018'!$A:$A,A169)</f>
        <v>1</v>
      </c>
      <c r="J169" s="21">
        <f>countif('v2014'!$A:$A,A169)</f>
        <v>1</v>
      </c>
      <c r="K169" s="21">
        <f>countif('v2010'!$A:$A,A169)</f>
        <v>1</v>
      </c>
      <c r="L169" s="21">
        <f>countif('v2006'!$A:$A,A169)</f>
        <v>1</v>
      </c>
      <c r="M169" s="21">
        <f>countif('v2002'!$A:$A,A169)</f>
        <v>1</v>
      </c>
      <c r="N169" s="21">
        <f>countif('v1998'!$A:$A,A169)</f>
        <v>1</v>
      </c>
    </row>
    <row r="170">
      <c r="A170" s="17" t="s">
        <v>2013</v>
      </c>
      <c r="B170" s="17" t="s">
        <v>2436</v>
      </c>
      <c r="C170" s="23">
        <f>countif(Constants!A:A,B170)</f>
        <v>1</v>
      </c>
      <c r="E170" s="57" t="str">
        <f t="shared" si="1"/>
        <v>link</v>
      </c>
      <c r="G170" s="43">
        <f t="shared" si="2"/>
        <v>7</v>
      </c>
      <c r="H170" s="21">
        <f>countif('v2022'!$A:$A,A170)</f>
        <v>1</v>
      </c>
      <c r="I170" s="21">
        <f>countif('v2018'!$A:$A,A170)</f>
        <v>1</v>
      </c>
      <c r="J170" s="21">
        <f>countif('v2014'!$A:$A,A170)</f>
        <v>1</v>
      </c>
      <c r="K170" s="21">
        <f>countif('v2010'!$A:$A,A170)</f>
        <v>1</v>
      </c>
      <c r="L170" s="21">
        <f>countif('v2006'!$A:$A,A170)</f>
        <v>1</v>
      </c>
      <c r="M170" s="21">
        <f>countif('v2002'!$A:$A,A170)</f>
        <v>1</v>
      </c>
      <c r="N170" s="21">
        <f>countif('v1998'!$A:$A,A170)</f>
        <v>1</v>
      </c>
    </row>
    <row r="171">
      <c r="A171" s="17" t="s">
        <v>2024</v>
      </c>
      <c r="B171" s="17" t="s">
        <v>2468</v>
      </c>
      <c r="C171" s="23">
        <f>countif(Constants!A:A,B171)</f>
        <v>1</v>
      </c>
      <c r="E171" s="57" t="str">
        <f t="shared" si="1"/>
        <v>link</v>
      </c>
      <c r="G171" s="43">
        <f t="shared" si="2"/>
        <v>4</v>
      </c>
      <c r="H171" s="21">
        <f>countif('v2022'!$A:$A,A171)</f>
        <v>1</v>
      </c>
      <c r="I171" s="21">
        <f>countif('v2018'!$A:$A,A171)</f>
        <v>1</v>
      </c>
      <c r="J171" s="21">
        <f>countif('v2014'!$A:$A,A171)</f>
        <v>1</v>
      </c>
      <c r="K171" s="21">
        <f>countif('v2010'!$A:$A,A171)</f>
        <v>1</v>
      </c>
      <c r="L171" s="21">
        <f>countif('v2006'!$A:$A,A171)</f>
        <v>0</v>
      </c>
      <c r="M171" s="21">
        <f>countif('v2002'!$A:$A,A171)</f>
        <v>0</v>
      </c>
      <c r="N171" s="21">
        <f>countif('v1998'!$A:$A,A171)</f>
        <v>0</v>
      </c>
    </row>
    <row r="172">
      <c r="A172" s="69" t="s">
        <v>2036</v>
      </c>
      <c r="B172" s="69" t="s">
        <v>2499</v>
      </c>
      <c r="C172" s="23">
        <f>countif(Constants!A:A,B172)</f>
        <v>1</v>
      </c>
      <c r="E172" s="57" t="str">
        <f t="shared" si="1"/>
        <v>link</v>
      </c>
      <c r="G172" s="43">
        <f t="shared" si="2"/>
        <v>4</v>
      </c>
      <c r="H172" s="21">
        <f>countif('v2022'!$A:$A,A172)</f>
        <v>1</v>
      </c>
      <c r="I172" s="21">
        <f>countif('v2018'!$A:$A,A172)</f>
        <v>1</v>
      </c>
      <c r="J172" s="21">
        <f>countif('v2014'!$A:$A,A172)</f>
        <v>1</v>
      </c>
      <c r="K172" s="21">
        <f>countif('v2010'!$A:$A,A172)</f>
        <v>1</v>
      </c>
      <c r="L172" s="21">
        <f>countif('v2006'!$A:$A,A172)</f>
        <v>0</v>
      </c>
      <c r="M172" s="21">
        <f>countif('v2002'!$A:$A,A172)</f>
        <v>0</v>
      </c>
      <c r="N172" s="21">
        <f>countif('v1998'!$A:$A,A172)</f>
        <v>0</v>
      </c>
    </row>
    <row r="173">
      <c r="A173" s="69" t="s">
        <v>2042</v>
      </c>
      <c r="B173" s="69" t="s">
        <v>2518</v>
      </c>
      <c r="C173" s="23">
        <f>countif(Constants!A:A,B173)</f>
        <v>1</v>
      </c>
      <c r="E173" s="57" t="str">
        <f t="shared" si="1"/>
        <v>link</v>
      </c>
      <c r="G173" s="43">
        <f t="shared" si="2"/>
        <v>4</v>
      </c>
      <c r="H173" s="21">
        <f>countif('v2022'!$A:$A,A173)</f>
        <v>1</v>
      </c>
      <c r="I173" s="21">
        <f>countif('v2018'!$A:$A,A173)</f>
        <v>1</v>
      </c>
      <c r="J173" s="21">
        <f>countif('v2014'!$A:$A,A173)</f>
        <v>1</v>
      </c>
      <c r="K173" s="21">
        <f>countif('v2010'!$A:$A,A173)</f>
        <v>1</v>
      </c>
      <c r="L173" s="21">
        <f>countif('v2006'!$A:$A,A173)</f>
        <v>0</v>
      </c>
      <c r="M173" s="21">
        <f>countif('v2002'!$A:$A,A173)</f>
        <v>0</v>
      </c>
      <c r="N173" s="21">
        <f>countif('v1998'!$A:$A,A173)</f>
        <v>0</v>
      </c>
    </row>
    <row r="174">
      <c r="A174" s="69" t="s">
        <v>2045</v>
      </c>
      <c r="B174" s="69" t="s">
        <v>2535</v>
      </c>
      <c r="C174" s="23">
        <f>countif(Constants!A:A,B174)</f>
        <v>1</v>
      </c>
      <c r="E174" s="57" t="str">
        <f t="shared" si="1"/>
        <v>link</v>
      </c>
      <c r="G174" s="43">
        <f t="shared" si="2"/>
        <v>4</v>
      </c>
      <c r="H174" s="21">
        <f>countif('v2022'!$A:$A,A174)</f>
        <v>1</v>
      </c>
      <c r="I174" s="21">
        <f>countif('v2018'!$A:$A,A174)</f>
        <v>1</v>
      </c>
      <c r="J174" s="21">
        <f>countif('v2014'!$A:$A,A174)</f>
        <v>1</v>
      </c>
      <c r="K174" s="21">
        <f>countif('v2010'!$A:$A,A174)</f>
        <v>1</v>
      </c>
      <c r="L174" s="21">
        <f>countif('v2006'!$A:$A,A174)</f>
        <v>0</v>
      </c>
      <c r="M174" s="21">
        <f>countif('v2002'!$A:$A,A174)</f>
        <v>0</v>
      </c>
      <c r="N174" s="21">
        <f>countif('v1998'!$A:$A,A174)</f>
        <v>0</v>
      </c>
    </row>
    <row r="175">
      <c r="A175" s="17" t="s">
        <v>2052</v>
      </c>
      <c r="B175" s="17" t="s">
        <v>2547</v>
      </c>
      <c r="C175" s="23">
        <f>countif(Constants!A:A,B175)</f>
        <v>1</v>
      </c>
      <c r="E175" s="57" t="str">
        <f t="shared" si="1"/>
        <v>link</v>
      </c>
      <c r="G175" s="43">
        <f t="shared" si="2"/>
        <v>7</v>
      </c>
      <c r="H175" s="21">
        <f>countif('v2022'!$A:$A,A175)</f>
        <v>1</v>
      </c>
      <c r="I175" s="21">
        <f>countif('v2018'!$A:$A,A175)</f>
        <v>1</v>
      </c>
      <c r="J175" s="21">
        <f>countif('v2014'!$A:$A,A175)</f>
        <v>1</v>
      </c>
      <c r="K175" s="21">
        <f>countif('v2010'!$A:$A,A175)</f>
        <v>1</v>
      </c>
      <c r="L175" s="21">
        <f>countif('v2006'!$A:$A,A175)</f>
        <v>1</v>
      </c>
      <c r="M175" s="21">
        <f>countif('v2002'!$A:$A,A175)</f>
        <v>1</v>
      </c>
      <c r="N175" s="21">
        <f>countif('v1998'!$A:$A,A175)</f>
        <v>1</v>
      </c>
    </row>
    <row r="176">
      <c r="A176" s="17" t="s">
        <v>2056</v>
      </c>
      <c r="B176" s="17" t="s">
        <v>2564</v>
      </c>
      <c r="C176" s="23">
        <f>countif(Constants!A:A,B176)</f>
        <v>1</v>
      </c>
      <c r="E176" s="57" t="str">
        <f t="shared" si="1"/>
        <v>link</v>
      </c>
      <c r="G176" s="43">
        <f t="shared" si="2"/>
        <v>7</v>
      </c>
      <c r="H176" s="21">
        <f>countif('v2022'!$A:$A,A176)</f>
        <v>1</v>
      </c>
      <c r="I176" s="21">
        <f>countif('v2018'!$A:$A,A176)</f>
        <v>1</v>
      </c>
      <c r="J176" s="21">
        <f>countif('v2014'!$A:$A,A176)</f>
        <v>1</v>
      </c>
      <c r="K176" s="21">
        <f>countif('v2010'!$A:$A,A176)</f>
        <v>1</v>
      </c>
      <c r="L176" s="21">
        <f>countif('v2006'!$A:$A,A176)</f>
        <v>1</v>
      </c>
      <c r="M176" s="21">
        <f>countif('v2002'!$A:$A,A176)</f>
        <v>1</v>
      </c>
      <c r="N176" s="21">
        <f>countif('v1998'!$A:$A,A176)</f>
        <v>1</v>
      </c>
    </row>
    <row r="177">
      <c r="A177" s="17" t="s">
        <v>2063</v>
      </c>
      <c r="B177" s="17" t="s">
        <v>2574</v>
      </c>
      <c r="C177" s="23">
        <f>countif(Constants!A:A,B177)</f>
        <v>1</v>
      </c>
      <c r="E177" s="57" t="str">
        <f t="shared" si="1"/>
        <v>link</v>
      </c>
      <c r="G177" s="43">
        <f t="shared" si="2"/>
        <v>7</v>
      </c>
      <c r="H177" s="21">
        <f>countif('v2022'!$A:$A,A177)</f>
        <v>1</v>
      </c>
      <c r="I177" s="21">
        <f>countif('v2018'!$A:$A,A177)</f>
        <v>1</v>
      </c>
      <c r="J177" s="21">
        <f>countif('v2014'!$A:$A,A177)</f>
        <v>1</v>
      </c>
      <c r="K177" s="21">
        <f>countif('v2010'!$A:$A,A177)</f>
        <v>1</v>
      </c>
      <c r="L177" s="21">
        <f>countif('v2006'!$A:$A,A177)</f>
        <v>1</v>
      </c>
      <c r="M177" s="21">
        <f>countif('v2002'!$A:$A,A177)</f>
        <v>1</v>
      </c>
      <c r="N177" s="21">
        <f>countif('v1998'!$A:$A,A177)</f>
        <v>1</v>
      </c>
    </row>
    <row r="178">
      <c r="A178" s="17" t="s">
        <v>2067</v>
      </c>
      <c r="B178" s="17" t="s">
        <v>2593</v>
      </c>
      <c r="C178" s="23">
        <f>countif(Constants!A:A,B178)</f>
        <v>1</v>
      </c>
      <c r="E178" s="57" t="str">
        <f t="shared" si="1"/>
        <v>link</v>
      </c>
      <c r="G178" s="43">
        <f t="shared" si="2"/>
        <v>7</v>
      </c>
      <c r="H178" s="21">
        <f>countif('v2022'!$A:$A,A178)</f>
        <v>1</v>
      </c>
      <c r="I178" s="21">
        <f>countif('v2018'!$A:$A,A178)</f>
        <v>1</v>
      </c>
      <c r="J178" s="21">
        <f>countif('v2014'!$A:$A,A178)</f>
        <v>1</v>
      </c>
      <c r="K178" s="21">
        <f>countif('v2010'!$A:$A,A178)</f>
        <v>1</v>
      </c>
      <c r="L178" s="21">
        <f>countif('v2006'!$A:$A,A178)</f>
        <v>1</v>
      </c>
      <c r="M178" s="21">
        <f>countif('v2002'!$A:$A,A178)</f>
        <v>1</v>
      </c>
      <c r="N178" s="21">
        <f>countif('v1998'!$A:$A,A178)</f>
        <v>1</v>
      </c>
    </row>
    <row r="179">
      <c r="A179" s="17" t="s">
        <v>2070</v>
      </c>
      <c r="B179" s="17" t="s">
        <v>2613</v>
      </c>
      <c r="C179" s="23">
        <f>countif(Constants!A:A,B179)</f>
        <v>1</v>
      </c>
      <c r="E179" s="57" t="str">
        <f t="shared" si="1"/>
        <v>link</v>
      </c>
      <c r="G179" s="43">
        <f t="shared" si="2"/>
        <v>7</v>
      </c>
      <c r="H179" s="21">
        <f>countif('v2022'!$A:$A,A179)</f>
        <v>1</v>
      </c>
      <c r="I179" s="21">
        <f>countif('v2018'!$A:$A,A179)</f>
        <v>1</v>
      </c>
      <c r="J179" s="21">
        <f>countif('v2014'!$A:$A,A179)</f>
        <v>1</v>
      </c>
      <c r="K179" s="21">
        <f>countif('v2010'!$A:$A,A179)</f>
        <v>1</v>
      </c>
      <c r="L179" s="21">
        <f>countif('v2006'!$A:$A,A179)</f>
        <v>1</v>
      </c>
      <c r="M179" s="21">
        <f>countif('v2002'!$A:$A,A179)</f>
        <v>1</v>
      </c>
      <c r="N179" s="21">
        <f>countif('v1998'!$A:$A,A179)</f>
        <v>1</v>
      </c>
    </row>
    <row r="180">
      <c r="A180" s="17" t="s">
        <v>2079</v>
      </c>
      <c r="B180" s="17" t="s">
        <v>2638</v>
      </c>
      <c r="C180" s="23">
        <f>countif(Constants!A:A,B180)</f>
        <v>1</v>
      </c>
      <c r="E180" s="57" t="str">
        <f t="shared" si="1"/>
        <v>link</v>
      </c>
      <c r="G180" s="43">
        <f t="shared" si="2"/>
        <v>2</v>
      </c>
      <c r="H180" s="21">
        <f>countif('v2022'!$A:$A,A180)</f>
        <v>1</v>
      </c>
      <c r="I180" s="21">
        <f>countif('v2018'!$A:$A,A180)</f>
        <v>1</v>
      </c>
      <c r="J180" s="21">
        <f>countif('v2014'!$A:$A,A180)</f>
        <v>0</v>
      </c>
      <c r="K180" s="21">
        <f>countif('v2010'!$A:$A,A180)</f>
        <v>0</v>
      </c>
      <c r="L180" s="21">
        <f>countif('v2006'!$A:$A,A180)</f>
        <v>0</v>
      </c>
      <c r="M180" s="21">
        <f>countif('v2002'!$A:$A,A180)</f>
        <v>0</v>
      </c>
      <c r="N180" s="21">
        <f>countif('v1998'!$A:$A,A180)</f>
        <v>0</v>
      </c>
    </row>
    <row r="181">
      <c r="A181" s="17" t="s">
        <v>2086</v>
      </c>
      <c r="B181" s="17" t="s">
        <v>2652</v>
      </c>
      <c r="C181" s="23">
        <f>countif(Constants!A:A,B181)</f>
        <v>1</v>
      </c>
      <c r="E181" s="57" t="str">
        <f t="shared" si="1"/>
        <v>link</v>
      </c>
      <c r="G181" s="43">
        <f t="shared" si="2"/>
        <v>2</v>
      </c>
      <c r="H181" s="21">
        <f>countif('v2022'!$A:$A,A181)</f>
        <v>1</v>
      </c>
      <c r="I181" s="21">
        <f>countif('v2018'!$A:$A,A181)</f>
        <v>1</v>
      </c>
      <c r="J181" s="21">
        <f>countif('v2014'!$A:$A,A181)</f>
        <v>0</v>
      </c>
      <c r="K181" s="21">
        <f>countif('v2010'!$A:$A,A181)</f>
        <v>0</v>
      </c>
      <c r="L181" s="21">
        <f>countif('v2006'!$A:$A,A181)</f>
        <v>0</v>
      </c>
      <c r="M181" s="21">
        <f>countif('v2002'!$A:$A,A181)</f>
        <v>0</v>
      </c>
      <c r="N181" s="21">
        <f>countif('v1998'!$A:$A,A181)</f>
        <v>0</v>
      </c>
    </row>
    <row r="182">
      <c r="A182" s="17" t="s">
        <v>2018</v>
      </c>
      <c r="B182" s="17" t="s">
        <v>2453</v>
      </c>
      <c r="C182" s="23">
        <f>countif(Constants!A:A,B182)</f>
        <v>1</v>
      </c>
      <c r="E182" s="57" t="str">
        <f t="shared" si="1"/>
        <v>link</v>
      </c>
      <c r="G182" s="43">
        <f t="shared" si="2"/>
        <v>7</v>
      </c>
      <c r="H182" s="21">
        <f>countif('v2022'!$A:$A,A182)</f>
        <v>1</v>
      </c>
      <c r="I182" s="21">
        <f>countif('v2018'!$A:$A,A182)</f>
        <v>1</v>
      </c>
      <c r="J182" s="21">
        <f>countif('v2014'!$A:$A,A182)</f>
        <v>1</v>
      </c>
      <c r="K182" s="21">
        <f>countif('v2010'!$A:$A,A182)</f>
        <v>1</v>
      </c>
      <c r="L182" s="21">
        <f>countif('v2006'!$A:$A,A182)</f>
        <v>1</v>
      </c>
      <c r="M182" s="21">
        <f>countif('v2002'!$A:$A,A182)</f>
        <v>1</v>
      </c>
      <c r="N182" s="21">
        <f>countif('v1998'!$A:$A,A182)</f>
        <v>1</v>
      </c>
    </row>
    <row r="183">
      <c r="A183" s="17" t="s">
        <v>2073</v>
      </c>
      <c r="B183" s="17" t="s">
        <v>2627</v>
      </c>
      <c r="C183" s="23">
        <f>countif(Constants!A:A,B183)</f>
        <v>1</v>
      </c>
      <c r="E183" s="57" t="str">
        <f t="shared" si="1"/>
        <v>link</v>
      </c>
      <c r="G183" s="43">
        <f t="shared" si="2"/>
        <v>7</v>
      </c>
      <c r="H183" s="21">
        <f>countif('v2022'!$A:$A,A183)</f>
        <v>1</v>
      </c>
      <c r="I183" s="21">
        <f>countif('v2018'!$A:$A,A183)</f>
        <v>1</v>
      </c>
      <c r="J183" s="21">
        <f>countif('v2014'!$A:$A,A183)</f>
        <v>1</v>
      </c>
      <c r="K183" s="21">
        <f>countif('v2010'!$A:$A,A183)</f>
        <v>1</v>
      </c>
      <c r="L183" s="21">
        <f>countif('v2006'!$A:$A,A183)</f>
        <v>1</v>
      </c>
      <c r="M183" s="21">
        <f>countif('v2002'!$A:$A,A183)</f>
        <v>1</v>
      </c>
      <c r="N183" s="21">
        <f>countif('v1998'!$A:$A,A183)</f>
        <v>1</v>
      </c>
    </row>
    <row r="184">
      <c r="A184" s="17" t="s">
        <v>2093</v>
      </c>
      <c r="B184" s="17" t="s">
        <v>2666</v>
      </c>
      <c r="C184" s="23">
        <f>countif(Constants!A:A,B184)</f>
        <v>1</v>
      </c>
      <c r="E184" s="57" t="str">
        <f t="shared" si="1"/>
        <v>link</v>
      </c>
      <c r="G184" s="43">
        <f t="shared" si="2"/>
        <v>7</v>
      </c>
      <c r="H184" s="21">
        <f>countif('v2022'!$A:$A,A184)</f>
        <v>1</v>
      </c>
      <c r="I184" s="21">
        <f>countif('v2018'!$A:$A,A184)</f>
        <v>1</v>
      </c>
      <c r="J184" s="21">
        <f>countif('v2014'!$A:$A,A184)</f>
        <v>1</v>
      </c>
      <c r="K184" s="21">
        <f>countif('v2010'!$A:$A,A184)</f>
        <v>1</v>
      </c>
      <c r="L184" s="21">
        <f>countif('v2006'!$A:$A,A184)</f>
        <v>1</v>
      </c>
      <c r="M184" s="21">
        <f>countif('v2002'!$A:$A,A184)</f>
        <v>1</v>
      </c>
      <c r="N184" s="21">
        <f>countif('v1998'!$A:$A,A184)</f>
        <v>1</v>
      </c>
    </row>
    <row r="185">
      <c r="A185" s="17" t="s">
        <v>2099</v>
      </c>
      <c r="B185" s="17" t="s">
        <v>2678</v>
      </c>
      <c r="C185" s="23">
        <f>countif(Constants!A:A,B185)</f>
        <v>1</v>
      </c>
      <c r="E185" s="57" t="str">
        <f t="shared" si="1"/>
        <v>link</v>
      </c>
      <c r="G185" s="43">
        <f t="shared" si="2"/>
        <v>7</v>
      </c>
      <c r="H185" s="21">
        <f>countif('v2022'!$A:$A,A185)</f>
        <v>1</v>
      </c>
      <c r="I185" s="21">
        <f>countif('v2018'!$A:$A,A185)</f>
        <v>1</v>
      </c>
      <c r="J185" s="21">
        <f>countif('v2014'!$A:$A,A185)</f>
        <v>1</v>
      </c>
      <c r="K185" s="21">
        <f>countif('v2010'!$A:$A,A185)</f>
        <v>1</v>
      </c>
      <c r="L185" s="21">
        <f>countif('v2006'!$A:$A,A185)</f>
        <v>1</v>
      </c>
      <c r="M185" s="21">
        <f>countif('v2002'!$A:$A,A185)</f>
        <v>1</v>
      </c>
      <c r="N185" s="21">
        <f>countif('v1998'!$A:$A,A185)</f>
        <v>1</v>
      </c>
    </row>
    <row r="186">
      <c r="A186" s="17" t="s">
        <v>2103</v>
      </c>
      <c r="B186" s="17" t="s">
        <v>2686</v>
      </c>
      <c r="C186" s="23">
        <f>countif(Constants!A:A,B186)</f>
        <v>1</v>
      </c>
      <c r="E186" s="57" t="str">
        <f t="shared" si="1"/>
        <v>link</v>
      </c>
      <c r="G186" s="43">
        <f t="shared" si="2"/>
        <v>7</v>
      </c>
      <c r="H186" s="21">
        <f>countif('v2022'!$A:$A,A186)</f>
        <v>1</v>
      </c>
      <c r="I186" s="21">
        <f>countif('v2018'!$A:$A,A186)</f>
        <v>1</v>
      </c>
      <c r="J186" s="21">
        <f>countif('v2014'!$A:$A,A186)</f>
        <v>1</v>
      </c>
      <c r="K186" s="21">
        <f>countif('v2010'!$A:$A,A186)</f>
        <v>1</v>
      </c>
      <c r="L186" s="21">
        <f>countif('v2006'!$A:$A,A186)</f>
        <v>1</v>
      </c>
      <c r="M186" s="21">
        <f>countif('v2002'!$A:$A,A186)</f>
        <v>1</v>
      </c>
      <c r="N186" s="21">
        <f>countif('v1998'!$A:$A,A186)</f>
        <v>1</v>
      </c>
    </row>
    <row r="187">
      <c r="A187" s="17" t="s">
        <v>2108</v>
      </c>
      <c r="B187" s="17" t="s">
        <v>2692</v>
      </c>
      <c r="C187" s="23">
        <f>countif(Constants!A:A,B187)</f>
        <v>1</v>
      </c>
      <c r="E187" s="57" t="str">
        <f t="shared" si="1"/>
        <v>link</v>
      </c>
      <c r="G187" s="43">
        <f t="shared" si="2"/>
        <v>7</v>
      </c>
      <c r="H187" s="21">
        <f>countif('v2022'!$A:$A,A187)</f>
        <v>1</v>
      </c>
      <c r="I187" s="21">
        <f>countif('v2018'!$A:$A,A187)</f>
        <v>1</v>
      </c>
      <c r="J187" s="21">
        <f>countif('v2014'!$A:$A,A187)</f>
        <v>1</v>
      </c>
      <c r="K187" s="21">
        <f>countif('v2010'!$A:$A,A187)</f>
        <v>1</v>
      </c>
      <c r="L187" s="21">
        <f>countif('v2006'!$A:$A,A187)</f>
        <v>1</v>
      </c>
      <c r="M187" s="21">
        <f>countif('v2002'!$A:$A,A187)</f>
        <v>1</v>
      </c>
      <c r="N187" s="21">
        <f>countif('v1998'!$A:$A,A187)</f>
        <v>1</v>
      </c>
    </row>
    <row r="188">
      <c r="A188" s="17" t="s">
        <v>2110</v>
      </c>
      <c r="B188" s="17" t="s">
        <v>2699</v>
      </c>
      <c r="C188" s="23">
        <f>countif(Constants!A:A,B188)</f>
        <v>1</v>
      </c>
      <c r="E188" s="57" t="str">
        <f t="shared" si="1"/>
        <v>link</v>
      </c>
      <c r="G188" s="43">
        <f t="shared" si="2"/>
        <v>7</v>
      </c>
      <c r="H188" s="21">
        <f>countif('v2022'!$A:$A,A188)</f>
        <v>1</v>
      </c>
      <c r="I188" s="21">
        <f>countif('v2018'!$A:$A,A188)</f>
        <v>1</v>
      </c>
      <c r="J188" s="21">
        <f>countif('v2014'!$A:$A,A188)</f>
        <v>1</v>
      </c>
      <c r="K188" s="21">
        <f>countif('v2010'!$A:$A,A188)</f>
        <v>1</v>
      </c>
      <c r="L188" s="21">
        <f>countif('v2006'!$A:$A,A188)</f>
        <v>1</v>
      </c>
      <c r="M188" s="21">
        <f>countif('v2002'!$A:$A,A188)</f>
        <v>1</v>
      </c>
      <c r="N188" s="21">
        <f>countif('v1998'!$A:$A,A188)</f>
        <v>1</v>
      </c>
    </row>
    <row r="189">
      <c r="A189" s="17" t="s">
        <v>2116</v>
      </c>
      <c r="B189" s="17" t="s">
        <v>2708</v>
      </c>
      <c r="C189" s="23">
        <f>countif(Constants!A:A,B189)</f>
        <v>1</v>
      </c>
      <c r="E189" s="57" t="str">
        <f t="shared" si="1"/>
        <v>link</v>
      </c>
      <c r="G189" s="43">
        <f t="shared" si="2"/>
        <v>7</v>
      </c>
      <c r="H189" s="21">
        <f>countif('v2022'!$A:$A,A189)</f>
        <v>1</v>
      </c>
      <c r="I189" s="21">
        <f>countif('v2018'!$A:$A,A189)</f>
        <v>1</v>
      </c>
      <c r="J189" s="21">
        <f>countif('v2014'!$A:$A,A189)</f>
        <v>1</v>
      </c>
      <c r="K189" s="21">
        <f>countif('v2010'!$A:$A,A189)</f>
        <v>1</v>
      </c>
      <c r="L189" s="21">
        <f>countif('v2006'!$A:$A,A189)</f>
        <v>1</v>
      </c>
      <c r="M189" s="21">
        <f>countif('v2002'!$A:$A,A189)</f>
        <v>1</v>
      </c>
      <c r="N189" s="21">
        <f>countif('v1998'!$A:$A,A189)</f>
        <v>1</v>
      </c>
    </row>
    <row r="190">
      <c r="A190" s="17" t="s">
        <v>2119</v>
      </c>
      <c r="B190" s="17" t="s">
        <v>2722</v>
      </c>
      <c r="C190" s="23">
        <f>countif(Constants!A:A,B190)</f>
        <v>1</v>
      </c>
      <c r="E190" s="57" t="str">
        <f t="shared" si="1"/>
        <v>link</v>
      </c>
      <c r="G190" s="43">
        <f t="shared" si="2"/>
        <v>7</v>
      </c>
      <c r="H190" s="21">
        <f>countif('v2022'!$A:$A,A190)</f>
        <v>1</v>
      </c>
      <c r="I190" s="21">
        <f>countif('v2018'!$A:$A,A190)</f>
        <v>1</v>
      </c>
      <c r="J190" s="21">
        <f>countif('v2014'!$A:$A,A190)</f>
        <v>1</v>
      </c>
      <c r="K190" s="21">
        <f>countif('v2010'!$A:$A,A190)</f>
        <v>1</v>
      </c>
      <c r="L190" s="21">
        <f>countif('v2006'!$A:$A,A190)</f>
        <v>1</v>
      </c>
      <c r="M190" s="21">
        <f>countif('v2002'!$A:$A,A190)</f>
        <v>1</v>
      </c>
      <c r="N190" s="21">
        <f>countif('v1998'!$A:$A,A190)</f>
        <v>1</v>
      </c>
    </row>
    <row r="191">
      <c r="A191" s="17" t="s">
        <v>2121</v>
      </c>
      <c r="B191" s="17" t="s">
        <v>2738</v>
      </c>
      <c r="C191" s="23">
        <f>countif(Constants!A:A,B191)</f>
        <v>1</v>
      </c>
      <c r="E191" s="57" t="str">
        <f t="shared" si="1"/>
        <v>link</v>
      </c>
      <c r="G191" s="43">
        <f t="shared" si="2"/>
        <v>2</v>
      </c>
      <c r="H191" s="21">
        <f>countif('v2022'!$A:$A,A191)</f>
        <v>1</v>
      </c>
      <c r="I191" s="21">
        <f>countif('v2018'!$A:$A,A191)</f>
        <v>1</v>
      </c>
      <c r="J191" s="21">
        <f>countif('v2014'!$A:$A,A191)</f>
        <v>0</v>
      </c>
      <c r="K191" s="21">
        <f>countif('v2010'!$A:$A,A191)</f>
        <v>0</v>
      </c>
      <c r="L191" s="21">
        <f>countif('v2006'!$A:$A,A191)</f>
        <v>0</v>
      </c>
      <c r="M191" s="21">
        <f>countif('v2002'!$A:$A,A191)</f>
        <v>0</v>
      </c>
      <c r="N191" s="21">
        <f>countif('v1998'!$A:$A,A191)</f>
        <v>0</v>
      </c>
    </row>
    <row r="192">
      <c r="A192" s="17" t="s">
        <v>2126</v>
      </c>
      <c r="B192" s="17" t="s">
        <v>2750</v>
      </c>
      <c r="C192" s="23">
        <f>countif(Constants!A:A,B192)</f>
        <v>1</v>
      </c>
      <c r="E192" s="57" t="str">
        <f t="shared" si="1"/>
        <v>link</v>
      </c>
      <c r="G192" s="43">
        <f t="shared" si="2"/>
        <v>7</v>
      </c>
      <c r="H192" s="21">
        <f>countif('v2022'!$A:$A,A192)</f>
        <v>1</v>
      </c>
      <c r="I192" s="21">
        <f>countif('v2018'!$A:$A,A192)</f>
        <v>1</v>
      </c>
      <c r="J192" s="21">
        <f>countif('v2014'!$A:$A,A192)</f>
        <v>1</v>
      </c>
      <c r="K192" s="21">
        <f>countif('v2010'!$A:$A,A192)</f>
        <v>1</v>
      </c>
      <c r="L192" s="21">
        <f>countif('v2006'!$A:$A,A192)</f>
        <v>1</v>
      </c>
      <c r="M192" s="21">
        <f>countif('v2002'!$A:$A,A192)</f>
        <v>1</v>
      </c>
      <c r="N192" s="21">
        <f>countif('v1998'!$A:$A,A192)</f>
        <v>1</v>
      </c>
    </row>
    <row r="193">
      <c r="A193" s="17" t="s">
        <v>2130</v>
      </c>
      <c r="B193" s="17" t="s">
        <v>2762</v>
      </c>
      <c r="C193" s="23">
        <f>countif(Constants!A:A,B193)</f>
        <v>1</v>
      </c>
      <c r="E193" s="57" t="str">
        <f t="shared" si="1"/>
        <v>link</v>
      </c>
      <c r="G193" s="43">
        <f t="shared" si="2"/>
        <v>7</v>
      </c>
      <c r="H193" s="21">
        <f>countif('v2022'!$A:$A,A193)</f>
        <v>1</v>
      </c>
      <c r="I193" s="21">
        <f>countif('v2018'!$A:$A,A193)</f>
        <v>1</v>
      </c>
      <c r="J193" s="21">
        <f>countif('v2014'!$A:$A,A193)</f>
        <v>1</v>
      </c>
      <c r="K193" s="21">
        <f>countif('v2010'!$A:$A,A193)</f>
        <v>1</v>
      </c>
      <c r="L193" s="21">
        <f>countif('v2006'!$A:$A,A193)</f>
        <v>1</v>
      </c>
      <c r="M193" s="21">
        <f>countif('v2002'!$A:$A,A193)</f>
        <v>1</v>
      </c>
      <c r="N193" s="21">
        <f>countif('v1998'!$A:$A,A193)</f>
        <v>1</v>
      </c>
    </row>
    <row r="194">
      <c r="A194" s="17" t="s">
        <v>2134</v>
      </c>
      <c r="B194" s="17" t="s">
        <v>2777</v>
      </c>
      <c r="C194" s="23">
        <f>countif(Constants!A:A,B194)</f>
        <v>1</v>
      </c>
      <c r="E194" s="57" t="str">
        <f t="shared" si="1"/>
        <v>link</v>
      </c>
      <c r="G194" s="43">
        <f t="shared" si="2"/>
        <v>7</v>
      </c>
      <c r="H194" s="21">
        <f>countif('v2022'!$A:$A,A194)</f>
        <v>1</v>
      </c>
      <c r="I194" s="21">
        <f>countif('v2018'!$A:$A,A194)</f>
        <v>1</v>
      </c>
      <c r="J194" s="21">
        <f>countif('v2014'!$A:$A,A194)</f>
        <v>1</v>
      </c>
      <c r="K194" s="21">
        <f>countif('v2010'!$A:$A,A194)</f>
        <v>1</v>
      </c>
      <c r="L194" s="21">
        <f>countif('v2006'!$A:$A,A194)</f>
        <v>1</v>
      </c>
      <c r="M194" s="21">
        <f>countif('v2002'!$A:$A,A194)</f>
        <v>1</v>
      </c>
      <c r="N194" s="21">
        <f>countif('v1998'!$A:$A,A194)</f>
        <v>1</v>
      </c>
    </row>
    <row r="195">
      <c r="A195" s="17" t="s">
        <v>2137</v>
      </c>
      <c r="B195" s="17" t="s">
        <v>2793</v>
      </c>
      <c r="C195" s="23">
        <f>countif(Constants!A:A,B195)</f>
        <v>1</v>
      </c>
      <c r="E195" s="57" t="str">
        <f t="shared" si="1"/>
        <v>link</v>
      </c>
      <c r="G195" s="43">
        <f t="shared" si="2"/>
        <v>7</v>
      </c>
      <c r="H195" s="21">
        <f>countif('v2022'!$A:$A,A195)</f>
        <v>1</v>
      </c>
      <c r="I195" s="21">
        <f>countif('v2018'!$A:$A,A195)</f>
        <v>1</v>
      </c>
      <c r="J195" s="21">
        <f>countif('v2014'!$A:$A,A195)</f>
        <v>1</v>
      </c>
      <c r="K195" s="21">
        <f>countif('v2010'!$A:$A,A195)</f>
        <v>1</v>
      </c>
      <c r="L195" s="21">
        <f>countif('v2006'!$A:$A,A195)</f>
        <v>1</v>
      </c>
      <c r="M195" s="21">
        <f>countif('v2002'!$A:$A,A195)</f>
        <v>1</v>
      </c>
      <c r="N195" s="21">
        <f>countif('v1998'!$A:$A,A195)</f>
        <v>1</v>
      </c>
    </row>
    <row r="196">
      <c r="A196" s="17" t="s">
        <v>2144</v>
      </c>
      <c r="B196" s="17" t="s">
        <v>2806</v>
      </c>
      <c r="C196" s="23">
        <f>countif(Constants!A:A,B196)</f>
        <v>1</v>
      </c>
      <c r="E196" s="57" t="str">
        <f t="shared" si="1"/>
        <v>link</v>
      </c>
      <c r="G196" s="43">
        <f t="shared" si="2"/>
        <v>7</v>
      </c>
      <c r="H196" s="21">
        <f>countif('v2022'!$A:$A,A196)</f>
        <v>1</v>
      </c>
      <c r="I196" s="21">
        <f>countif('v2018'!$A:$A,A196)</f>
        <v>1</v>
      </c>
      <c r="J196" s="21">
        <f>countif('v2014'!$A:$A,A196)</f>
        <v>1</v>
      </c>
      <c r="K196" s="21">
        <f>countif('v2010'!$A:$A,A196)</f>
        <v>1</v>
      </c>
      <c r="L196" s="21">
        <f>countif('v2006'!$A:$A,A196)</f>
        <v>1</v>
      </c>
      <c r="M196" s="21">
        <f>countif('v2002'!$A:$A,A196)</f>
        <v>1</v>
      </c>
      <c r="N196" s="21">
        <f>countif('v1998'!$A:$A,A196)</f>
        <v>1</v>
      </c>
    </row>
    <row r="197">
      <c r="A197" s="17" t="s">
        <v>2147</v>
      </c>
      <c r="B197" s="17" t="s">
        <v>2816</v>
      </c>
      <c r="C197" s="23">
        <f>countif(Constants!A:A,B197)</f>
        <v>1</v>
      </c>
      <c r="E197" s="57" t="str">
        <f t="shared" si="1"/>
        <v>link</v>
      </c>
      <c r="G197" s="43">
        <f t="shared" si="2"/>
        <v>7</v>
      </c>
      <c r="H197" s="21">
        <f>countif('v2022'!$A:$A,A197)</f>
        <v>1</v>
      </c>
      <c r="I197" s="21">
        <f>countif('v2018'!$A:$A,A197)</f>
        <v>1</v>
      </c>
      <c r="J197" s="21">
        <f>countif('v2014'!$A:$A,A197)</f>
        <v>1</v>
      </c>
      <c r="K197" s="21">
        <f>countif('v2010'!$A:$A,A197)</f>
        <v>1</v>
      </c>
      <c r="L197" s="21">
        <f>countif('v2006'!$A:$A,A197)</f>
        <v>1</v>
      </c>
      <c r="M197" s="21">
        <f>countif('v2002'!$A:$A,A197)</f>
        <v>1</v>
      </c>
      <c r="N197" s="21">
        <f>countif('v1998'!$A:$A,A197)</f>
        <v>1</v>
      </c>
    </row>
    <row r="198">
      <c r="A198" s="17" t="s">
        <v>2150</v>
      </c>
      <c r="B198" s="17" t="s">
        <v>2830</v>
      </c>
      <c r="C198" s="23">
        <f>countif(Constants!A:A,B198)</f>
        <v>1</v>
      </c>
      <c r="E198" s="57" t="str">
        <f t="shared" si="1"/>
        <v>link</v>
      </c>
      <c r="G198" s="43">
        <f t="shared" si="2"/>
        <v>7</v>
      </c>
      <c r="H198" s="21">
        <f>countif('v2022'!$A:$A,A198)</f>
        <v>1</v>
      </c>
      <c r="I198" s="21">
        <f>countif('v2018'!$A:$A,A198)</f>
        <v>1</v>
      </c>
      <c r="J198" s="21">
        <f>countif('v2014'!$A:$A,A198)</f>
        <v>1</v>
      </c>
      <c r="K198" s="21">
        <f>countif('v2010'!$A:$A,A198)</f>
        <v>1</v>
      </c>
      <c r="L198" s="21">
        <f>countif('v2006'!$A:$A,A198)</f>
        <v>1</v>
      </c>
      <c r="M198" s="21">
        <f>countif('v2002'!$A:$A,A198)</f>
        <v>1</v>
      </c>
      <c r="N198" s="21">
        <f>countif('v1998'!$A:$A,A198)</f>
        <v>1</v>
      </c>
    </row>
    <row r="199">
      <c r="A199" s="17" t="s">
        <v>2153</v>
      </c>
      <c r="B199" s="17" t="s">
        <v>2842</v>
      </c>
      <c r="C199" s="23">
        <f>countif(Constants!A:A,B199)</f>
        <v>1</v>
      </c>
      <c r="E199" s="57" t="str">
        <f t="shared" si="1"/>
        <v>link</v>
      </c>
      <c r="G199" s="43">
        <f t="shared" si="2"/>
        <v>7</v>
      </c>
      <c r="H199" s="21">
        <f>countif('v2022'!$A:$A,A199)</f>
        <v>1</v>
      </c>
      <c r="I199" s="21">
        <f>countif('v2018'!$A:$A,A199)</f>
        <v>1</v>
      </c>
      <c r="J199" s="21">
        <f>countif('v2014'!$A:$A,A199)</f>
        <v>1</v>
      </c>
      <c r="K199" s="21">
        <f>countif('v2010'!$A:$A,A199)</f>
        <v>1</v>
      </c>
      <c r="L199" s="21">
        <f>countif('v2006'!$A:$A,A199)</f>
        <v>1</v>
      </c>
      <c r="M199" s="21">
        <f>countif('v2002'!$A:$A,A199)</f>
        <v>1</v>
      </c>
      <c r="N199" s="21">
        <f>countif('v1998'!$A:$A,A199)</f>
        <v>1</v>
      </c>
    </row>
    <row r="200">
      <c r="A200" s="17" t="s">
        <v>2159</v>
      </c>
      <c r="B200" s="17" t="s">
        <v>2856</v>
      </c>
      <c r="C200" s="23">
        <f>countif(Constants!A:A,B200)</f>
        <v>1</v>
      </c>
      <c r="E200" s="57" t="str">
        <f t="shared" si="1"/>
        <v>link</v>
      </c>
      <c r="G200" s="43">
        <f t="shared" si="2"/>
        <v>7</v>
      </c>
      <c r="H200" s="21">
        <f>countif('v2022'!$A:$A,A200)</f>
        <v>1</v>
      </c>
      <c r="I200" s="21">
        <f>countif('v2018'!$A:$A,A200)</f>
        <v>1</v>
      </c>
      <c r="J200" s="21">
        <f>countif('v2014'!$A:$A,A200)</f>
        <v>1</v>
      </c>
      <c r="K200" s="21">
        <f>countif('v2010'!$A:$A,A200)</f>
        <v>1</v>
      </c>
      <c r="L200" s="21">
        <f>countif('v2006'!$A:$A,A200)</f>
        <v>1</v>
      </c>
      <c r="M200" s="21">
        <f>countif('v2002'!$A:$A,A200)</f>
        <v>1</v>
      </c>
      <c r="N200" s="21">
        <f>countif('v1998'!$A:$A,A200)</f>
        <v>1</v>
      </c>
    </row>
    <row r="201">
      <c r="A201" s="17" t="s">
        <v>2162</v>
      </c>
      <c r="B201" s="17" t="s">
        <v>2870</v>
      </c>
      <c r="C201" s="23">
        <f>countif(Constants!A:A,B201)</f>
        <v>1</v>
      </c>
      <c r="E201" s="57" t="str">
        <f t="shared" si="1"/>
        <v>link</v>
      </c>
      <c r="G201" s="43">
        <f t="shared" si="2"/>
        <v>7</v>
      </c>
      <c r="H201" s="21">
        <f>countif('v2022'!$A:$A,A201)</f>
        <v>1</v>
      </c>
      <c r="I201" s="21">
        <f>countif('v2018'!$A:$A,A201)</f>
        <v>1</v>
      </c>
      <c r="J201" s="21">
        <f>countif('v2014'!$A:$A,A201)</f>
        <v>1</v>
      </c>
      <c r="K201" s="21">
        <f>countif('v2010'!$A:$A,A201)</f>
        <v>1</v>
      </c>
      <c r="L201" s="21">
        <f>countif('v2006'!$A:$A,A201)</f>
        <v>1</v>
      </c>
      <c r="M201" s="21">
        <f>countif('v2002'!$A:$A,A201)</f>
        <v>1</v>
      </c>
      <c r="N201" s="21">
        <f>countif('v1998'!$A:$A,A201)</f>
        <v>1</v>
      </c>
    </row>
    <row r="202">
      <c r="A202" s="17" t="s">
        <v>2166</v>
      </c>
      <c r="B202" s="17" t="s">
        <v>2883</v>
      </c>
      <c r="C202" s="23">
        <f>countif(Constants!A:A,B202)</f>
        <v>1</v>
      </c>
      <c r="E202" s="57" t="str">
        <f t="shared" si="1"/>
        <v>link</v>
      </c>
      <c r="G202" s="43">
        <f t="shared" si="2"/>
        <v>7</v>
      </c>
      <c r="H202" s="21">
        <f>countif('v2022'!$A:$A,A202)</f>
        <v>1</v>
      </c>
      <c r="I202" s="21">
        <f>countif('v2018'!$A:$A,A202)</f>
        <v>1</v>
      </c>
      <c r="J202" s="21">
        <f>countif('v2014'!$A:$A,A202)</f>
        <v>1</v>
      </c>
      <c r="K202" s="21">
        <f>countif('v2010'!$A:$A,A202)</f>
        <v>1</v>
      </c>
      <c r="L202" s="21">
        <f>countif('v2006'!$A:$A,A202)</f>
        <v>1</v>
      </c>
      <c r="M202" s="21">
        <f>countif('v2002'!$A:$A,A202)</f>
        <v>1</v>
      </c>
      <c r="N202" s="21">
        <f>countif('v1998'!$A:$A,A202)</f>
        <v>1</v>
      </c>
    </row>
    <row r="203">
      <c r="A203" s="17" t="s">
        <v>2172</v>
      </c>
      <c r="B203" s="17" t="s">
        <v>2893</v>
      </c>
      <c r="C203" s="23">
        <f>countif(Constants!A:A,B203)</f>
        <v>1</v>
      </c>
      <c r="E203" s="57" t="str">
        <f t="shared" si="1"/>
        <v>link</v>
      </c>
      <c r="G203" s="43">
        <f t="shared" si="2"/>
        <v>7</v>
      </c>
      <c r="H203" s="21">
        <f>countif('v2022'!$A:$A,A203)</f>
        <v>1</v>
      </c>
      <c r="I203" s="21">
        <f>countif('v2018'!$A:$A,A203)</f>
        <v>1</v>
      </c>
      <c r="J203" s="21">
        <f>countif('v2014'!$A:$A,A203)</f>
        <v>1</v>
      </c>
      <c r="K203" s="21">
        <f>countif('v2010'!$A:$A,A203)</f>
        <v>1</v>
      </c>
      <c r="L203" s="21">
        <f>countif('v2006'!$A:$A,A203)</f>
        <v>1</v>
      </c>
      <c r="M203" s="21">
        <f>countif('v2002'!$A:$A,A203)</f>
        <v>1</v>
      </c>
      <c r="N203" s="21">
        <f>countif('v1998'!$A:$A,A203)</f>
        <v>1</v>
      </c>
    </row>
    <row r="204">
      <c r="A204" s="17" t="s">
        <v>2176</v>
      </c>
      <c r="B204" s="17" t="s">
        <v>2909</v>
      </c>
      <c r="C204" s="23">
        <f>countif(Constants!A:A,B204)</f>
        <v>1</v>
      </c>
      <c r="E204" s="57" t="str">
        <f t="shared" si="1"/>
        <v>link</v>
      </c>
      <c r="G204" s="43">
        <f t="shared" si="2"/>
        <v>7</v>
      </c>
      <c r="H204" s="21">
        <f>countif('v2022'!$A:$A,A204)</f>
        <v>1</v>
      </c>
      <c r="I204" s="21">
        <f>countif('v2018'!$A:$A,A204)</f>
        <v>1</v>
      </c>
      <c r="J204" s="21">
        <f>countif('v2014'!$A:$A,A204)</f>
        <v>1</v>
      </c>
      <c r="K204" s="21">
        <f>countif('v2010'!$A:$A,A204)</f>
        <v>1</v>
      </c>
      <c r="L204" s="21">
        <f>countif('v2006'!$A:$A,A204)</f>
        <v>1</v>
      </c>
      <c r="M204" s="21">
        <f>countif('v2002'!$A:$A,A204)</f>
        <v>1</v>
      </c>
      <c r="N204" s="21">
        <f>countif('v1998'!$A:$A,A204)</f>
        <v>1</v>
      </c>
    </row>
    <row r="205">
      <c r="A205" s="17" t="s">
        <v>2180</v>
      </c>
      <c r="B205" s="17" t="s">
        <v>2923</v>
      </c>
      <c r="C205" s="23">
        <f>countif(Constants!A:A,B205)</f>
        <v>1</v>
      </c>
      <c r="E205" s="57" t="str">
        <f t="shared" si="1"/>
        <v>link</v>
      </c>
      <c r="G205" s="43">
        <f t="shared" si="2"/>
        <v>7</v>
      </c>
      <c r="H205" s="21">
        <f>countif('v2022'!$A:$A,A205)</f>
        <v>1</v>
      </c>
      <c r="I205" s="21">
        <f>countif('v2018'!$A:$A,A205)</f>
        <v>1</v>
      </c>
      <c r="J205" s="21">
        <f>countif('v2014'!$A:$A,A205)</f>
        <v>1</v>
      </c>
      <c r="K205" s="21">
        <f>countif('v2010'!$A:$A,A205)</f>
        <v>1</v>
      </c>
      <c r="L205" s="21">
        <f>countif('v2006'!$A:$A,A205)</f>
        <v>1</v>
      </c>
      <c r="M205" s="21">
        <f>countif('v2002'!$A:$A,A205)</f>
        <v>1</v>
      </c>
      <c r="N205" s="21">
        <f>countif('v1998'!$A:$A,A205)</f>
        <v>1</v>
      </c>
    </row>
    <row r="206">
      <c r="A206" s="17" t="s">
        <v>2184</v>
      </c>
      <c r="B206" s="17" t="s">
        <v>2938</v>
      </c>
      <c r="C206" s="23">
        <f>countif(Constants!A:A,B206)</f>
        <v>1</v>
      </c>
      <c r="E206" s="57" t="str">
        <f t="shared" si="1"/>
        <v>link</v>
      </c>
      <c r="G206" s="43">
        <f t="shared" si="2"/>
        <v>7</v>
      </c>
      <c r="H206" s="21">
        <f>countif('v2022'!$A:$A,A206)</f>
        <v>1</v>
      </c>
      <c r="I206" s="21">
        <f>countif('v2018'!$A:$A,A206)</f>
        <v>1</v>
      </c>
      <c r="J206" s="21">
        <f>countif('v2014'!$A:$A,A206)</f>
        <v>1</v>
      </c>
      <c r="K206" s="21">
        <f>countif('v2010'!$A:$A,A206)</f>
        <v>1</v>
      </c>
      <c r="L206" s="21">
        <f>countif('v2006'!$A:$A,A206)</f>
        <v>1</v>
      </c>
      <c r="M206" s="21">
        <f>countif('v2002'!$A:$A,A206)</f>
        <v>1</v>
      </c>
      <c r="N206" s="21">
        <f>countif('v1998'!$A:$A,A206)</f>
        <v>1</v>
      </c>
    </row>
    <row r="207">
      <c r="A207" s="17" t="s">
        <v>2190</v>
      </c>
      <c r="B207" s="17" t="s">
        <v>2948</v>
      </c>
      <c r="C207" s="23">
        <f>countif(Constants!A:A,B207)</f>
        <v>1</v>
      </c>
      <c r="E207" s="57" t="str">
        <f t="shared" si="1"/>
        <v>link</v>
      </c>
      <c r="G207" s="43">
        <f t="shared" si="2"/>
        <v>7</v>
      </c>
      <c r="H207" s="21">
        <f>countif('v2022'!$A:$A,A207)</f>
        <v>1</v>
      </c>
      <c r="I207" s="21">
        <f>countif('v2018'!$A:$A,A207)</f>
        <v>1</v>
      </c>
      <c r="J207" s="21">
        <f>countif('v2014'!$A:$A,A207)</f>
        <v>1</v>
      </c>
      <c r="K207" s="21">
        <f>countif('v2010'!$A:$A,A207)</f>
        <v>1</v>
      </c>
      <c r="L207" s="21">
        <f>countif('v2006'!$A:$A,A207)</f>
        <v>1</v>
      </c>
      <c r="M207" s="21">
        <f>countif('v2002'!$A:$A,A207)</f>
        <v>1</v>
      </c>
      <c r="N207" s="21">
        <f>countif('v1998'!$A:$A,A207)</f>
        <v>1</v>
      </c>
    </row>
    <row r="208">
      <c r="A208" s="17" t="s">
        <v>2193</v>
      </c>
      <c r="B208" s="17" t="s">
        <v>2961</v>
      </c>
      <c r="C208" s="23">
        <f>countif(Constants!A:A,B208)</f>
        <v>1</v>
      </c>
      <c r="E208" s="57" t="str">
        <f t="shared" si="1"/>
        <v>link</v>
      </c>
      <c r="G208" s="43">
        <f t="shared" si="2"/>
        <v>7</v>
      </c>
      <c r="H208" s="21">
        <f>countif('v2022'!$A:$A,A208)</f>
        <v>1</v>
      </c>
      <c r="I208" s="21">
        <f>countif('v2018'!$A:$A,A208)</f>
        <v>1</v>
      </c>
      <c r="J208" s="21">
        <f>countif('v2014'!$A:$A,A208)</f>
        <v>1</v>
      </c>
      <c r="K208" s="21">
        <f>countif('v2010'!$A:$A,A208)</f>
        <v>1</v>
      </c>
      <c r="L208" s="21">
        <f>countif('v2006'!$A:$A,A208)</f>
        <v>1</v>
      </c>
      <c r="M208" s="21">
        <f>countif('v2002'!$A:$A,A208)</f>
        <v>1</v>
      </c>
      <c r="N208" s="21">
        <f>countif('v1998'!$A:$A,A208)</f>
        <v>1</v>
      </c>
    </row>
    <row r="209">
      <c r="A209" s="17" t="s">
        <v>2196</v>
      </c>
      <c r="B209" s="17" t="s">
        <v>2974</v>
      </c>
      <c r="C209" s="23">
        <f>countif(Constants!A:A,B209)</f>
        <v>1</v>
      </c>
      <c r="E209" s="57" t="str">
        <f t="shared" si="1"/>
        <v>link</v>
      </c>
      <c r="G209" s="43">
        <f t="shared" si="2"/>
        <v>7</v>
      </c>
      <c r="H209" s="21">
        <f>countif('v2022'!$A:$A,A209)</f>
        <v>1</v>
      </c>
      <c r="I209" s="21">
        <f>countif('v2018'!$A:$A,A209)</f>
        <v>1</v>
      </c>
      <c r="J209" s="21">
        <f>countif('v2014'!$A:$A,A209)</f>
        <v>1</v>
      </c>
      <c r="K209" s="21">
        <f>countif('v2010'!$A:$A,A209)</f>
        <v>1</v>
      </c>
      <c r="L209" s="21">
        <f>countif('v2006'!$A:$A,A209)</f>
        <v>1</v>
      </c>
      <c r="M209" s="21">
        <f>countif('v2002'!$A:$A,A209)</f>
        <v>1</v>
      </c>
      <c r="N209" s="21">
        <f>countif('v1998'!$A:$A,A209)</f>
        <v>1</v>
      </c>
    </row>
    <row r="210">
      <c r="A210" s="17" t="s">
        <v>2200</v>
      </c>
      <c r="B210" s="17" t="s">
        <v>2986</v>
      </c>
      <c r="C210" s="23">
        <f>countif(Constants!A:A,B210)</f>
        <v>1</v>
      </c>
      <c r="E210" s="57" t="str">
        <f t="shared" si="1"/>
        <v>link</v>
      </c>
      <c r="G210" s="43">
        <f t="shared" si="2"/>
        <v>7</v>
      </c>
      <c r="H210" s="21">
        <f>countif('v2022'!$A:$A,A210)</f>
        <v>1</v>
      </c>
      <c r="I210" s="21">
        <f>countif('v2018'!$A:$A,A210)</f>
        <v>1</v>
      </c>
      <c r="J210" s="21">
        <f>countif('v2014'!$A:$A,A210)</f>
        <v>1</v>
      </c>
      <c r="K210" s="21">
        <f>countif('v2010'!$A:$A,A210)</f>
        <v>1</v>
      </c>
      <c r="L210" s="21">
        <f>countif('v2006'!$A:$A,A210)</f>
        <v>1</v>
      </c>
      <c r="M210" s="21">
        <f>countif('v2002'!$A:$A,A210)</f>
        <v>1</v>
      </c>
      <c r="N210" s="21">
        <f>countif('v1998'!$A:$A,A210)</f>
        <v>1</v>
      </c>
    </row>
    <row r="211">
      <c r="A211" s="17" t="s">
        <v>2204</v>
      </c>
      <c r="B211" s="17" t="s">
        <v>2998</v>
      </c>
      <c r="C211" s="23">
        <f>countif(Constants!A:A,B211)</f>
        <v>1</v>
      </c>
      <c r="E211" s="57" t="str">
        <f t="shared" si="1"/>
        <v>link</v>
      </c>
      <c r="G211" s="43">
        <f t="shared" si="2"/>
        <v>7</v>
      </c>
      <c r="H211" s="21">
        <f>countif('v2022'!$A:$A,A211)</f>
        <v>1</v>
      </c>
      <c r="I211" s="21">
        <f>countif('v2018'!$A:$A,A211)</f>
        <v>1</v>
      </c>
      <c r="J211" s="21">
        <f>countif('v2014'!$A:$A,A211)</f>
        <v>1</v>
      </c>
      <c r="K211" s="21">
        <f>countif('v2010'!$A:$A,A211)</f>
        <v>1</v>
      </c>
      <c r="L211" s="21">
        <f>countif('v2006'!$A:$A,A211)</f>
        <v>1</v>
      </c>
      <c r="M211" s="21">
        <f>countif('v2002'!$A:$A,A211)</f>
        <v>1</v>
      </c>
      <c r="N211" s="21">
        <f>countif('v1998'!$A:$A,A211)</f>
        <v>1</v>
      </c>
    </row>
    <row r="212">
      <c r="A212" s="17" t="s">
        <v>2208</v>
      </c>
      <c r="B212" s="17" t="s">
        <v>3039</v>
      </c>
      <c r="C212" s="23">
        <f>countif(Constants!A:A,B212)</f>
        <v>1</v>
      </c>
      <c r="E212" s="57" t="str">
        <f t="shared" si="1"/>
        <v>link</v>
      </c>
      <c r="G212" s="43">
        <f t="shared" si="2"/>
        <v>7</v>
      </c>
      <c r="H212" s="21">
        <f>countif('v2022'!$A:$A,A212)</f>
        <v>1</v>
      </c>
      <c r="I212" s="21">
        <f>countif('v2018'!$A:$A,A212)</f>
        <v>1</v>
      </c>
      <c r="J212" s="21">
        <f>countif('v2014'!$A:$A,A212)</f>
        <v>1</v>
      </c>
      <c r="K212" s="21">
        <f>countif('v2010'!$A:$A,A212)</f>
        <v>1</v>
      </c>
      <c r="L212" s="21">
        <f>countif('v2006'!$A:$A,A212)</f>
        <v>1</v>
      </c>
      <c r="M212" s="21">
        <f>countif('v2002'!$A:$A,A212)</f>
        <v>1</v>
      </c>
      <c r="N212" s="21">
        <f>countif('v1998'!$A:$A,A212)</f>
        <v>1</v>
      </c>
    </row>
    <row r="213">
      <c r="A213" s="17" t="s">
        <v>2217</v>
      </c>
      <c r="B213" s="17" t="s">
        <v>3052</v>
      </c>
      <c r="C213" s="23">
        <f>countif(Constants!A:A,B213)</f>
        <v>1</v>
      </c>
      <c r="E213" s="57" t="str">
        <f t="shared" si="1"/>
        <v>link</v>
      </c>
      <c r="G213" s="43">
        <f t="shared" si="2"/>
        <v>7</v>
      </c>
      <c r="H213" s="21">
        <f>countif('v2022'!$A:$A,A213)</f>
        <v>1</v>
      </c>
      <c r="I213" s="21">
        <f>countif('v2018'!$A:$A,A213)</f>
        <v>1</v>
      </c>
      <c r="J213" s="21">
        <f>countif('v2014'!$A:$A,A213)</f>
        <v>1</v>
      </c>
      <c r="K213" s="21">
        <f>countif('v2010'!$A:$A,A213)</f>
        <v>1</v>
      </c>
      <c r="L213" s="21">
        <f>countif('v2006'!$A:$A,A213)</f>
        <v>1</v>
      </c>
      <c r="M213" s="21">
        <f>countif('v2002'!$A:$A,A213)</f>
        <v>1</v>
      </c>
      <c r="N213" s="21">
        <f>countif('v1998'!$A:$A,A213)</f>
        <v>1</v>
      </c>
    </row>
    <row r="214">
      <c r="A214" s="17" t="s">
        <v>2219</v>
      </c>
      <c r="B214" s="17" t="s">
        <v>3065</v>
      </c>
      <c r="C214" s="23">
        <f>countif(Constants!A:A,B214)</f>
        <v>1</v>
      </c>
      <c r="E214" s="57" t="str">
        <f t="shared" si="1"/>
        <v>link</v>
      </c>
      <c r="G214" s="43">
        <f t="shared" si="2"/>
        <v>7</v>
      </c>
      <c r="H214" s="21">
        <f>countif('v2022'!$A:$A,A214)</f>
        <v>1</v>
      </c>
      <c r="I214" s="21">
        <f>countif('v2018'!$A:$A,A214)</f>
        <v>1</v>
      </c>
      <c r="J214" s="21">
        <f>countif('v2014'!$A:$A,A214)</f>
        <v>1</v>
      </c>
      <c r="K214" s="21">
        <f>countif('v2010'!$A:$A,A214)</f>
        <v>1</v>
      </c>
      <c r="L214" s="21">
        <f>countif('v2006'!$A:$A,A214)</f>
        <v>1</v>
      </c>
      <c r="M214" s="21">
        <f>countif('v2002'!$A:$A,A214)</f>
        <v>1</v>
      </c>
      <c r="N214" s="21">
        <f>countif('v1998'!$A:$A,A214)</f>
        <v>1</v>
      </c>
    </row>
    <row r="215">
      <c r="A215" s="17" t="s">
        <v>2222</v>
      </c>
      <c r="B215" s="17" t="s">
        <v>3074</v>
      </c>
      <c r="C215" s="23">
        <f>countif(Constants!A:A,B215)</f>
        <v>1</v>
      </c>
      <c r="E215" s="57" t="str">
        <f t="shared" si="1"/>
        <v>link</v>
      </c>
      <c r="G215" s="43">
        <f t="shared" si="2"/>
        <v>7</v>
      </c>
      <c r="H215" s="21">
        <f>countif('v2022'!$A:$A,A215)</f>
        <v>1</v>
      </c>
      <c r="I215" s="21">
        <f>countif('v2018'!$A:$A,A215)</f>
        <v>1</v>
      </c>
      <c r="J215" s="21">
        <f>countif('v2014'!$A:$A,A215)</f>
        <v>1</v>
      </c>
      <c r="K215" s="21">
        <f>countif('v2010'!$A:$A,A215)</f>
        <v>1</v>
      </c>
      <c r="L215" s="21">
        <f>countif('v2006'!$A:$A,A215)</f>
        <v>1</v>
      </c>
      <c r="M215" s="21">
        <f>countif('v2002'!$A:$A,A215)</f>
        <v>1</v>
      </c>
      <c r="N215" s="21">
        <f>countif('v1998'!$A:$A,A215)</f>
        <v>1</v>
      </c>
    </row>
    <row r="216">
      <c r="A216" s="17" t="s">
        <v>2226</v>
      </c>
      <c r="B216" s="17" t="s">
        <v>3092</v>
      </c>
      <c r="C216" s="23">
        <f>countif(Constants!A:A,B216)</f>
        <v>1</v>
      </c>
      <c r="E216" s="57" t="str">
        <f t="shared" si="1"/>
        <v>link</v>
      </c>
      <c r="G216" s="43">
        <f t="shared" si="2"/>
        <v>7</v>
      </c>
      <c r="H216" s="21">
        <f>countif('v2022'!$A:$A,A216)</f>
        <v>1</v>
      </c>
      <c r="I216" s="21">
        <f>countif('v2018'!$A:$A,A216)</f>
        <v>1</v>
      </c>
      <c r="J216" s="21">
        <f>countif('v2014'!$A:$A,A216)</f>
        <v>1</v>
      </c>
      <c r="K216" s="21">
        <f>countif('v2010'!$A:$A,A216)</f>
        <v>1</v>
      </c>
      <c r="L216" s="21">
        <f>countif('v2006'!$A:$A,A216)</f>
        <v>1</v>
      </c>
      <c r="M216" s="21">
        <f>countif('v2002'!$A:$A,A216)</f>
        <v>1</v>
      </c>
      <c r="N216" s="21">
        <f>countif('v1998'!$A:$A,A216)</f>
        <v>1</v>
      </c>
    </row>
    <row r="217">
      <c r="A217" s="17" t="s">
        <v>2232</v>
      </c>
      <c r="B217" s="17" t="s">
        <v>3110</v>
      </c>
      <c r="C217" s="23">
        <f>countif(Constants!A:A,B217)</f>
        <v>1</v>
      </c>
      <c r="E217" s="57" t="str">
        <f t="shared" si="1"/>
        <v>link</v>
      </c>
      <c r="G217" s="43">
        <f t="shared" si="2"/>
        <v>7</v>
      </c>
      <c r="H217" s="21">
        <f>countif('v2022'!$A:$A,A217)</f>
        <v>1</v>
      </c>
      <c r="I217" s="21">
        <f>countif('v2018'!$A:$A,A217)</f>
        <v>1</v>
      </c>
      <c r="J217" s="21">
        <f>countif('v2014'!$A:$A,A217)</f>
        <v>1</v>
      </c>
      <c r="K217" s="21">
        <f>countif('v2010'!$A:$A,A217)</f>
        <v>1</v>
      </c>
      <c r="L217" s="21">
        <f>countif('v2006'!$A:$A,A217)</f>
        <v>1</v>
      </c>
      <c r="M217" s="21">
        <f>countif('v2002'!$A:$A,A217)</f>
        <v>1</v>
      </c>
      <c r="N217" s="21">
        <f>countif('v1998'!$A:$A,A217)</f>
        <v>1</v>
      </c>
    </row>
    <row r="218">
      <c r="A218" s="17" t="s">
        <v>2236</v>
      </c>
      <c r="B218" s="17" t="s">
        <v>3120</v>
      </c>
      <c r="C218" s="23">
        <f>countif(Constants!A:A,B218)</f>
        <v>1</v>
      </c>
      <c r="E218" s="57" t="str">
        <f t="shared" si="1"/>
        <v>link</v>
      </c>
      <c r="G218" s="43">
        <f t="shared" si="2"/>
        <v>7</v>
      </c>
      <c r="H218" s="21">
        <f>countif('v2022'!$A:$A,A218)</f>
        <v>1</v>
      </c>
      <c r="I218" s="21">
        <f>countif('v2018'!$A:$A,A218)</f>
        <v>1</v>
      </c>
      <c r="J218" s="21">
        <f>countif('v2014'!$A:$A,A218)</f>
        <v>1</v>
      </c>
      <c r="K218" s="21">
        <f>countif('v2010'!$A:$A,A218)</f>
        <v>1</v>
      </c>
      <c r="L218" s="21">
        <f>countif('v2006'!$A:$A,A218)</f>
        <v>1</v>
      </c>
      <c r="M218" s="21">
        <f>countif('v2002'!$A:$A,A218)</f>
        <v>1</v>
      </c>
      <c r="N218" s="21">
        <f>countif('v1998'!$A:$A,A218)</f>
        <v>1</v>
      </c>
    </row>
    <row r="219">
      <c r="A219" s="17" t="s">
        <v>2243</v>
      </c>
      <c r="B219" s="17" t="s">
        <v>3133</v>
      </c>
      <c r="C219" s="23">
        <f>countif(Constants!A:A,B219)</f>
        <v>1</v>
      </c>
      <c r="E219" s="57" t="str">
        <f t="shared" si="1"/>
        <v>link</v>
      </c>
      <c r="G219" s="43">
        <f t="shared" si="2"/>
        <v>7</v>
      </c>
      <c r="H219" s="21">
        <f>countif('v2022'!$A:$A,A219)</f>
        <v>1</v>
      </c>
      <c r="I219" s="21">
        <f>countif('v2018'!$A:$A,A219)</f>
        <v>1</v>
      </c>
      <c r="J219" s="21">
        <f>countif('v2014'!$A:$A,A219)</f>
        <v>1</v>
      </c>
      <c r="K219" s="21">
        <f>countif('v2010'!$A:$A,A219)</f>
        <v>1</v>
      </c>
      <c r="L219" s="21">
        <f>countif('v2006'!$A:$A,A219)</f>
        <v>1</v>
      </c>
      <c r="M219" s="21">
        <f>countif('v2002'!$A:$A,A219)</f>
        <v>1</v>
      </c>
      <c r="N219" s="21">
        <f>countif('v1998'!$A:$A,A219)</f>
        <v>1</v>
      </c>
    </row>
    <row r="220">
      <c r="A220" s="17" t="s">
        <v>2247</v>
      </c>
      <c r="B220" s="17" t="s">
        <v>3146</v>
      </c>
      <c r="C220" s="23">
        <f>countif(Constants!A:A,B220)</f>
        <v>1</v>
      </c>
      <c r="E220" s="57" t="str">
        <f t="shared" si="1"/>
        <v>link</v>
      </c>
      <c r="G220" s="43">
        <f t="shared" si="2"/>
        <v>7</v>
      </c>
      <c r="H220" s="21">
        <f>countif('v2022'!$A:$A,A220)</f>
        <v>1</v>
      </c>
      <c r="I220" s="21">
        <f>countif('v2018'!$A:$A,A220)</f>
        <v>1</v>
      </c>
      <c r="J220" s="21">
        <f>countif('v2014'!$A:$A,A220)</f>
        <v>1</v>
      </c>
      <c r="K220" s="21">
        <f>countif('v2010'!$A:$A,A220)</f>
        <v>1</v>
      </c>
      <c r="L220" s="21">
        <f>countif('v2006'!$A:$A,A220)</f>
        <v>1</v>
      </c>
      <c r="M220" s="21">
        <f>countif('v2002'!$A:$A,A220)</f>
        <v>1</v>
      </c>
      <c r="N220" s="21">
        <f>countif('v1998'!$A:$A,A220)</f>
        <v>1</v>
      </c>
    </row>
    <row r="221">
      <c r="A221" s="17" t="s">
        <v>2253</v>
      </c>
      <c r="B221" s="17" t="s">
        <v>3163</v>
      </c>
      <c r="C221" s="23">
        <f>countif(Constants!A:A,B221)</f>
        <v>1</v>
      </c>
      <c r="E221" s="57" t="str">
        <f t="shared" si="1"/>
        <v>link</v>
      </c>
      <c r="G221" s="43">
        <f t="shared" si="2"/>
        <v>7</v>
      </c>
      <c r="H221" s="21">
        <f>countif('v2022'!$A:$A,A221)</f>
        <v>1</v>
      </c>
      <c r="I221" s="21">
        <f>countif('v2018'!$A:$A,A221)</f>
        <v>1</v>
      </c>
      <c r="J221" s="21">
        <f>countif('v2014'!$A:$A,A221)</f>
        <v>1</v>
      </c>
      <c r="K221" s="21">
        <f>countif('v2010'!$A:$A,A221)</f>
        <v>1</v>
      </c>
      <c r="L221" s="21">
        <f>countif('v2006'!$A:$A,A221)</f>
        <v>1</v>
      </c>
      <c r="M221" s="21">
        <f>countif('v2002'!$A:$A,A221)</f>
        <v>1</v>
      </c>
      <c r="N221" s="21">
        <f>countif('v1998'!$A:$A,A221)</f>
        <v>1</v>
      </c>
    </row>
    <row r="222">
      <c r="A222" s="17" t="s">
        <v>2257</v>
      </c>
      <c r="B222" s="17" t="s">
        <v>3171</v>
      </c>
      <c r="C222" s="23">
        <f>countif(Constants!A:A,B222)</f>
        <v>1</v>
      </c>
      <c r="E222" s="57" t="str">
        <f t="shared" si="1"/>
        <v>link</v>
      </c>
      <c r="G222" s="43">
        <f t="shared" si="2"/>
        <v>7</v>
      </c>
      <c r="H222" s="21">
        <f>countif('v2022'!$A:$A,A222)</f>
        <v>1</v>
      </c>
      <c r="I222" s="21">
        <f>countif('v2018'!$A:$A,A222)</f>
        <v>1</v>
      </c>
      <c r="J222" s="21">
        <f>countif('v2014'!$A:$A,A222)</f>
        <v>1</v>
      </c>
      <c r="K222" s="21">
        <f>countif('v2010'!$A:$A,A222)</f>
        <v>1</v>
      </c>
      <c r="L222" s="21">
        <f>countif('v2006'!$A:$A,A222)</f>
        <v>1</v>
      </c>
      <c r="M222" s="21">
        <f>countif('v2002'!$A:$A,A222)</f>
        <v>1</v>
      </c>
      <c r="N222" s="21">
        <f>countif('v1998'!$A:$A,A222)</f>
        <v>1</v>
      </c>
    </row>
    <row r="223">
      <c r="A223" s="17" t="s">
        <v>2260</v>
      </c>
      <c r="B223" s="17" t="s">
        <v>3187</v>
      </c>
      <c r="C223" s="23">
        <f>countif(Constants!A:A,B223)</f>
        <v>1</v>
      </c>
      <c r="E223" s="57" t="str">
        <f t="shared" si="1"/>
        <v>link</v>
      </c>
      <c r="G223" s="43">
        <f t="shared" si="2"/>
        <v>7</v>
      </c>
      <c r="H223" s="21">
        <f>countif('v2022'!$A:$A,A223)</f>
        <v>1</v>
      </c>
      <c r="I223" s="21">
        <f>countif('v2018'!$A:$A,A223)</f>
        <v>1</v>
      </c>
      <c r="J223" s="21">
        <f>countif('v2014'!$A:$A,A223)</f>
        <v>1</v>
      </c>
      <c r="K223" s="21">
        <f>countif('v2010'!$A:$A,A223)</f>
        <v>1</v>
      </c>
      <c r="L223" s="21">
        <f>countif('v2006'!$A:$A,A223)</f>
        <v>1</v>
      </c>
      <c r="M223" s="21">
        <f>countif('v2002'!$A:$A,A223)</f>
        <v>1</v>
      </c>
      <c r="N223" s="21">
        <f>countif('v1998'!$A:$A,A223)</f>
        <v>1</v>
      </c>
    </row>
    <row r="224">
      <c r="A224" s="17" t="s">
        <v>2263</v>
      </c>
      <c r="B224" s="17" t="s">
        <v>1033</v>
      </c>
      <c r="C224" s="23">
        <f>countif(Constants!A:A,B224)</f>
        <v>1</v>
      </c>
      <c r="E224" s="57" t="str">
        <f t="shared" si="1"/>
        <v>link</v>
      </c>
      <c r="G224" s="43">
        <f t="shared" si="2"/>
        <v>2</v>
      </c>
      <c r="H224" s="21">
        <f>countif('v2022'!$A:$A,A224)</f>
        <v>1</v>
      </c>
      <c r="I224" s="21">
        <f>countif('v2018'!$A:$A,A224)</f>
        <v>1</v>
      </c>
      <c r="J224" s="21">
        <f>countif('v2014'!$A:$A,A224)</f>
        <v>0</v>
      </c>
      <c r="K224" s="21">
        <f>countif('v2010'!$A:$A,A224)</f>
        <v>0</v>
      </c>
      <c r="L224" s="21">
        <f>countif('v2006'!$A:$A,A224)</f>
        <v>0</v>
      </c>
      <c r="M224" s="21">
        <f>countif('v2002'!$A:$A,A224)</f>
        <v>0</v>
      </c>
      <c r="N224" s="21">
        <f>countif('v1998'!$A:$A,A224)</f>
        <v>0</v>
      </c>
    </row>
    <row r="225">
      <c r="A225" s="17" t="s">
        <v>3275</v>
      </c>
      <c r="B225" s="17" t="s">
        <v>1033</v>
      </c>
      <c r="C225" s="23">
        <f>countif(Constants!A:A,B225)</f>
        <v>1</v>
      </c>
      <c r="E225" s="57" t="str">
        <f t="shared" si="1"/>
        <v>link</v>
      </c>
      <c r="G225" s="43">
        <f t="shared" si="2"/>
        <v>3</v>
      </c>
      <c r="H225" s="21">
        <f>countif('v2022'!$A:$A,A225)</f>
        <v>0</v>
      </c>
      <c r="I225" s="21">
        <f>countif('v2018'!$A:$A,A225)</f>
        <v>0</v>
      </c>
      <c r="J225" s="21">
        <f>countif('v2014'!$A:$A,A225)</f>
        <v>0</v>
      </c>
      <c r="K225" s="21">
        <f>countif('v2010'!$A:$A,A225)</f>
        <v>0</v>
      </c>
      <c r="L225" s="21">
        <f>countif('v2006'!$A:$A,A225)</f>
        <v>1</v>
      </c>
      <c r="M225" s="21">
        <f>countif('v2002'!$A:$A,A225)</f>
        <v>1</v>
      </c>
      <c r="N225" s="21">
        <f>countif('v1998'!$A:$A,A225)</f>
        <v>1</v>
      </c>
    </row>
    <row r="226">
      <c r="A226" s="17" t="s">
        <v>2267</v>
      </c>
      <c r="B226" s="17" t="s">
        <v>3208</v>
      </c>
      <c r="C226" s="23">
        <f>countif(Constants!A:A,B226)</f>
        <v>1</v>
      </c>
      <c r="E226" s="57" t="str">
        <f t="shared" si="1"/>
        <v>link</v>
      </c>
      <c r="G226" s="43">
        <f t="shared" si="2"/>
        <v>4</v>
      </c>
      <c r="H226" s="21">
        <f>countif('v2022'!$A:$A,A226)</f>
        <v>1</v>
      </c>
      <c r="I226" s="21">
        <f>countif('v2018'!$A:$A,A226)</f>
        <v>1</v>
      </c>
      <c r="J226" s="21">
        <f>countif('v2014'!$A:$A,A226)</f>
        <v>1</v>
      </c>
      <c r="K226" s="21">
        <f>countif('v2010'!$A:$A,A226)</f>
        <v>1</v>
      </c>
      <c r="L226" s="21">
        <f>countif('v2006'!$A:$A,A226)</f>
        <v>0</v>
      </c>
      <c r="M226" s="21">
        <f>countif('v2002'!$A:$A,A226)</f>
        <v>0</v>
      </c>
      <c r="N226" s="21">
        <f>countif('v1998'!$A:$A,A226)</f>
        <v>0</v>
      </c>
    </row>
    <row r="227">
      <c r="A227" s="17" t="s">
        <v>2273</v>
      </c>
      <c r="B227" s="17" t="s">
        <v>3220</v>
      </c>
      <c r="C227" s="23">
        <f>countif(Constants!A:A,B227)</f>
        <v>1</v>
      </c>
      <c r="E227" s="57" t="str">
        <f t="shared" si="1"/>
        <v>link</v>
      </c>
      <c r="G227" s="43">
        <f t="shared" si="2"/>
        <v>7</v>
      </c>
      <c r="H227" s="21">
        <f>countif('v2022'!$A:$A,A227)</f>
        <v>1</v>
      </c>
      <c r="I227" s="21">
        <f>countif('v2018'!$A:$A,A227)</f>
        <v>1</v>
      </c>
      <c r="J227" s="21">
        <f>countif('v2014'!$A:$A,A227)</f>
        <v>1</v>
      </c>
      <c r="K227" s="21">
        <f>countif('v2010'!$A:$A,A227)</f>
        <v>1</v>
      </c>
      <c r="L227" s="21">
        <f>countif('v2006'!$A:$A,A227)</f>
        <v>1</v>
      </c>
      <c r="M227" s="21">
        <f>countif('v2002'!$A:$A,A227)</f>
        <v>1</v>
      </c>
      <c r="N227" s="21">
        <f>countif('v1998'!$A:$A,A227)</f>
        <v>1</v>
      </c>
    </row>
    <row r="228">
      <c r="A228" s="17" t="s">
        <v>2277</v>
      </c>
      <c r="B228" s="17" t="s">
        <v>3236</v>
      </c>
      <c r="C228" s="23">
        <f>countif(Constants!A:A,B228)</f>
        <v>1</v>
      </c>
      <c r="E228" s="57" t="str">
        <f t="shared" si="1"/>
        <v>link</v>
      </c>
      <c r="G228" s="43">
        <f t="shared" si="2"/>
        <v>2</v>
      </c>
      <c r="H228" s="21">
        <f>countif('v2022'!$A:$A,A228)</f>
        <v>1</v>
      </c>
      <c r="I228" s="21">
        <f>countif('v2018'!$A:$A,A228)</f>
        <v>1</v>
      </c>
      <c r="J228" s="21">
        <f>countif('v2014'!$A:$A,A228)</f>
        <v>0</v>
      </c>
      <c r="K228" s="21">
        <f>countif('v2010'!$A:$A,A228)</f>
        <v>0</v>
      </c>
      <c r="L228" s="21">
        <f>countif('v2006'!$A:$A,A228)</f>
        <v>0</v>
      </c>
      <c r="M228" s="21">
        <f>countif('v2002'!$A:$A,A228)</f>
        <v>0</v>
      </c>
      <c r="N228" s="21">
        <f>countif('v1998'!$A:$A,A228)</f>
        <v>0</v>
      </c>
    </row>
    <row r="229">
      <c r="A229" s="17" t="s">
        <v>2280</v>
      </c>
      <c r="B229" s="17" t="s">
        <v>3251</v>
      </c>
      <c r="C229" s="23">
        <f>countif(Constants!A:A,B229)</f>
        <v>1</v>
      </c>
      <c r="E229" s="57" t="str">
        <f t="shared" si="1"/>
        <v>link</v>
      </c>
      <c r="G229" s="43">
        <f t="shared" si="2"/>
        <v>4</v>
      </c>
      <c r="H229" s="21">
        <f>countif('v2022'!$A:$A,A229)</f>
        <v>1</v>
      </c>
      <c r="I229" s="21">
        <f>countif('v2018'!$A:$A,A229)</f>
        <v>1</v>
      </c>
      <c r="J229" s="21">
        <f>countif('v2014'!$A:$A,A229)</f>
        <v>1</v>
      </c>
      <c r="K229" s="21">
        <f>countif('v2010'!$A:$A,A229)</f>
        <v>1</v>
      </c>
      <c r="L229" s="21">
        <f>countif('v2006'!$A:$A,A229)</f>
        <v>0</v>
      </c>
      <c r="M229" s="21">
        <f>countif('v2002'!$A:$A,A229)</f>
        <v>0</v>
      </c>
      <c r="N229" s="21">
        <f>countif('v1998'!$A:$A,A229)</f>
        <v>0</v>
      </c>
    </row>
    <row r="230">
      <c r="A230" s="17" t="s">
        <v>3300</v>
      </c>
      <c r="B230" s="17" t="s">
        <v>3301</v>
      </c>
      <c r="C230" s="23">
        <f>countif(Constants!A:A,B230)</f>
        <v>1</v>
      </c>
      <c r="E230" s="57" t="str">
        <f t="shared" si="1"/>
        <v>link</v>
      </c>
      <c r="G230" s="43">
        <f t="shared" si="2"/>
        <v>2</v>
      </c>
      <c r="H230" s="21">
        <f>countif('v2022'!$A:$A,A230)</f>
        <v>0</v>
      </c>
      <c r="I230" s="21">
        <f>countif('v2018'!$A:$A,A230)</f>
        <v>0</v>
      </c>
      <c r="J230" s="21">
        <f>countif('v2014'!$A:$A,A230)</f>
        <v>1</v>
      </c>
      <c r="K230" s="21">
        <f>countif('v2010'!$A:$A,A230)</f>
        <v>1</v>
      </c>
      <c r="L230" s="21">
        <f>countif('v2006'!$A:$A,A230)</f>
        <v>0</v>
      </c>
      <c r="M230" s="21">
        <f>countif('v2002'!$A:$A,A230)</f>
        <v>0</v>
      </c>
      <c r="N230" s="21">
        <f>countif('v1998'!$A:$A,A230)</f>
        <v>0</v>
      </c>
    </row>
    <row r="231">
      <c r="A231" s="17" t="s">
        <v>3305</v>
      </c>
      <c r="B231" s="17" t="s">
        <v>3301</v>
      </c>
      <c r="C231" s="23">
        <f>countif(Constants!A:A,B231)</f>
        <v>1</v>
      </c>
      <c r="E231" s="57" t="str">
        <f t="shared" si="1"/>
        <v>link</v>
      </c>
      <c r="G231" s="43">
        <f t="shared" si="2"/>
        <v>3</v>
      </c>
      <c r="H231" s="21">
        <f>countif('v2022'!$A:$A,A231)</f>
        <v>0</v>
      </c>
      <c r="I231" s="21">
        <f>countif('v2018'!$A:$A,A231)</f>
        <v>0</v>
      </c>
      <c r="J231" s="21">
        <f>countif('v2014'!$A:$A,A231)</f>
        <v>0</v>
      </c>
      <c r="K231" s="21">
        <f>countif('v2010'!$A:$A,A231)</f>
        <v>0</v>
      </c>
      <c r="L231" s="21">
        <f>countif('v2006'!$A:$A,A231)</f>
        <v>1</v>
      </c>
      <c r="M231" s="21">
        <f>countif('v2002'!$A:$A,A231)</f>
        <v>1</v>
      </c>
      <c r="N231" s="21">
        <f>countif('v1998'!$A:$A,A231)</f>
        <v>1</v>
      </c>
    </row>
    <row r="232">
      <c r="A232" s="17" t="s">
        <v>3252</v>
      </c>
      <c r="B232" s="17" t="s">
        <v>3251</v>
      </c>
      <c r="C232" s="23">
        <f>countif(Constants!A:A,B232)</f>
        <v>1</v>
      </c>
      <c r="E232" s="57" t="str">
        <f t="shared" si="1"/>
        <v>link</v>
      </c>
      <c r="G232" s="43">
        <f t="shared" si="2"/>
        <v>3</v>
      </c>
      <c r="H232" s="21">
        <f>countif('v2022'!$A:$A,A232)</f>
        <v>0</v>
      </c>
      <c r="I232" s="21">
        <f>countif('v2018'!$A:$A,A232)</f>
        <v>0</v>
      </c>
      <c r="J232" s="21">
        <f>countif('v2014'!$A:$A,A232)</f>
        <v>0</v>
      </c>
      <c r="K232" s="21">
        <f>countif('v2010'!$A:$A,A232)</f>
        <v>0</v>
      </c>
      <c r="L232" s="21">
        <f>countif('v2006'!$A:$A,A232)</f>
        <v>1</v>
      </c>
      <c r="M232" s="21">
        <f>countif('v2002'!$A:$A,A232)</f>
        <v>1</v>
      </c>
      <c r="N232" s="21">
        <f>countif('v1998'!$A:$A,A232)</f>
        <v>1</v>
      </c>
    </row>
    <row r="233">
      <c r="A233" s="17" t="s">
        <v>3323</v>
      </c>
      <c r="B233" s="17" t="s">
        <v>3324</v>
      </c>
      <c r="C233" s="23">
        <f>countif(Constants!A:A,B233)</f>
        <v>1</v>
      </c>
      <c r="E233" s="57" t="str">
        <f t="shared" si="1"/>
        <v>link</v>
      </c>
      <c r="G233" s="43">
        <f t="shared" si="2"/>
        <v>5</v>
      </c>
      <c r="H233" s="21">
        <f>countif('v2022'!$A:$A,A233)</f>
        <v>0</v>
      </c>
      <c r="I233" s="21">
        <f>countif('v2018'!$A:$A,A233)</f>
        <v>0</v>
      </c>
      <c r="J233" s="21">
        <f>countif('v2014'!$A:$A,A233)</f>
        <v>1</v>
      </c>
      <c r="K233" s="21">
        <f>countif('v2010'!$A:$A,A233)</f>
        <v>1</v>
      </c>
      <c r="L233" s="21">
        <f>countif('v2006'!$A:$A,A233)</f>
        <v>1</v>
      </c>
      <c r="M233" s="21">
        <f>countif('v2002'!$A:$A,A233)</f>
        <v>1</v>
      </c>
      <c r="N233" s="21">
        <f>countif('v1998'!$A:$A,A233)</f>
        <v>1</v>
      </c>
    </row>
    <row r="234">
      <c r="A234" s="17" t="s">
        <v>2284</v>
      </c>
      <c r="B234" s="17" t="s">
        <v>3264</v>
      </c>
      <c r="C234" s="23">
        <f>countif(Constants!A:A,B234)</f>
        <v>1</v>
      </c>
      <c r="E234" s="57" t="str">
        <f t="shared" si="1"/>
        <v>link</v>
      </c>
      <c r="G234" s="43">
        <f t="shared" si="2"/>
        <v>7</v>
      </c>
      <c r="H234" s="21">
        <f>countif('v2022'!$A:$A,A234)</f>
        <v>1</v>
      </c>
      <c r="I234" s="21">
        <f>countif('v2018'!$A:$A,A234)</f>
        <v>1</v>
      </c>
      <c r="J234" s="21">
        <f>countif('v2014'!$A:$A,A234)</f>
        <v>1</v>
      </c>
      <c r="K234" s="21">
        <f>countif('v2010'!$A:$A,A234)</f>
        <v>1</v>
      </c>
      <c r="L234" s="21">
        <f>countif('v2006'!$A:$A,A234)</f>
        <v>1</v>
      </c>
      <c r="M234" s="21">
        <f>countif('v2002'!$A:$A,A234)</f>
        <v>1</v>
      </c>
      <c r="N234" s="21">
        <f>countif('v1998'!$A:$A,A234)</f>
        <v>1</v>
      </c>
    </row>
    <row r="235">
      <c r="A235" s="17" t="s">
        <v>2287</v>
      </c>
      <c r="B235" s="17" t="s">
        <v>3276</v>
      </c>
      <c r="C235" s="23">
        <f>countif(Constants!A:A,B235)</f>
        <v>1</v>
      </c>
      <c r="E235" s="57" t="str">
        <f t="shared" si="1"/>
        <v>link</v>
      </c>
      <c r="G235" s="43">
        <f t="shared" si="2"/>
        <v>7</v>
      </c>
      <c r="H235" s="21">
        <f>countif('v2022'!$A:$A,A235)</f>
        <v>1</v>
      </c>
      <c r="I235" s="21">
        <f>countif('v2018'!$A:$A,A235)</f>
        <v>1</v>
      </c>
      <c r="J235" s="21">
        <f>countif('v2014'!$A:$A,A235)</f>
        <v>1</v>
      </c>
      <c r="K235" s="21">
        <f>countif('v2010'!$A:$A,A235)</f>
        <v>1</v>
      </c>
      <c r="L235" s="21">
        <f>countif('v2006'!$A:$A,A235)</f>
        <v>1</v>
      </c>
      <c r="M235" s="21">
        <f>countif('v2002'!$A:$A,A235)</f>
        <v>1</v>
      </c>
      <c r="N235" s="21">
        <f>countif('v1998'!$A:$A,A235)</f>
        <v>1</v>
      </c>
    </row>
    <row r="236">
      <c r="A236" s="17" t="s">
        <v>2290</v>
      </c>
      <c r="B236" s="17" t="s">
        <v>3287</v>
      </c>
      <c r="C236" s="23">
        <f>countif(Constants!A:A,B236)</f>
        <v>1</v>
      </c>
      <c r="E236" s="57" t="str">
        <f t="shared" si="1"/>
        <v>link</v>
      </c>
      <c r="G236" s="43">
        <f t="shared" si="2"/>
        <v>7</v>
      </c>
      <c r="H236" s="21">
        <f>countif('v2022'!$A:$A,A236)</f>
        <v>1</v>
      </c>
      <c r="I236" s="21">
        <f>countif('v2018'!$A:$A,A236)</f>
        <v>1</v>
      </c>
      <c r="J236" s="21">
        <f>countif('v2014'!$A:$A,A236)</f>
        <v>1</v>
      </c>
      <c r="K236" s="21">
        <f>countif('v2010'!$A:$A,A236)</f>
        <v>1</v>
      </c>
      <c r="L236" s="21">
        <f>countif('v2006'!$A:$A,A236)</f>
        <v>1</v>
      </c>
      <c r="M236" s="21">
        <f>countif('v2002'!$A:$A,A236)</f>
        <v>1</v>
      </c>
      <c r="N236" s="21">
        <f>countif('v1998'!$A:$A,A236)</f>
        <v>1</v>
      </c>
    </row>
    <row r="237">
      <c r="A237" s="17" t="s">
        <v>2295</v>
      </c>
      <c r="B237" s="17" t="s">
        <v>3298</v>
      </c>
      <c r="C237" s="23">
        <f>countif(Constants!A:A,B237)</f>
        <v>1</v>
      </c>
      <c r="E237" s="57" t="str">
        <f t="shared" si="1"/>
        <v>link</v>
      </c>
      <c r="G237" s="43">
        <f t="shared" si="2"/>
        <v>7</v>
      </c>
      <c r="H237" s="21">
        <f>countif('v2022'!$A:$A,A237)</f>
        <v>1</v>
      </c>
      <c r="I237" s="21">
        <f>countif('v2018'!$A:$A,A237)</f>
        <v>1</v>
      </c>
      <c r="J237" s="21">
        <f>countif('v2014'!$A:$A,A237)</f>
        <v>1</v>
      </c>
      <c r="K237" s="21">
        <f>countif('v2010'!$A:$A,A237)</f>
        <v>1</v>
      </c>
      <c r="L237" s="21">
        <f>countif('v2006'!$A:$A,A237)</f>
        <v>1</v>
      </c>
      <c r="M237" s="21">
        <f>countif('v2002'!$A:$A,A237)</f>
        <v>1</v>
      </c>
      <c r="N237" s="21">
        <f>countif('v1998'!$A:$A,A237)</f>
        <v>1</v>
      </c>
    </row>
    <row r="238">
      <c r="A238" s="17" t="s">
        <v>3311</v>
      </c>
      <c r="B238" s="17" t="s">
        <v>3310</v>
      </c>
      <c r="C238" s="23">
        <f>countif(Constants!A:A,B238)</f>
        <v>1</v>
      </c>
      <c r="E238" s="57" t="str">
        <f t="shared" si="1"/>
        <v>link</v>
      </c>
      <c r="G238" s="43">
        <f t="shared" si="2"/>
        <v>5</v>
      </c>
      <c r="H238" s="21">
        <f>countif('v2022'!$A:$A,A238)</f>
        <v>0</v>
      </c>
      <c r="I238" s="21">
        <f>countif('v2018'!$A:$A,A238)</f>
        <v>0</v>
      </c>
      <c r="J238" s="21">
        <f>countif('v2014'!$A:$A,A238)</f>
        <v>1</v>
      </c>
      <c r="K238" s="21">
        <f>countif('v2010'!$A:$A,A238)</f>
        <v>1</v>
      </c>
      <c r="L238" s="21">
        <f>countif('v2006'!$A:$A,A238)</f>
        <v>1</v>
      </c>
      <c r="M238" s="21">
        <f>countif('v2002'!$A:$A,A238)</f>
        <v>1</v>
      </c>
      <c r="N238" s="21">
        <f>countif('v1998'!$A:$A,A238)</f>
        <v>1</v>
      </c>
    </row>
    <row r="239">
      <c r="A239" s="17" t="s">
        <v>2300</v>
      </c>
      <c r="B239" s="17" t="s">
        <v>3325</v>
      </c>
      <c r="C239" s="23">
        <f>countif(Constants!A:A,B239)</f>
        <v>1</v>
      </c>
      <c r="E239" s="57" t="str">
        <f t="shared" si="1"/>
        <v>link</v>
      </c>
      <c r="G239" s="43">
        <f t="shared" si="2"/>
        <v>7</v>
      </c>
      <c r="H239" s="21">
        <f>countif('v2022'!$A:$A,A239)</f>
        <v>1</v>
      </c>
      <c r="I239" s="21">
        <f>countif('v2018'!$A:$A,A239)</f>
        <v>1</v>
      </c>
      <c r="J239" s="21">
        <f>countif('v2014'!$A:$A,A239)</f>
        <v>1</v>
      </c>
      <c r="K239" s="21">
        <f>countif('v2010'!$A:$A,A239)</f>
        <v>1</v>
      </c>
      <c r="L239" s="21">
        <f>countif('v2006'!$A:$A,A239)</f>
        <v>1</v>
      </c>
      <c r="M239" s="21">
        <f>countif('v2002'!$A:$A,A239)</f>
        <v>1</v>
      </c>
      <c r="N239" s="21">
        <f>countif('v1998'!$A:$A,A239)</f>
        <v>1</v>
      </c>
    </row>
    <row r="240">
      <c r="A240" s="17" t="s">
        <v>2303</v>
      </c>
      <c r="B240" s="17" t="s">
        <v>3340</v>
      </c>
      <c r="C240" s="23">
        <f>countif(Constants!A:A,B240)</f>
        <v>1</v>
      </c>
      <c r="E240" s="57" t="str">
        <f t="shared" si="1"/>
        <v>link</v>
      </c>
      <c r="G240" s="43">
        <f t="shared" si="2"/>
        <v>7</v>
      </c>
      <c r="H240" s="21">
        <f>countif('v2022'!$A:$A,A240)</f>
        <v>1</v>
      </c>
      <c r="I240" s="21">
        <f>countif('v2018'!$A:$A,A240)</f>
        <v>1</v>
      </c>
      <c r="J240" s="21">
        <f>countif('v2014'!$A:$A,A240)</f>
        <v>1</v>
      </c>
      <c r="K240" s="21">
        <f>countif('v2010'!$A:$A,A240)</f>
        <v>1</v>
      </c>
      <c r="L240" s="21">
        <f>countif('v2006'!$A:$A,A240)</f>
        <v>1</v>
      </c>
      <c r="M240" s="21">
        <f>countif('v2002'!$A:$A,A240)</f>
        <v>1</v>
      </c>
      <c r="N240" s="21">
        <f>countif('v1998'!$A:$A,A240)</f>
        <v>1</v>
      </c>
    </row>
    <row r="241">
      <c r="A241" s="17" t="s">
        <v>2308</v>
      </c>
      <c r="B241" s="17" t="s">
        <v>3355</v>
      </c>
      <c r="C241" s="23">
        <f>countif(Constants!A:A,B241)</f>
        <v>1</v>
      </c>
      <c r="E241" s="57" t="str">
        <f t="shared" si="1"/>
        <v>link</v>
      </c>
      <c r="G241" s="43">
        <f t="shared" si="2"/>
        <v>7</v>
      </c>
      <c r="H241" s="21">
        <f>countif('v2022'!$A:$A,A241)</f>
        <v>1</v>
      </c>
      <c r="I241" s="21">
        <f>countif('v2018'!$A:$A,A241)</f>
        <v>1</v>
      </c>
      <c r="J241" s="21">
        <f>countif('v2014'!$A:$A,A241)</f>
        <v>1</v>
      </c>
      <c r="K241" s="21">
        <f>countif('v2010'!$A:$A,A241)</f>
        <v>1</v>
      </c>
      <c r="L241" s="21">
        <f>countif('v2006'!$A:$A,A241)</f>
        <v>1</v>
      </c>
      <c r="M241" s="21">
        <f>countif('v2002'!$A:$A,A241)</f>
        <v>1</v>
      </c>
      <c r="N241" s="21">
        <f>countif('v1998'!$A:$A,A241)</f>
        <v>1</v>
      </c>
    </row>
    <row r="242">
      <c r="A242" s="17" t="s">
        <v>2313</v>
      </c>
      <c r="B242" s="17" t="s">
        <v>3324</v>
      </c>
      <c r="C242" s="23">
        <f>countif(Constants!A:A,B242)</f>
        <v>1</v>
      </c>
      <c r="E242" s="57" t="str">
        <f t="shared" si="1"/>
        <v>link</v>
      </c>
      <c r="G242" s="43">
        <f t="shared" si="2"/>
        <v>2</v>
      </c>
      <c r="H242" s="21">
        <f>countif('v2022'!$A:$A,A242)</f>
        <v>1</v>
      </c>
      <c r="I242" s="21">
        <f>countif('v2018'!$A:$A,A242)</f>
        <v>1</v>
      </c>
      <c r="J242" s="21">
        <f>countif('v2014'!$A:$A,A242)</f>
        <v>0</v>
      </c>
      <c r="K242" s="21">
        <f>countif('v2010'!$A:$A,A242)</f>
        <v>0</v>
      </c>
      <c r="L242" s="21">
        <f>countif('v2006'!$A:$A,A242)</f>
        <v>0</v>
      </c>
      <c r="M242" s="21">
        <f>countif('v2002'!$A:$A,A242)</f>
        <v>0</v>
      </c>
      <c r="N242" s="21">
        <f>countif('v1998'!$A:$A,A242)</f>
        <v>0</v>
      </c>
    </row>
    <row r="243">
      <c r="A243" s="17" t="s">
        <v>2318</v>
      </c>
      <c r="B243" s="17" t="s">
        <v>3371</v>
      </c>
      <c r="C243" s="23">
        <f>countif(Constants!A:A,B243)</f>
        <v>1</v>
      </c>
      <c r="E243" s="57" t="str">
        <f t="shared" si="1"/>
        <v>link</v>
      </c>
      <c r="G243" s="43">
        <f t="shared" si="2"/>
        <v>7</v>
      </c>
      <c r="H243" s="21">
        <f>countif('v2022'!$A:$A,A243)</f>
        <v>1</v>
      </c>
      <c r="I243" s="21">
        <f>countif('v2018'!$A:$A,A243)</f>
        <v>1</v>
      </c>
      <c r="J243" s="21">
        <f>countif('v2014'!$A:$A,A243)</f>
        <v>1</v>
      </c>
      <c r="K243" s="21">
        <f>countif('v2010'!$A:$A,A243)</f>
        <v>1</v>
      </c>
      <c r="L243" s="21">
        <f>countif('v2006'!$A:$A,A243)</f>
        <v>1</v>
      </c>
      <c r="M243" s="21">
        <f>countif('v2002'!$A:$A,A243)</f>
        <v>1</v>
      </c>
      <c r="N243" s="21">
        <f>countif('v1998'!$A:$A,A243)</f>
        <v>1</v>
      </c>
    </row>
    <row r="244">
      <c r="A244" s="17" t="s">
        <v>3398</v>
      </c>
      <c r="B244" s="17" t="s">
        <v>3379</v>
      </c>
      <c r="C244" s="23">
        <f>countif(Constants!A:A,B244)</f>
        <v>1</v>
      </c>
      <c r="E244" s="57" t="str">
        <f t="shared" si="1"/>
        <v>link</v>
      </c>
      <c r="G244" s="43">
        <f t="shared" si="2"/>
        <v>5</v>
      </c>
      <c r="H244" s="21">
        <f>countif('v2022'!$A:$A,A244)</f>
        <v>0</v>
      </c>
      <c r="I244" s="21">
        <f>countif('v2018'!$A:$A,A244)</f>
        <v>0</v>
      </c>
      <c r="J244" s="21">
        <f>countif('v2014'!$A:$A,A244)</f>
        <v>1</v>
      </c>
      <c r="K244" s="21">
        <f>countif('v2010'!$A:$A,A244)</f>
        <v>1</v>
      </c>
      <c r="L244" s="21">
        <f>countif('v2006'!$A:$A,A244)</f>
        <v>1</v>
      </c>
      <c r="M244" s="21">
        <f>countif('v2002'!$A:$A,A244)</f>
        <v>1</v>
      </c>
      <c r="N244" s="21">
        <f>countif('v1998'!$A:$A,A244)</f>
        <v>1</v>
      </c>
    </row>
    <row r="245">
      <c r="A245" s="17" t="s">
        <v>2330</v>
      </c>
      <c r="B245" s="17" t="s">
        <v>3408</v>
      </c>
      <c r="C245" s="23">
        <f>countif(Constants!A:A,B245)</f>
        <v>1</v>
      </c>
      <c r="E245" s="57" t="str">
        <f t="shared" si="1"/>
        <v>link</v>
      </c>
      <c r="G245" s="43">
        <f t="shared" si="2"/>
        <v>7</v>
      </c>
      <c r="H245" s="21">
        <f>countif('v2022'!$A:$A,A245)</f>
        <v>1</v>
      </c>
      <c r="I245" s="21">
        <f>countif('v2018'!$A:$A,A245)</f>
        <v>1</v>
      </c>
      <c r="J245" s="21">
        <f>countif('v2014'!$A:$A,A245)</f>
        <v>1</v>
      </c>
      <c r="K245" s="21">
        <f>countif('v2010'!$A:$A,A245)</f>
        <v>1</v>
      </c>
      <c r="L245" s="21">
        <f>countif('v2006'!$A:$A,A245)</f>
        <v>1</v>
      </c>
      <c r="M245" s="21">
        <f>countif('v2002'!$A:$A,A245)</f>
        <v>1</v>
      </c>
      <c r="N245" s="21">
        <f>countif('v1998'!$A:$A,A245)</f>
        <v>1</v>
      </c>
    </row>
    <row r="246">
      <c r="A246" s="35" t="s">
        <v>2333</v>
      </c>
      <c r="B246" s="69" t="s">
        <v>3415</v>
      </c>
      <c r="C246" s="23">
        <f>countif(Constants!A:A,B246)</f>
        <v>1</v>
      </c>
      <c r="D246" s="42"/>
      <c r="E246" s="57" t="str">
        <f t="shared" si="1"/>
        <v>link</v>
      </c>
      <c r="F246" s="42"/>
      <c r="G246" s="43">
        <f t="shared" si="2"/>
        <v>4</v>
      </c>
      <c r="H246" s="21">
        <f>countif('v2022'!$A:$A,A246)</f>
        <v>1</v>
      </c>
      <c r="I246" s="21">
        <f>countif('v2018'!$A:$A,A246)</f>
        <v>1</v>
      </c>
      <c r="J246" s="21">
        <f>countif('v2014'!$A:$A,A246)</f>
        <v>1</v>
      </c>
      <c r="K246" s="21">
        <f>countif('v2010'!$A:$A,A246)</f>
        <v>1</v>
      </c>
      <c r="L246" s="21">
        <f>countif('v2006'!$A:$A,A246)</f>
        <v>0</v>
      </c>
      <c r="M246" s="21">
        <f>countif('v2002'!$A:$A,A246)</f>
        <v>0</v>
      </c>
      <c r="N246" s="21">
        <f>countif('v1998'!$A:$A,A246)</f>
        <v>0</v>
      </c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</row>
    <row r="247">
      <c r="A247" s="17" t="s">
        <v>3416</v>
      </c>
      <c r="B247" s="17" t="s">
        <v>3415</v>
      </c>
      <c r="C247" s="23">
        <f>countif(Constants!A:A,B247)</f>
        <v>1</v>
      </c>
      <c r="E247" s="57" t="str">
        <f t="shared" si="1"/>
        <v>link</v>
      </c>
      <c r="G247" s="43">
        <f t="shared" si="2"/>
        <v>3</v>
      </c>
      <c r="H247" s="21">
        <f>countif('v2022'!$A:$A,A247)</f>
        <v>0</v>
      </c>
      <c r="I247" s="21">
        <f>countif('v2018'!$A:$A,A247)</f>
        <v>0</v>
      </c>
      <c r="J247" s="21">
        <f>countif('v2014'!$A:$A,A247)</f>
        <v>0</v>
      </c>
      <c r="K247" s="21">
        <f>countif('v2010'!$A:$A,A247)</f>
        <v>0</v>
      </c>
      <c r="L247" s="21">
        <f>countif('v2006'!$A:$A,A247)</f>
        <v>1</v>
      </c>
      <c r="M247" s="21">
        <f>countif('v2002'!$A:$A,A247)</f>
        <v>1</v>
      </c>
      <c r="N247" s="21">
        <f>countif('v1998'!$A:$A,A247)</f>
        <v>1</v>
      </c>
    </row>
    <row r="248">
      <c r="A248" s="17" t="s">
        <v>2338</v>
      </c>
      <c r="B248" s="17" t="s">
        <v>3425</v>
      </c>
      <c r="C248" s="23">
        <f>countif(Constants!A:A,B248)</f>
        <v>1</v>
      </c>
      <c r="E248" s="57" t="str">
        <f t="shared" si="1"/>
        <v>link</v>
      </c>
      <c r="G248" s="43">
        <f t="shared" si="2"/>
        <v>4</v>
      </c>
      <c r="H248" s="21">
        <f>countif('v2022'!$A:$A,A248)</f>
        <v>1</v>
      </c>
      <c r="I248" s="21">
        <f>countif('v2018'!$A:$A,A248)</f>
        <v>1</v>
      </c>
      <c r="J248" s="21">
        <f>countif('v2014'!$A:$A,A248)</f>
        <v>1</v>
      </c>
      <c r="K248" s="21">
        <f>countif('v2010'!$A:$A,A248)</f>
        <v>1</v>
      </c>
      <c r="L248" s="21">
        <f>countif('v2006'!$A:$A,A248)</f>
        <v>0</v>
      </c>
      <c r="M248" s="21">
        <f>countif('v2002'!$A:$A,A248)</f>
        <v>0</v>
      </c>
      <c r="N248" s="21">
        <f>countif('v1998'!$A:$A,A248)</f>
        <v>0</v>
      </c>
    </row>
    <row r="249">
      <c r="A249" s="17" t="s">
        <v>3426</v>
      </c>
      <c r="B249" s="17" t="s">
        <v>3425</v>
      </c>
      <c r="C249" s="23">
        <f>countif(Constants!A:A,B249)</f>
        <v>1</v>
      </c>
      <c r="E249" s="57" t="str">
        <f t="shared" si="1"/>
        <v>link</v>
      </c>
      <c r="G249" s="43">
        <f t="shared" si="2"/>
        <v>3</v>
      </c>
      <c r="H249" s="21">
        <f>countif('v2022'!$A:$A,A249)</f>
        <v>0</v>
      </c>
      <c r="I249" s="21">
        <f>countif('v2018'!$A:$A,A249)</f>
        <v>0</v>
      </c>
      <c r="J249" s="21">
        <f>countif('v2014'!$A:$A,A249)</f>
        <v>0</v>
      </c>
      <c r="K249" s="21">
        <f>countif('v2010'!$A:$A,A249)</f>
        <v>0</v>
      </c>
      <c r="L249" s="21">
        <f>countif('v2006'!$A:$A,A249)</f>
        <v>1</v>
      </c>
      <c r="M249" s="21">
        <f>countif('v2002'!$A:$A,A249)</f>
        <v>1</v>
      </c>
      <c r="N249" s="21">
        <f>countif('v1998'!$A:$A,A249)</f>
        <v>1</v>
      </c>
    </row>
    <row r="250">
      <c r="A250" s="35" t="s">
        <v>2344</v>
      </c>
      <c r="B250" s="69" t="s">
        <v>3434</v>
      </c>
      <c r="C250" s="23">
        <f>countif(Constants!A:A,B250)</f>
        <v>1</v>
      </c>
      <c r="D250" s="42"/>
      <c r="E250" s="57" t="str">
        <f t="shared" si="1"/>
        <v>link</v>
      </c>
      <c r="F250" s="42"/>
      <c r="G250" s="43">
        <f t="shared" si="2"/>
        <v>4</v>
      </c>
      <c r="H250" s="21">
        <f>countif('v2022'!$A:$A,A250)</f>
        <v>1</v>
      </c>
      <c r="I250" s="21">
        <f>countif('v2018'!$A:$A,A250)</f>
        <v>1</v>
      </c>
      <c r="J250" s="21">
        <f>countif('v2014'!$A:$A,A250)</f>
        <v>1</v>
      </c>
      <c r="K250" s="21">
        <f>countif('v2010'!$A:$A,A250)</f>
        <v>1</v>
      </c>
      <c r="L250" s="21">
        <f>countif('v2006'!$A:$A,A250)</f>
        <v>0</v>
      </c>
      <c r="M250" s="21">
        <f>countif('v2002'!$A:$A,A250)</f>
        <v>0</v>
      </c>
      <c r="N250" s="21">
        <f>countif('v1998'!$A:$A,A250)</f>
        <v>0</v>
      </c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</row>
    <row r="251">
      <c r="A251" s="17" t="s">
        <v>3435</v>
      </c>
      <c r="B251" s="17" t="s">
        <v>3434</v>
      </c>
      <c r="C251" s="23">
        <f>countif(Constants!A:A,B251)</f>
        <v>1</v>
      </c>
      <c r="E251" s="57" t="str">
        <f t="shared" si="1"/>
        <v>link</v>
      </c>
      <c r="G251" s="43">
        <f t="shared" si="2"/>
        <v>3</v>
      </c>
      <c r="H251" s="21">
        <f>countif('v2022'!$A:$A,A251)</f>
        <v>0</v>
      </c>
      <c r="I251" s="21">
        <f>countif('v2018'!$A:$A,A251)</f>
        <v>0</v>
      </c>
      <c r="J251" s="21">
        <f>countif('v2014'!$A:$A,A251)</f>
        <v>0</v>
      </c>
      <c r="K251" s="21">
        <f>countif('v2010'!$A:$A,A251)</f>
        <v>0</v>
      </c>
      <c r="L251" s="21">
        <f>countif('v2006'!$A:$A,A251)</f>
        <v>1</v>
      </c>
      <c r="M251" s="21">
        <f>countif('v2002'!$A:$A,A251)</f>
        <v>1</v>
      </c>
      <c r="N251" s="21">
        <f>countif('v1998'!$A:$A,A251)</f>
        <v>1</v>
      </c>
    </row>
    <row r="252">
      <c r="A252" s="35" t="s">
        <v>2346</v>
      </c>
      <c r="B252" s="69" t="s">
        <v>3445</v>
      </c>
      <c r="C252" s="23">
        <f>countif(Constants!A:A,B252)</f>
        <v>1</v>
      </c>
      <c r="D252" s="42"/>
      <c r="E252" s="57" t="str">
        <f t="shared" si="1"/>
        <v>link</v>
      </c>
      <c r="F252" s="42"/>
      <c r="G252" s="43">
        <f t="shared" si="2"/>
        <v>4</v>
      </c>
      <c r="H252" s="21">
        <f>countif('v2022'!$A:$A,A252)</f>
        <v>1</v>
      </c>
      <c r="I252" s="21">
        <f>countif('v2018'!$A:$A,A252)</f>
        <v>1</v>
      </c>
      <c r="J252" s="21">
        <f>countif('v2014'!$A:$A,A252)</f>
        <v>1</v>
      </c>
      <c r="K252" s="21">
        <f>countif('v2010'!$A:$A,A252)</f>
        <v>1</v>
      </c>
      <c r="L252" s="21">
        <f>countif('v2006'!$A:$A,A252)</f>
        <v>0</v>
      </c>
      <c r="M252" s="21">
        <f>countif('v2002'!$A:$A,A252)</f>
        <v>0</v>
      </c>
      <c r="N252" s="21">
        <f>countif('v1998'!$A:$A,A252)</f>
        <v>0</v>
      </c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</row>
    <row r="253">
      <c r="A253" s="17" t="s">
        <v>3446</v>
      </c>
      <c r="B253" s="17" t="s">
        <v>3445</v>
      </c>
      <c r="C253" s="23">
        <f>countif(Constants!A:A,B253)</f>
        <v>1</v>
      </c>
      <c r="E253" s="57" t="str">
        <f t="shared" si="1"/>
        <v>link</v>
      </c>
      <c r="G253" s="43">
        <f t="shared" si="2"/>
        <v>3</v>
      </c>
      <c r="H253" s="21">
        <f>countif('v2022'!$A:$A,A253)</f>
        <v>0</v>
      </c>
      <c r="I253" s="21">
        <f>countif('v2018'!$A:$A,A253)</f>
        <v>0</v>
      </c>
      <c r="J253" s="21">
        <f>countif('v2014'!$A:$A,A253)</f>
        <v>0</v>
      </c>
      <c r="K253" s="21">
        <f>countif('v2010'!$A:$A,A253)</f>
        <v>0</v>
      </c>
      <c r="L253" s="21">
        <f>countif('v2006'!$A:$A,A253)</f>
        <v>1</v>
      </c>
      <c r="M253" s="21">
        <f>countif('v2002'!$A:$A,A253)</f>
        <v>1</v>
      </c>
      <c r="N253" s="21">
        <f>countif('v1998'!$A:$A,A253)</f>
        <v>1</v>
      </c>
    </row>
    <row r="254">
      <c r="A254" s="17" t="s">
        <v>2349</v>
      </c>
      <c r="B254" s="17" t="s">
        <v>3451</v>
      </c>
      <c r="C254" s="23">
        <f>countif(Constants!A:A,B254)</f>
        <v>1</v>
      </c>
      <c r="E254" s="57" t="str">
        <f t="shared" si="1"/>
        <v>link</v>
      </c>
      <c r="G254" s="43">
        <f t="shared" si="2"/>
        <v>7</v>
      </c>
      <c r="H254" s="21">
        <f>countif('v2022'!$A:$A,A254)</f>
        <v>1</v>
      </c>
      <c r="I254" s="21">
        <f>countif('v2018'!$A:$A,A254)</f>
        <v>1</v>
      </c>
      <c r="J254" s="21">
        <f>countif('v2014'!$A:$A,A254)</f>
        <v>1</v>
      </c>
      <c r="K254" s="21">
        <f>countif('v2010'!$A:$A,A254)</f>
        <v>1</v>
      </c>
      <c r="L254" s="21">
        <f>countif('v2006'!$A:$A,A254)</f>
        <v>1</v>
      </c>
      <c r="M254" s="21">
        <f>countif('v2002'!$A:$A,A254)</f>
        <v>1</v>
      </c>
      <c r="N254" s="21">
        <f>countif('v1998'!$A:$A,A254)</f>
        <v>1</v>
      </c>
    </row>
    <row r="255">
      <c r="A255" s="17" t="s">
        <v>2357</v>
      </c>
      <c r="B255" s="17" t="s">
        <v>3457</v>
      </c>
      <c r="C255" s="23">
        <f>countif(Constants!A:A,B255)</f>
        <v>1</v>
      </c>
      <c r="E255" s="57" t="str">
        <f t="shared" si="1"/>
        <v>link</v>
      </c>
      <c r="G255" s="43">
        <f t="shared" si="2"/>
        <v>7</v>
      </c>
      <c r="H255" s="21">
        <f>countif('v2022'!$A:$A,A255)</f>
        <v>1</v>
      </c>
      <c r="I255" s="21">
        <f>countif('v2018'!$A:$A,A255)</f>
        <v>1</v>
      </c>
      <c r="J255" s="21">
        <f>countif('v2014'!$A:$A,A255)</f>
        <v>1</v>
      </c>
      <c r="K255" s="21">
        <f>countif('v2010'!$A:$A,A255)</f>
        <v>1</v>
      </c>
      <c r="L255" s="21">
        <f>countif('v2006'!$A:$A,A255)</f>
        <v>1</v>
      </c>
      <c r="M255" s="21">
        <f>countif('v2002'!$A:$A,A255)</f>
        <v>1</v>
      </c>
      <c r="N255" s="21">
        <f>countif('v1998'!$A:$A,A255)</f>
        <v>1</v>
      </c>
    </row>
    <row r="256">
      <c r="A256" s="17" t="s">
        <v>2362</v>
      </c>
      <c r="B256" s="17" t="s">
        <v>3472</v>
      </c>
      <c r="C256" s="23">
        <f>countif(Constants!A:A,B256)</f>
        <v>1</v>
      </c>
      <c r="E256" s="57" t="str">
        <f t="shared" si="1"/>
        <v>link</v>
      </c>
      <c r="G256" s="43">
        <f t="shared" si="2"/>
        <v>7</v>
      </c>
      <c r="H256" s="21">
        <f>countif('v2022'!$A:$A,A256)</f>
        <v>1</v>
      </c>
      <c r="I256" s="21">
        <f>countif('v2018'!$A:$A,A256)</f>
        <v>1</v>
      </c>
      <c r="J256" s="21">
        <f>countif('v2014'!$A:$A,A256)</f>
        <v>1</v>
      </c>
      <c r="K256" s="21">
        <f>countif('v2010'!$A:$A,A256)</f>
        <v>1</v>
      </c>
      <c r="L256" s="21">
        <f>countif('v2006'!$A:$A,A256)</f>
        <v>1</v>
      </c>
      <c r="M256" s="21">
        <f>countif('v2002'!$A:$A,A256)</f>
        <v>1</v>
      </c>
      <c r="N256" s="21">
        <f>countif('v1998'!$A:$A,A256)</f>
        <v>1</v>
      </c>
    </row>
    <row r="257">
      <c r="A257" s="17" t="s">
        <v>2367</v>
      </c>
      <c r="B257" s="17" t="s">
        <v>3484</v>
      </c>
      <c r="C257" s="23">
        <f>countif(Constants!A:A,B257)</f>
        <v>1</v>
      </c>
      <c r="E257" s="57" t="str">
        <f t="shared" si="1"/>
        <v>link</v>
      </c>
      <c r="G257" s="43">
        <f t="shared" si="2"/>
        <v>7</v>
      </c>
      <c r="H257" s="21">
        <f>countif('v2022'!$A:$A,A257)</f>
        <v>1</v>
      </c>
      <c r="I257" s="21">
        <f>countif('v2018'!$A:$A,A257)</f>
        <v>1</v>
      </c>
      <c r="J257" s="21">
        <f>countif('v2014'!$A:$A,A257)</f>
        <v>1</v>
      </c>
      <c r="K257" s="21">
        <f>countif('v2010'!$A:$A,A257)</f>
        <v>1</v>
      </c>
      <c r="L257" s="21">
        <f>countif('v2006'!$A:$A,A257)</f>
        <v>1</v>
      </c>
      <c r="M257" s="21">
        <f>countif('v2002'!$A:$A,A257)</f>
        <v>1</v>
      </c>
      <c r="N257" s="21">
        <f>countif('v1998'!$A:$A,A257)</f>
        <v>1</v>
      </c>
    </row>
    <row r="258">
      <c r="A258" s="17" t="s">
        <v>2372</v>
      </c>
      <c r="B258" s="17" t="s">
        <v>3495</v>
      </c>
      <c r="C258" s="23">
        <f>countif(Constants!A:A,B258)</f>
        <v>1</v>
      </c>
      <c r="E258" s="57" t="str">
        <f t="shared" si="1"/>
        <v>link</v>
      </c>
      <c r="G258" s="43">
        <f t="shared" si="2"/>
        <v>7</v>
      </c>
      <c r="H258" s="21">
        <f>countif('v2022'!$A:$A,A258)</f>
        <v>1</v>
      </c>
      <c r="I258" s="21">
        <f>countif('v2018'!$A:$A,A258)</f>
        <v>1</v>
      </c>
      <c r="J258" s="21">
        <f>countif('v2014'!$A:$A,A258)</f>
        <v>1</v>
      </c>
      <c r="K258" s="21">
        <f>countif('v2010'!$A:$A,A258)</f>
        <v>1</v>
      </c>
      <c r="L258" s="21">
        <f>countif('v2006'!$A:$A,A258)</f>
        <v>1</v>
      </c>
      <c r="M258" s="21">
        <f>countif('v2002'!$A:$A,A258)</f>
        <v>1</v>
      </c>
      <c r="N258" s="21">
        <f>countif('v1998'!$A:$A,A258)</f>
        <v>1</v>
      </c>
    </row>
    <row r="259">
      <c r="A259" s="17" t="s">
        <v>2326</v>
      </c>
      <c r="B259" s="17" t="s">
        <v>3394</v>
      </c>
      <c r="C259" s="23">
        <f>countif(Constants!A:A,B259)</f>
        <v>1</v>
      </c>
      <c r="E259" s="57" t="str">
        <f t="shared" si="1"/>
        <v>link</v>
      </c>
      <c r="G259" s="43">
        <f t="shared" si="2"/>
        <v>7</v>
      </c>
      <c r="H259" s="21">
        <f>countif('v2022'!$A:$A,A259)</f>
        <v>1</v>
      </c>
      <c r="I259" s="21">
        <f>countif('v2018'!$A:$A,A259)</f>
        <v>1</v>
      </c>
      <c r="J259" s="21">
        <f>countif('v2014'!$A:$A,A259)</f>
        <v>1</v>
      </c>
      <c r="K259" s="21">
        <f>countif('v2010'!$A:$A,A259)</f>
        <v>1</v>
      </c>
      <c r="L259" s="21">
        <f>countif('v2006'!$A:$A,A259)</f>
        <v>1</v>
      </c>
      <c r="M259" s="21">
        <f>countif('v2002'!$A:$A,A259)</f>
        <v>1</v>
      </c>
      <c r="N259" s="21">
        <f>countif('v1998'!$A:$A,A259)</f>
        <v>1</v>
      </c>
    </row>
    <row r="260">
      <c r="A260" s="17" t="s">
        <v>2381</v>
      </c>
      <c r="B260" s="17" t="s">
        <v>3503</v>
      </c>
      <c r="C260" s="23">
        <f>countif(Constants!A:A,B260)</f>
        <v>1</v>
      </c>
      <c r="E260" s="57" t="str">
        <f t="shared" si="1"/>
        <v>link</v>
      </c>
      <c r="G260" s="43">
        <f t="shared" si="2"/>
        <v>7</v>
      </c>
      <c r="H260" s="21">
        <f>countif('v2022'!$A:$A,A260)</f>
        <v>1</v>
      </c>
      <c r="I260" s="21">
        <f>countif('v2018'!$A:$A,A260)</f>
        <v>1</v>
      </c>
      <c r="J260" s="21">
        <f>countif('v2014'!$A:$A,A260)</f>
        <v>1</v>
      </c>
      <c r="K260" s="21">
        <f>countif('v2010'!$A:$A,A260)</f>
        <v>1</v>
      </c>
      <c r="L260" s="21">
        <f>countif('v2006'!$A:$A,A260)</f>
        <v>1</v>
      </c>
      <c r="M260" s="21">
        <f>countif('v2002'!$A:$A,A260)</f>
        <v>1</v>
      </c>
      <c r="N260" s="21">
        <f>countif('v1998'!$A:$A,A260)</f>
        <v>1</v>
      </c>
    </row>
    <row r="261">
      <c r="A261" s="17" t="s">
        <v>2385</v>
      </c>
      <c r="B261" s="17" t="s">
        <v>3512</v>
      </c>
      <c r="C261" s="23">
        <f>countif(Constants!A:A,B261)</f>
        <v>1</v>
      </c>
      <c r="E261" s="57" t="str">
        <f t="shared" si="1"/>
        <v>link</v>
      </c>
      <c r="G261" s="43">
        <f t="shared" si="2"/>
        <v>4</v>
      </c>
      <c r="H261" s="21">
        <f>countif('v2022'!$A:$A,A261)</f>
        <v>1</v>
      </c>
      <c r="I261" s="21">
        <f>countif('v2018'!$A:$A,A261)</f>
        <v>1</v>
      </c>
      <c r="J261" s="21">
        <f>countif('v2014'!$A:$A,A261)</f>
        <v>1</v>
      </c>
      <c r="K261" s="21">
        <f>countif('v2010'!$A:$A,A261)</f>
        <v>1</v>
      </c>
      <c r="L261" s="21">
        <f>countif('v2006'!$A:$A,A261)</f>
        <v>0</v>
      </c>
      <c r="M261" s="21">
        <f>countif('v2002'!$A:$A,A261)</f>
        <v>0</v>
      </c>
      <c r="N261" s="21">
        <f>countif('v1998'!$A:$A,A261)</f>
        <v>0</v>
      </c>
    </row>
    <row r="262">
      <c r="A262" s="17" t="s">
        <v>3533</v>
      </c>
      <c r="B262" s="17" t="s">
        <v>3512</v>
      </c>
      <c r="C262" s="23">
        <f>countif(Constants!A:A,B262)</f>
        <v>1</v>
      </c>
      <c r="E262" s="57" t="str">
        <f t="shared" si="1"/>
        <v>link</v>
      </c>
      <c r="G262" s="43">
        <f t="shared" si="2"/>
        <v>3</v>
      </c>
      <c r="H262" s="21">
        <f>countif('v2022'!$A:$A,A262)</f>
        <v>0</v>
      </c>
      <c r="I262" s="21">
        <f>countif('v2018'!$A:$A,A262)</f>
        <v>0</v>
      </c>
      <c r="J262" s="21">
        <f>countif('v2014'!$A:$A,A262)</f>
        <v>0</v>
      </c>
      <c r="K262" s="21">
        <f>countif('v2010'!$A:$A,A262)</f>
        <v>0</v>
      </c>
      <c r="L262" s="21">
        <f>countif('v2006'!$A:$A,A262)</f>
        <v>1</v>
      </c>
      <c r="M262" s="21">
        <f>countif('v2002'!$A:$A,A262)</f>
        <v>1</v>
      </c>
      <c r="N262" s="21">
        <f>countif('v1998'!$A:$A,A262)</f>
        <v>1</v>
      </c>
    </row>
    <row r="263">
      <c r="A263" s="17" t="s">
        <v>2388</v>
      </c>
      <c r="B263" s="17" t="s">
        <v>3523</v>
      </c>
      <c r="C263" s="23">
        <f>countif(Constants!A:A,B263)</f>
        <v>1</v>
      </c>
      <c r="E263" s="57" t="str">
        <f t="shared" si="1"/>
        <v>link</v>
      </c>
      <c r="G263" s="43">
        <f t="shared" si="2"/>
        <v>7</v>
      </c>
      <c r="H263" s="21">
        <f>countif('v2022'!$A:$A,A263)</f>
        <v>1</v>
      </c>
      <c r="I263" s="21">
        <f>countif('v2018'!$A:$A,A263)</f>
        <v>1</v>
      </c>
      <c r="J263" s="21">
        <f>countif('v2014'!$A:$A,A263)</f>
        <v>1</v>
      </c>
      <c r="K263" s="21">
        <f>countif('v2010'!$A:$A,A263)</f>
        <v>1</v>
      </c>
      <c r="L263" s="21">
        <f>countif('v2006'!$A:$A,A263)</f>
        <v>1</v>
      </c>
      <c r="M263" s="21">
        <f>countif('v2002'!$A:$A,A263)</f>
        <v>1</v>
      </c>
      <c r="N263" s="21">
        <f>countif('v1998'!$A:$A,A263)</f>
        <v>1</v>
      </c>
    </row>
    <row r="264">
      <c r="A264" s="17" t="s">
        <v>2392</v>
      </c>
      <c r="B264" s="17" t="s">
        <v>3530</v>
      </c>
      <c r="C264" s="23">
        <f>countif(Constants!A:A,B264)</f>
        <v>1</v>
      </c>
      <c r="E264" s="57" t="str">
        <f t="shared" si="1"/>
        <v>link</v>
      </c>
      <c r="G264" s="43">
        <f t="shared" si="2"/>
        <v>7</v>
      </c>
      <c r="H264" s="21">
        <f>countif('v2022'!$A:$A,A264)</f>
        <v>1</v>
      </c>
      <c r="I264" s="21">
        <f>countif('v2018'!$A:$A,A264)</f>
        <v>1</v>
      </c>
      <c r="J264" s="21">
        <f>countif('v2014'!$A:$A,A264)</f>
        <v>1</v>
      </c>
      <c r="K264" s="21">
        <f>countif('v2010'!$A:$A,A264)</f>
        <v>1</v>
      </c>
      <c r="L264" s="21">
        <f>countif('v2006'!$A:$A,A264)</f>
        <v>1</v>
      </c>
      <c r="M264" s="21">
        <f>countif('v2002'!$A:$A,A264)</f>
        <v>1</v>
      </c>
      <c r="N264" s="21">
        <f>countif('v1998'!$A:$A,A264)</f>
        <v>1</v>
      </c>
    </row>
    <row r="265">
      <c r="A265" s="17" t="s">
        <v>2399</v>
      </c>
      <c r="B265" s="17" t="s">
        <v>3542</v>
      </c>
      <c r="C265" s="23">
        <f>countif(Constants!A:A,B265)</f>
        <v>1</v>
      </c>
      <c r="E265" s="57" t="str">
        <f t="shared" si="1"/>
        <v>link</v>
      </c>
      <c r="G265" s="43">
        <f t="shared" si="2"/>
        <v>7</v>
      </c>
      <c r="H265" s="21">
        <f>countif('v2022'!$A:$A,A265)</f>
        <v>1</v>
      </c>
      <c r="I265" s="21">
        <f>countif('v2018'!$A:$A,A265)</f>
        <v>1</v>
      </c>
      <c r="J265" s="21">
        <f>countif('v2014'!$A:$A,A265)</f>
        <v>1</v>
      </c>
      <c r="K265" s="21">
        <f>countif('v2010'!$A:$A,A265)</f>
        <v>1</v>
      </c>
      <c r="L265" s="21">
        <f>countif('v2006'!$A:$A,A265)</f>
        <v>1</v>
      </c>
      <c r="M265" s="21">
        <f>countif('v2002'!$A:$A,A265)</f>
        <v>1</v>
      </c>
      <c r="N265" s="21">
        <f>countif('v1998'!$A:$A,A265)</f>
        <v>1</v>
      </c>
    </row>
    <row r="266">
      <c r="A266" s="17" t="s">
        <v>2400</v>
      </c>
      <c r="B266" s="17" t="s">
        <v>3554</v>
      </c>
      <c r="C266" s="23">
        <f>countif(Constants!A:A,B266)</f>
        <v>1</v>
      </c>
      <c r="E266" s="57" t="str">
        <f t="shared" si="1"/>
        <v>link</v>
      </c>
      <c r="G266" s="43">
        <f t="shared" si="2"/>
        <v>7</v>
      </c>
      <c r="H266" s="21">
        <f>countif('v2022'!$A:$A,A266)</f>
        <v>1</v>
      </c>
      <c r="I266" s="21">
        <f>countif('v2018'!$A:$A,A266)</f>
        <v>1</v>
      </c>
      <c r="J266" s="21">
        <f>countif('v2014'!$A:$A,A266)</f>
        <v>1</v>
      </c>
      <c r="K266" s="21">
        <f>countif('v2010'!$A:$A,A266)</f>
        <v>1</v>
      </c>
      <c r="L266" s="21">
        <f>countif('v2006'!$A:$A,A266)</f>
        <v>1</v>
      </c>
      <c r="M266" s="21">
        <f>countif('v2002'!$A:$A,A266)</f>
        <v>1</v>
      </c>
      <c r="N266" s="21">
        <f>countif('v1998'!$A:$A,A266)</f>
        <v>1</v>
      </c>
    </row>
    <row r="267">
      <c r="A267" s="17" t="s">
        <v>2405</v>
      </c>
      <c r="B267" s="17" t="s">
        <v>3566</v>
      </c>
      <c r="C267" s="23">
        <f>countif(Constants!A:A,B267)</f>
        <v>1</v>
      </c>
      <c r="E267" s="57" t="str">
        <f t="shared" si="1"/>
        <v>link</v>
      </c>
      <c r="G267" s="43">
        <f t="shared" si="2"/>
        <v>7</v>
      </c>
      <c r="H267" s="21">
        <f>countif('v2022'!$A:$A,A267)</f>
        <v>1</v>
      </c>
      <c r="I267" s="21">
        <f>countif('v2018'!$A:$A,A267)</f>
        <v>1</v>
      </c>
      <c r="J267" s="21">
        <f>countif('v2014'!$A:$A,A267)</f>
        <v>1</v>
      </c>
      <c r="K267" s="21">
        <f>countif('v2010'!$A:$A,A267)</f>
        <v>1</v>
      </c>
      <c r="L267" s="21">
        <f>countif('v2006'!$A:$A,A267)</f>
        <v>1</v>
      </c>
      <c r="M267" s="21">
        <f>countif('v2002'!$A:$A,A267)</f>
        <v>1</v>
      </c>
      <c r="N267" s="21">
        <f>countif('v1998'!$A:$A,A267)</f>
        <v>1</v>
      </c>
    </row>
    <row r="268">
      <c r="A268" s="17" t="s">
        <v>2409</v>
      </c>
      <c r="B268" s="17" t="s">
        <v>3579</v>
      </c>
      <c r="C268" s="23">
        <f>countif(Constants!A:A,B268)</f>
        <v>1</v>
      </c>
      <c r="E268" s="57" t="str">
        <f t="shared" si="1"/>
        <v>link</v>
      </c>
      <c r="G268" s="43">
        <f t="shared" si="2"/>
        <v>7</v>
      </c>
      <c r="H268" s="21">
        <f>countif('v2022'!$A:$A,A268)</f>
        <v>1</v>
      </c>
      <c r="I268" s="21">
        <f>countif('v2018'!$A:$A,A268)</f>
        <v>1</v>
      </c>
      <c r="J268" s="21">
        <f>countif('v2014'!$A:$A,A268)</f>
        <v>1</v>
      </c>
      <c r="K268" s="21">
        <f>countif('v2010'!$A:$A,A268)</f>
        <v>1</v>
      </c>
      <c r="L268" s="21">
        <f>countif('v2006'!$A:$A,A268)</f>
        <v>1</v>
      </c>
      <c r="M268" s="21">
        <f>countif('v2002'!$A:$A,A268)</f>
        <v>1</v>
      </c>
      <c r="N268" s="21">
        <f>countif('v1998'!$A:$A,A268)</f>
        <v>1</v>
      </c>
    </row>
    <row r="269">
      <c r="A269" s="17" t="s">
        <v>2410</v>
      </c>
      <c r="B269" s="17" t="s">
        <v>3592</v>
      </c>
      <c r="C269" s="23">
        <f>countif(Constants!A:A,B269)</f>
        <v>1</v>
      </c>
      <c r="E269" s="57" t="str">
        <f t="shared" si="1"/>
        <v>link</v>
      </c>
      <c r="G269" s="43">
        <f t="shared" si="2"/>
        <v>7</v>
      </c>
      <c r="H269" s="21">
        <f>countif('v2022'!$A:$A,A269)</f>
        <v>1</v>
      </c>
      <c r="I269" s="21">
        <f>countif('v2018'!$A:$A,A269)</f>
        <v>1</v>
      </c>
      <c r="J269" s="21">
        <f>countif('v2014'!$A:$A,A269)</f>
        <v>1</v>
      </c>
      <c r="K269" s="21">
        <f>countif('v2010'!$A:$A,A269)</f>
        <v>1</v>
      </c>
      <c r="L269" s="21">
        <f>countif('v2006'!$A:$A,A269)</f>
        <v>1</v>
      </c>
      <c r="M269" s="21">
        <f>countif('v2002'!$A:$A,A269)</f>
        <v>1</v>
      </c>
      <c r="N269" s="21">
        <f>countif('v1998'!$A:$A,A269)</f>
        <v>1</v>
      </c>
    </row>
    <row r="270">
      <c r="A270" s="17" t="s">
        <v>2414</v>
      </c>
      <c r="B270" s="17" t="s">
        <v>3609</v>
      </c>
      <c r="C270" s="23">
        <f>countif(Constants!A:A,B270)</f>
        <v>1</v>
      </c>
      <c r="E270" s="57" t="str">
        <f t="shared" si="1"/>
        <v>link</v>
      </c>
      <c r="G270" s="43">
        <f t="shared" si="2"/>
        <v>7</v>
      </c>
      <c r="H270" s="21">
        <f>countif('v2022'!$A:$A,A270)</f>
        <v>1</v>
      </c>
      <c r="I270" s="21">
        <f>countif('v2018'!$A:$A,A270)</f>
        <v>1</v>
      </c>
      <c r="J270" s="21">
        <f>countif('v2014'!$A:$A,A270)</f>
        <v>1</v>
      </c>
      <c r="K270" s="21">
        <f>countif('v2010'!$A:$A,A270)</f>
        <v>1</v>
      </c>
      <c r="L270" s="21">
        <f>countif('v2006'!$A:$A,A270)</f>
        <v>1</v>
      </c>
      <c r="M270" s="21">
        <f>countif('v2002'!$A:$A,A270)</f>
        <v>1</v>
      </c>
      <c r="N270" s="21">
        <f>countif('v1998'!$A:$A,A270)</f>
        <v>1</v>
      </c>
    </row>
    <row r="271" ht="15.0" customHeight="1">
      <c r="A271" s="65" t="s">
        <v>3621</v>
      </c>
      <c r="B271" s="17" t="s">
        <v>3620</v>
      </c>
      <c r="C271" s="23">
        <f>countif(Constants!A:A,B271)</f>
        <v>1</v>
      </c>
      <c r="E271" s="57" t="str">
        <f t="shared" si="1"/>
        <v>link</v>
      </c>
      <c r="G271" s="43">
        <f t="shared" si="2"/>
        <v>2</v>
      </c>
      <c r="H271" s="21">
        <f>countif('v2022'!$A:$A,A271)</f>
        <v>0</v>
      </c>
      <c r="I271" s="21">
        <f>countif('v2018'!$A:$A,A271)</f>
        <v>0</v>
      </c>
      <c r="J271" s="21">
        <f>countif('v2014'!$A:$A,A271)</f>
        <v>1</v>
      </c>
      <c r="K271" s="21">
        <f>countif('v2010'!$A:$A,A271)</f>
        <v>1</v>
      </c>
      <c r="L271" s="21">
        <f>countif('v2006'!$A:$A,A271)</f>
        <v>0</v>
      </c>
      <c r="M271" s="21">
        <f>countif('v2002'!$A:$A,A271)</f>
        <v>0</v>
      </c>
      <c r="N271" s="21">
        <f>countif('v1998'!$A:$A,A271)</f>
        <v>0</v>
      </c>
    </row>
    <row r="272" ht="15.0" customHeight="1">
      <c r="A272" s="17" t="s">
        <v>2417</v>
      </c>
      <c r="B272" s="17" t="s">
        <v>3620</v>
      </c>
      <c r="C272" s="23">
        <f>countif(Constants!A:A,B272)</f>
        <v>1</v>
      </c>
      <c r="E272" s="57" t="str">
        <f t="shared" si="1"/>
        <v>link</v>
      </c>
      <c r="G272" s="43">
        <f t="shared" si="2"/>
        <v>5</v>
      </c>
      <c r="H272" s="21">
        <f>countif('v2022'!$A:$A,A272)</f>
        <v>1</v>
      </c>
      <c r="I272" s="21">
        <f>countif('v2018'!$A:$A,A272)</f>
        <v>1</v>
      </c>
      <c r="J272" s="21">
        <f>countif('v2014'!$A:$A,A272)</f>
        <v>0</v>
      </c>
      <c r="K272" s="21">
        <f>countif('v2010'!$A:$A,A272)</f>
        <v>0</v>
      </c>
      <c r="L272" s="21">
        <f>countif('v2006'!$A:$A,A272)</f>
        <v>1</v>
      </c>
      <c r="M272" s="21">
        <f>countif('v2002'!$A:$A,A272)</f>
        <v>1</v>
      </c>
      <c r="N272" s="21">
        <f>countif('v1998'!$A:$A,A272)</f>
        <v>1</v>
      </c>
    </row>
    <row r="273">
      <c r="A273" s="65" t="s">
        <v>3642</v>
      </c>
      <c r="B273" s="17" t="s">
        <v>3634</v>
      </c>
      <c r="C273" s="23">
        <f>countif(Constants!A:A,B273)</f>
        <v>1</v>
      </c>
      <c r="E273" s="57" t="str">
        <f t="shared" si="1"/>
        <v>link</v>
      </c>
      <c r="G273" s="43">
        <f t="shared" si="2"/>
        <v>2</v>
      </c>
      <c r="H273" s="21">
        <f>countif('v2022'!$A:$A,A273)</f>
        <v>0</v>
      </c>
      <c r="I273" s="21">
        <f>countif('v2018'!$A:$A,A273)</f>
        <v>0</v>
      </c>
      <c r="J273" s="21">
        <f>countif('v2014'!$A:$A,A273)</f>
        <v>1</v>
      </c>
      <c r="K273" s="21">
        <f>countif('v2010'!$A:$A,A273)</f>
        <v>1</v>
      </c>
      <c r="L273" s="21">
        <f>countif('v2006'!$A:$A,A273)</f>
        <v>0</v>
      </c>
      <c r="M273" s="21">
        <f>countif('v2002'!$A:$A,A273)</f>
        <v>0</v>
      </c>
      <c r="N273" s="21">
        <f>countif('v1998'!$A:$A,A273)</f>
        <v>0</v>
      </c>
    </row>
    <row r="274">
      <c r="A274" s="17" t="s">
        <v>2424</v>
      </c>
      <c r="B274" s="17" t="s">
        <v>3634</v>
      </c>
      <c r="C274" s="23">
        <f>countif(Constants!A:A,B274)</f>
        <v>1</v>
      </c>
      <c r="E274" s="57" t="str">
        <f t="shared" si="1"/>
        <v>link</v>
      </c>
      <c r="G274" s="43">
        <f t="shared" si="2"/>
        <v>5</v>
      </c>
      <c r="H274" s="21">
        <f>countif('v2022'!$A:$A,A274)</f>
        <v>1</v>
      </c>
      <c r="I274" s="21">
        <f>countif('v2018'!$A:$A,A274)</f>
        <v>1</v>
      </c>
      <c r="J274" s="21">
        <f>countif('v2014'!$A:$A,A274)</f>
        <v>0</v>
      </c>
      <c r="K274" s="21">
        <f>countif('v2010'!$A:$A,A274)</f>
        <v>0</v>
      </c>
      <c r="L274" s="21">
        <f>countif('v2006'!$A:$A,A274)</f>
        <v>1</v>
      </c>
      <c r="M274" s="21">
        <f>countif('v2002'!$A:$A,A274)</f>
        <v>1</v>
      </c>
      <c r="N274" s="21">
        <f>countif('v1998'!$A:$A,A274)</f>
        <v>1</v>
      </c>
    </row>
    <row r="275">
      <c r="A275" s="17" t="s">
        <v>2427</v>
      </c>
      <c r="B275" s="17" t="s">
        <v>3655</v>
      </c>
      <c r="C275" s="23">
        <f>countif(Constants!A:A,B275)</f>
        <v>1</v>
      </c>
      <c r="E275" s="57" t="str">
        <f t="shared" si="1"/>
        <v>link</v>
      </c>
      <c r="G275" s="43">
        <f t="shared" si="2"/>
        <v>7</v>
      </c>
      <c r="H275" s="21">
        <f>countif('v2022'!$A:$A,A275)</f>
        <v>1</v>
      </c>
      <c r="I275" s="21">
        <f>countif('v2018'!$A:$A,A275)</f>
        <v>1</v>
      </c>
      <c r="J275" s="21">
        <f>countif('v2014'!$A:$A,A275)</f>
        <v>1</v>
      </c>
      <c r="K275" s="21">
        <f>countif('v2010'!$A:$A,A275)</f>
        <v>1</v>
      </c>
      <c r="L275" s="21">
        <f>countif('v2006'!$A:$A,A275)</f>
        <v>1</v>
      </c>
      <c r="M275" s="21">
        <f>countif('v2002'!$A:$A,A275)</f>
        <v>1</v>
      </c>
      <c r="N275" s="21">
        <f>countif('v1998'!$A:$A,A275)</f>
        <v>1</v>
      </c>
    </row>
    <row r="276">
      <c r="A276" s="17" t="s">
        <v>2433</v>
      </c>
      <c r="B276" s="17" t="s">
        <v>3662</v>
      </c>
      <c r="C276" s="23">
        <f>countif(Constants!A:A,B276)</f>
        <v>1</v>
      </c>
      <c r="E276" s="57" t="str">
        <f t="shared" si="1"/>
        <v>link</v>
      </c>
      <c r="G276" s="43">
        <f t="shared" si="2"/>
        <v>7</v>
      </c>
      <c r="H276" s="21">
        <f>countif('v2022'!$A:$A,A276)</f>
        <v>1</v>
      </c>
      <c r="I276" s="21">
        <f>countif('v2018'!$A:$A,A276)</f>
        <v>1</v>
      </c>
      <c r="J276" s="21">
        <f>countif('v2014'!$A:$A,A276)</f>
        <v>1</v>
      </c>
      <c r="K276" s="21">
        <f>countif('v2010'!$A:$A,A276)</f>
        <v>1</v>
      </c>
      <c r="L276" s="21">
        <f>countif('v2006'!$A:$A,A276)</f>
        <v>1</v>
      </c>
      <c r="M276" s="21">
        <f>countif('v2002'!$A:$A,A276)</f>
        <v>1</v>
      </c>
      <c r="N276" s="21">
        <f>countif('v1998'!$A:$A,A276)</f>
        <v>1</v>
      </c>
    </row>
    <row r="277">
      <c r="A277" s="17" t="s">
        <v>2439</v>
      </c>
      <c r="B277" s="17" t="s">
        <v>3666</v>
      </c>
      <c r="C277" s="23">
        <f>countif(Constants!A:A,B277)</f>
        <v>1</v>
      </c>
      <c r="E277" s="57" t="str">
        <f t="shared" si="1"/>
        <v>link</v>
      </c>
      <c r="G277" s="43">
        <f t="shared" si="2"/>
        <v>7</v>
      </c>
      <c r="H277" s="21">
        <f>countif('v2022'!$A:$A,A277)</f>
        <v>1</v>
      </c>
      <c r="I277" s="21">
        <f>countif('v2018'!$A:$A,A277)</f>
        <v>1</v>
      </c>
      <c r="J277" s="21">
        <f>countif('v2014'!$A:$A,A277)</f>
        <v>1</v>
      </c>
      <c r="K277" s="21">
        <f>countif('v2010'!$A:$A,A277)</f>
        <v>1</v>
      </c>
      <c r="L277" s="21">
        <f>countif('v2006'!$A:$A,A277)</f>
        <v>1</v>
      </c>
      <c r="M277" s="21">
        <f>countif('v2002'!$A:$A,A277)</f>
        <v>1</v>
      </c>
      <c r="N277" s="21">
        <f>countif('v1998'!$A:$A,A277)</f>
        <v>1</v>
      </c>
    </row>
    <row r="278">
      <c r="A278" s="17" t="s">
        <v>3674</v>
      </c>
      <c r="B278" s="17" t="s">
        <v>3675</v>
      </c>
      <c r="C278" s="23">
        <f>countif(Constants!A:A,B278)</f>
        <v>1</v>
      </c>
      <c r="E278" s="57" t="str">
        <f t="shared" si="1"/>
        <v>link</v>
      </c>
      <c r="G278" s="43">
        <f t="shared" si="2"/>
        <v>5</v>
      </c>
      <c r="H278" s="21">
        <f>countif('v2022'!$A:$A,A278)</f>
        <v>0</v>
      </c>
      <c r="I278" s="21">
        <f>countif('v2018'!$A:$A,A278)</f>
        <v>0</v>
      </c>
      <c r="J278" s="21">
        <f>countif('v2014'!$A:$A,A278)</f>
        <v>1</v>
      </c>
      <c r="K278" s="21">
        <f>countif('v2010'!$A:$A,A278)</f>
        <v>1</v>
      </c>
      <c r="L278" s="21">
        <f>countif('v2006'!$A:$A,A278)</f>
        <v>1</v>
      </c>
      <c r="M278" s="21">
        <f>countif('v2002'!$A:$A,A278)</f>
        <v>1</v>
      </c>
      <c r="N278" s="21">
        <f>countif('v1998'!$A:$A,A278)</f>
        <v>1</v>
      </c>
    </row>
    <row r="279">
      <c r="A279" s="17" t="s">
        <v>2454</v>
      </c>
      <c r="B279" s="17" t="s">
        <v>3679</v>
      </c>
      <c r="C279" s="23">
        <f>countif(Constants!A:A,B279)</f>
        <v>1</v>
      </c>
      <c r="E279" s="57" t="str">
        <f t="shared" si="1"/>
        <v>link</v>
      </c>
      <c r="G279" s="43">
        <f t="shared" si="2"/>
        <v>7</v>
      </c>
      <c r="H279" s="21">
        <f>countif('v2022'!$A:$A,A279)</f>
        <v>1</v>
      </c>
      <c r="I279" s="21">
        <f>countif('v2018'!$A:$A,A279)</f>
        <v>1</v>
      </c>
      <c r="J279" s="21">
        <f>countif('v2014'!$A:$A,A279)</f>
        <v>1</v>
      </c>
      <c r="K279" s="21">
        <f>countif('v2010'!$A:$A,A279)</f>
        <v>1</v>
      </c>
      <c r="L279" s="21">
        <f>countif('v2006'!$A:$A,A279)</f>
        <v>1</v>
      </c>
      <c r="M279" s="21">
        <f>countif('v2002'!$A:$A,A279)</f>
        <v>1</v>
      </c>
      <c r="N279" s="21">
        <f>countif('v1998'!$A:$A,A279)</f>
        <v>1</v>
      </c>
    </row>
    <row r="280">
      <c r="A280" s="35" t="s">
        <v>2459</v>
      </c>
      <c r="B280" s="69" t="s">
        <v>3685</v>
      </c>
      <c r="C280" s="75">
        <f>countif(Constants!A:A,B280)</f>
        <v>1</v>
      </c>
      <c r="D280" s="42"/>
      <c r="E280" s="57" t="str">
        <f t="shared" si="1"/>
        <v>link</v>
      </c>
      <c r="F280" s="42"/>
      <c r="G280" s="43">
        <f t="shared" si="2"/>
        <v>4</v>
      </c>
      <c r="H280" s="21">
        <f>countif('v2022'!$A:$A,A280)</f>
        <v>1</v>
      </c>
      <c r="I280" s="21">
        <f>countif('v2018'!$A:$A,A280)</f>
        <v>1</v>
      </c>
      <c r="J280" s="21">
        <f>countif('v2014'!$A:$A,A280)</f>
        <v>1</v>
      </c>
      <c r="K280" s="21">
        <f>countif('v2010'!$A:$A,A280)</f>
        <v>1</v>
      </c>
      <c r="L280" s="21">
        <f>countif('v2006'!$A:$A,A280)</f>
        <v>0</v>
      </c>
      <c r="M280" s="21">
        <f>countif('v2002'!$A:$A,A280)</f>
        <v>0</v>
      </c>
      <c r="N280" s="21">
        <f>countif('v1998'!$A:$A,A280)</f>
        <v>0</v>
      </c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</row>
    <row r="281">
      <c r="A281" s="17" t="s">
        <v>3700</v>
      </c>
      <c r="B281" s="17" t="s">
        <v>3685</v>
      </c>
      <c r="C281" s="23">
        <f>countif(Constants!A:A,B281)</f>
        <v>1</v>
      </c>
      <c r="E281" s="57" t="str">
        <f t="shared" si="1"/>
        <v>link</v>
      </c>
      <c r="G281" s="43">
        <f t="shared" si="2"/>
        <v>3</v>
      </c>
      <c r="H281" s="21">
        <f>countif('v2022'!$A:$A,A281)</f>
        <v>0</v>
      </c>
      <c r="I281" s="21">
        <f>countif('v2018'!$A:$A,A281)</f>
        <v>0</v>
      </c>
      <c r="J281" s="21">
        <f>countif('v2014'!$A:$A,A281)</f>
        <v>0</v>
      </c>
      <c r="K281" s="21">
        <f>countif('v2010'!$A:$A,A281)</f>
        <v>0</v>
      </c>
      <c r="L281" s="21">
        <f>countif('v2006'!$A:$A,A281)</f>
        <v>1</v>
      </c>
      <c r="M281" s="21">
        <f>countif('v2002'!$A:$A,A281)</f>
        <v>1</v>
      </c>
      <c r="N281" s="21">
        <f>countif('v1998'!$A:$A,A281)</f>
        <v>1</v>
      </c>
    </row>
    <row r="282">
      <c r="A282" s="35" t="s">
        <v>2464</v>
      </c>
      <c r="B282" s="69" t="s">
        <v>3705</v>
      </c>
      <c r="C282" s="75">
        <f>countif(Constants!A:A,B282)</f>
        <v>1</v>
      </c>
      <c r="D282" s="42"/>
      <c r="E282" s="57" t="str">
        <f t="shared" si="1"/>
        <v>link</v>
      </c>
      <c r="F282" s="42"/>
      <c r="G282" s="43">
        <f t="shared" si="2"/>
        <v>2</v>
      </c>
      <c r="H282" s="21">
        <f>countif('v2022'!$A:$A,A282)</f>
        <v>1</v>
      </c>
      <c r="I282" s="21">
        <f>countif('v2018'!$A:$A,A282)</f>
        <v>1</v>
      </c>
      <c r="J282" s="21">
        <f>countif('v2014'!$A:$A,A282)</f>
        <v>0</v>
      </c>
      <c r="K282" s="21">
        <f>countif('v2010'!$A:$A,A282)</f>
        <v>0</v>
      </c>
      <c r="L282" s="21">
        <f>countif('v2006'!$A:$A,A282)</f>
        <v>0</v>
      </c>
      <c r="M282" s="21">
        <f>countif('v2002'!$A:$A,A282)</f>
        <v>0</v>
      </c>
      <c r="N282" s="21">
        <f>countif('v1998'!$A:$A,A282)</f>
        <v>0</v>
      </c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</row>
    <row r="283">
      <c r="A283" s="17" t="s">
        <v>3715</v>
      </c>
      <c r="B283" s="17" t="s">
        <v>3705</v>
      </c>
      <c r="C283" s="23">
        <f>countif(Constants!A:A,B283)</f>
        <v>1</v>
      </c>
      <c r="E283" s="57" t="str">
        <f t="shared" si="1"/>
        <v>link</v>
      </c>
      <c r="G283" s="43">
        <f t="shared" si="2"/>
        <v>2</v>
      </c>
      <c r="H283" s="21">
        <f>countif('v2022'!$A:$A,A283)</f>
        <v>0</v>
      </c>
      <c r="I283" s="21">
        <f>countif('v2018'!$A:$A,A283)</f>
        <v>0</v>
      </c>
      <c r="J283" s="21">
        <f>countif('v2014'!$A:$A,A283)</f>
        <v>1</v>
      </c>
      <c r="K283" s="21">
        <f>countif('v2010'!$A:$A,A283)</f>
        <v>1</v>
      </c>
      <c r="L283" s="21">
        <f>countif('v2006'!$A:$A,A283)</f>
        <v>0</v>
      </c>
      <c r="M283" s="21">
        <f>countif('v2002'!$A:$A,A283)</f>
        <v>0</v>
      </c>
      <c r="N283" s="21">
        <f>countif('v1998'!$A:$A,A283)</f>
        <v>0</v>
      </c>
    </row>
    <row r="284">
      <c r="A284" s="17" t="s">
        <v>3723</v>
      </c>
      <c r="B284" s="17" t="s">
        <v>3705</v>
      </c>
      <c r="C284" s="23">
        <f>countif(Constants!A:A,B284)</f>
        <v>1</v>
      </c>
      <c r="E284" s="57" t="str">
        <f t="shared" si="1"/>
        <v>link</v>
      </c>
      <c r="G284" s="43">
        <f t="shared" si="2"/>
        <v>3</v>
      </c>
      <c r="H284" s="21">
        <f>countif('v2022'!$A:$A,A284)</f>
        <v>0</v>
      </c>
      <c r="I284" s="21">
        <f>countif('v2018'!$A:$A,A284)</f>
        <v>0</v>
      </c>
      <c r="J284" s="21">
        <f>countif('v2014'!$A:$A,A284)</f>
        <v>0</v>
      </c>
      <c r="K284" s="21">
        <f>countif('v2010'!$A:$A,A284)</f>
        <v>0</v>
      </c>
      <c r="L284" s="21">
        <f>countif('v2006'!$A:$A,A284)</f>
        <v>1</v>
      </c>
      <c r="M284" s="21">
        <f>countif('v2002'!$A:$A,A284)</f>
        <v>1</v>
      </c>
      <c r="N284" s="21">
        <f>countif('v1998'!$A:$A,A284)</f>
        <v>1</v>
      </c>
    </row>
    <row r="285">
      <c r="A285" s="17" t="s">
        <v>2469</v>
      </c>
      <c r="B285" s="17" t="s">
        <v>3730</v>
      </c>
      <c r="C285" s="23">
        <f>countif(Constants!A:A,B285)</f>
        <v>1</v>
      </c>
      <c r="E285" s="57" t="str">
        <f t="shared" si="1"/>
        <v>link</v>
      </c>
      <c r="G285" s="43">
        <f t="shared" si="2"/>
        <v>4</v>
      </c>
      <c r="H285" s="21">
        <f>countif('v2022'!$A:$A,A285)</f>
        <v>1</v>
      </c>
      <c r="I285" s="21">
        <f>countif('v2018'!$A:$A,A285)</f>
        <v>1</v>
      </c>
      <c r="J285" s="21">
        <f>countif('v2014'!$A:$A,A285)</f>
        <v>1</v>
      </c>
      <c r="K285" s="21">
        <f>countif('v2010'!$A:$A,A285)</f>
        <v>1</v>
      </c>
      <c r="L285" s="21">
        <f>countif('v2006'!$A:$A,A285)</f>
        <v>0</v>
      </c>
      <c r="M285" s="21">
        <f>countif('v2002'!$A:$A,A285)</f>
        <v>0</v>
      </c>
      <c r="N285" s="21">
        <f>countif('v1998'!$A:$A,A285)</f>
        <v>0</v>
      </c>
    </row>
    <row r="286">
      <c r="A286" s="17" t="s">
        <v>3738</v>
      </c>
      <c r="B286" s="17" t="s">
        <v>3730</v>
      </c>
      <c r="C286" s="23">
        <f>countif(Constants!A:A,B286)</f>
        <v>1</v>
      </c>
      <c r="E286" s="57" t="str">
        <f t="shared" si="1"/>
        <v>link</v>
      </c>
      <c r="G286" s="43">
        <f t="shared" si="2"/>
        <v>3</v>
      </c>
      <c r="H286" s="21">
        <f>countif('v2022'!$A:$A,A286)</f>
        <v>0</v>
      </c>
      <c r="I286" s="21">
        <f>countif('v2018'!$A:$A,A286)</f>
        <v>0</v>
      </c>
      <c r="J286" s="21">
        <f>countif('v2014'!$A:$A,A286)</f>
        <v>0</v>
      </c>
      <c r="K286" s="21">
        <f>countif('v2010'!$A:$A,A286)</f>
        <v>0</v>
      </c>
      <c r="L286" s="21">
        <f>countif('v2006'!$A:$A,A286)</f>
        <v>1</v>
      </c>
      <c r="M286" s="21">
        <f>countif('v2002'!$A:$A,A286)</f>
        <v>1</v>
      </c>
      <c r="N286" s="21">
        <f>countif('v1998'!$A:$A,A286)</f>
        <v>1</v>
      </c>
    </row>
    <row r="287">
      <c r="A287" s="17" t="s">
        <v>2473</v>
      </c>
      <c r="B287" s="17" t="s">
        <v>3746</v>
      </c>
      <c r="C287" s="23">
        <f>countif(Constants!A:A,B287)</f>
        <v>1</v>
      </c>
      <c r="E287" s="57" t="str">
        <f t="shared" si="1"/>
        <v>link</v>
      </c>
      <c r="G287" s="43">
        <f t="shared" si="2"/>
        <v>4</v>
      </c>
      <c r="H287" s="21">
        <f>countif('v2022'!$A:$A,A287)</f>
        <v>1</v>
      </c>
      <c r="I287" s="21">
        <f>countif('v2018'!$A:$A,A287)</f>
        <v>1</v>
      </c>
      <c r="J287" s="21">
        <f>countif('v2014'!$A:$A,A287)</f>
        <v>1</v>
      </c>
      <c r="K287" s="21">
        <f>countif('v2010'!$A:$A,A287)</f>
        <v>1</v>
      </c>
      <c r="L287" s="21">
        <f>countif('v2006'!$A:$A,A287)</f>
        <v>0</v>
      </c>
      <c r="M287" s="21">
        <f>countif('v2002'!$A:$A,A287)</f>
        <v>0</v>
      </c>
      <c r="N287" s="21">
        <f>countif('v1998'!$A:$A,A287)</f>
        <v>0</v>
      </c>
    </row>
    <row r="288">
      <c r="A288" s="17" t="s">
        <v>3757</v>
      </c>
      <c r="B288" s="17" t="s">
        <v>3746</v>
      </c>
      <c r="C288" s="23">
        <f>countif(Constants!A:A,B288)</f>
        <v>1</v>
      </c>
      <c r="E288" s="57" t="str">
        <f t="shared" si="1"/>
        <v>link</v>
      </c>
      <c r="G288" s="43">
        <f t="shared" si="2"/>
        <v>3</v>
      </c>
      <c r="H288" s="21">
        <f>countif('v2022'!$A:$A,A288)</f>
        <v>0</v>
      </c>
      <c r="I288" s="21">
        <f>countif('v2018'!$A:$A,A288)</f>
        <v>0</v>
      </c>
      <c r="J288" s="21">
        <f>countif('v2014'!$A:$A,A288)</f>
        <v>0</v>
      </c>
      <c r="K288" s="21">
        <f>countif('v2010'!$A:$A,A288)</f>
        <v>0</v>
      </c>
      <c r="L288" s="21">
        <f>countif('v2006'!$A:$A,A288)</f>
        <v>1</v>
      </c>
      <c r="M288" s="21">
        <f>countif('v2002'!$A:$A,A288)</f>
        <v>1</v>
      </c>
      <c r="N288" s="21">
        <f>countif('v1998'!$A:$A,A288)</f>
        <v>1</v>
      </c>
    </row>
    <row r="289">
      <c r="A289" s="17" t="s">
        <v>2478</v>
      </c>
      <c r="B289" s="17" t="s">
        <v>3763</v>
      </c>
      <c r="C289" s="23">
        <f>countif(Constants!A:A,B289)</f>
        <v>1</v>
      </c>
      <c r="E289" s="57" t="str">
        <f t="shared" si="1"/>
        <v>link</v>
      </c>
      <c r="G289" s="43">
        <f t="shared" si="2"/>
        <v>4</v>
      </c>
      <c r="H289" s="21">
        <f>countif('v2022'!$A:$A,A289)</f>
        <v>1</v>
      </c>
      <c r="I289" s="21">
        <f>countif('v2018'!$A:$A,A289)</f>
        <v>1</v>
      </c>
      <c r="J289" s="21">
        <f>countif('v2014'!$A:$A,A289)</f>
        <v>1</v>
      </c>
      <c r="K289" s="21">
        <f>countif('v2010'!$A:$A,A289)</f>
        <v>1</v>
      </c>
      <c r="L289" s="21">
        <f>countif('v2006'!$A:$A,A289)</f>
        <v>0</v>
      </c>
      <c r="M289" s="21">
        <f>countif('v2002'!$A:$A,A289)</f>
        <v>0</v>
      </c>
      <c r="N289" s="21">
        <f>countif('v1998'!$A:$A,A289)</f>
        <v>0</v>
      </c>
    </row>
    <row r="290">
      <c r="A290" s="17" t="s">
        <v>3767</v>
      </c>
      <c r="B290" s="17" t="s">
        <v>3763</v>
      </c>
      <c r="C290" s="23">
        <f>countif(Constants!A:A,B290)</f>
        <v>1</v>
      </c>
      <c r="E290" s="57" t="str">
        <f t="shared" si="1"/>
        <v>link</v>
      </c>
      <c r="G290" s="43">
        <f t="shared" si="2"/>
        <v>3</v>
      </c>
      <c r="H290" s="21">
        <f>countif('v2022'!$A:$A,A290)</f>
        <v>0</v>
      </c>
      <c r="I290" s="21">
        <f>countif('v2018'!$A:$A,A290)</f>
        <v>0</v>
      </c>
      <c r="J290" s="21">
        <f>countif('v2014'!$A:$A,A290)</f>
        <v>0</v>
      </c>
      <c r="K290" s="21">
        <f>countif('v2010'!$A:$A,A290)</f>
        <v>0</v>
      </c>
      <c r="L290" s="21">
        <f>countif('v2006'!$A:$A,A290)</f>
        <v>1</v>
      </c>
      <c r="M290" s="21">
        <f>countif('v2002'!$A:$A,A290)</f>
        <v>1</v>
      </c>
      <c r="N290" s="21">
        <f>countif('v1998'!$A:$A,A290)</f>
        <v>1</v>
      </c>
    </row>
    <row r="291">
      <c r="A291" s="17" t="s">
        <v>2483</v>
      </c>
      <c r="B291" s="17" t="s">
        <v>3771</v>
      </c>
      <c r="C291" s="23">
        <f>countif(Constants!A:A,B291)</f>
        <v>1</v>
      </c>
      <c r="E291" s="57" t="str">
        <f t="shared" si="1"/>
        <v>link</v>
      </c>
      <c r="G291" s="43">
        <f t="shared" si="2"/>
        <v>7</v>
      </c>
      <c r="H291" s="21">
        <f>countif('v2022'!$A:$A,A291)</f>
        <v>1</v>
      </c>
      <c r="I291" s="21">
        <f>countif('v2018'!$A:$A,A291)</f>
        <v>1</v>
      </c>
      <c r="J291" s="21">
        <f>countif('v2014'!$A:$A,A291)</f>
        <v>1</v>
      </c>
      <c r="K291" s="21">
        <f>countif('v2010'!$A:$A,A291)</f>
        <v>1</v>
      </c>
      <c r="L291" s="21">
        <f>countif('v2006'!$A:$A,A291)</f>
        <v>1</v>
      </c>
      <c r="M291" s="21">
        <f>countif('v2002'!$A:$A,A291)</f>
        <v>1</v>
      </c>
      <c r="N291" s="21">
        <f>countif('v1998'!$A:$A,A291)</f>
        <v>1</v>
      </c>
    </row>
    <row r="292">
      <c r="A292" s="17" t="s">
        <v>2490</v>
      </c>
      <c r="B292" s="17" t="s">
        <v>3773</v>
      </c>
      <c r="C292" s="23">
        <f>countif(Constants!A:A,B292)</f>
        <v>1</v>
      </c>
      <c r="E292" s="57" t="str">
        <f t="shared" si="1"/>
        <v>link</v>
      </c>
      <c r="G292" s="43">
        <f t="shared" si="2"/>
        <v>7</v>
      </c>
      <c r="H292" s="21">
        <f>countif('v2022'!$A:$A,A292)</f>
        <v>1</v>
      </c>
      <c r="I292" s="21">
        <f>countif('v2018'!$A:$A,A292)</f>
        <v>1</v>
      </c>
      <c r="J292" s="21">
        <f>countif('v2014'!$A:$A,A292)</f>
        <v>1</v>
      </c>
      <c r="K292" s="21">
        <f>countif('v2010'!$A:$A,A292)</f>
        <v>1</v>
      </c>
      <c r="L292" s="21">
        <f>countif('v2006'!$A:$A,A292)</f>
        <v>1</v>
      </c>
      <c r="M292" s="21">
        <f>countif('v2002'!$A:$A,A292)</f>
        <v>1</v>
      </c>
      <c r="N292" s="21">
        <f>countif('v1998'!$A:$A,A292)</f>
        <v>1</v>
      </c>
    </row>
    <row r="293">
      <c r="A293" s="17" t="s">
        <v>2495</v>
      </c>
      <c r="B293" s="17" t="s">
        <v>3776</v>
      </c>
      <c r="C293" s="23">
        <f>countif(Constants!A:A,B293)</f>
        <v>1</v>
      </c>
      <c r="E293" s="57" t="str">
        <f t="shared" si="1"/>
        <v>link</v>
      </c>
      <c r="G293" s="43">
        <f t="shared" si="2"/>
        <v>7</v>
      </c>
      <c r="H293" s="21">
        <f>countif('v2022'!$A:$A,A293)</f>
        <v>1</v>
      </c>
      <c r="I293" s="21">
        <f>countif('v2018'!$A:$A,A293)</f>
        <v>1</v>
      </c>
      <c r="J293" s="21">
        <f>countif('v2014'!$A:$A,A293)</f>
        <v>1</v>
      </c>
      <c r="K293" s="21">
        <f>countif('v2010'!$A:$A,A293)</f>
        <v>1</v>
      </c>
      <c r="L293" s="21">
        <f>countif('v2006'!$A:$A,A293)</f>
        <v>1</v>
      </c>
      <c r="M293" s="21">
        <f>countif('v2002'!$A:$A,A293)</f>
        <v>1</v>
      </c>
      <c r="N293" s="21">
        <f>countif('v1998'!$A:$A,A293)</f>
        <v>1</v>
      </c>
    </row>
    <row r="294">
      <c r="A294" s="17" t="s">
        <v>2504</v>
      </c>
      <c r="B294" s="17" t="s">
        <v>3781</v>
      </c>
      <c r="C294" s="23">
        <f>countif(Constants!A:A,B294)</f>
        <v>1</v>
      </c>
      <c r="E294" s="57" t="str">
        <f t="shared" si="1"/>
        <v>link</v>
      </c>
      <c r="G294" s="43">
        <f t="shared" si="2"/>
        <v>7</v>
      </c>
      <c r="H294" s="21">
        <f>countif('v2022'!$A:$A,A294)</f>
        <v>1</v>
      </c>
      <c r="I294" s="21">
        <f>countif('v2018'!$A:$A,A294)</f>
        <v>1</v>
      </c>
      <c r="J294" s="21">
        <f>countif('v2014'!$A:$A,A294)</f>
        <v>1</v>
      </c>
      <c r="K294" s="21">
        <f>countif('v2010'!$A:$A,A294)</f>
        <v>1</v>
      </c>
      <c r="L294" s="21">
        <f>countif('v2006'!$A:$A,A294)</f>
        <v>1</v>
      </c>
      <c r="M294" s="21">
        <f>countif('v2002'!$A:$A,A294)</f>
        <v>1</v>
      </c>
      <c r="N294" s="21">
        <f>countif('v1998'!$A:$A,A294)</f>
        <v>1</v>
      </c>
    </row>
    <row r="295">
      <c r="A295" s="17" t="s">
        <v>2508</v>
      </c>
      <c r="B295" s="17" t="s">
        <v>3789</v>
      </c>
      <c r="C295" s="23">
        <f>countif(Constants!A:A,B295)</f>
        <v>1</v>
      </c>
      <c r="E295" s="57" t="str">
        <f t="shared" si="1"/>
        <v>link</v>
      </c>
      <c r="G295" s="43">
        <f t="shared" si="2"/>
        <v>7</v>
      </c>
      <c r="H295" s="21">
        <f>countif('v2022'!$A:$A,A295)</f>
        <v>1</v>
      </c>
      <c r="I295" s="21">
        <f>countif('v2018'!$A:$A,A295)</f>
        <v>1</v>
      </c>
      <c r="J295" s="21">
        <f>countif('v2014'!$A:$A,A295)</f>
        <v>1</v>
      </c>
      <c r="K295" s="21">
        <f>countif('v2010'!$A:$A,A295)</f>
        <v>1</v>
      </c>
      <c r="L295" s="21">
        <f>countif('v2006'!$A:$A,A295)</f>
        <v>1</v>
      </c>
      <c r="M295" s="21">
        <f>countif('v2002'!$A:$A,A295)</f>
        <v>1</v>
      </c>
      <c r="N295" s="21">
        <f>countif('v1998'!$A:$A,A295)</f>
        <v>1</v>
      </c>
    </row>
    <row r="296">
      <c r="A296" s="17" t="s">
        <v>2546</v>
      </c>
      <c r="B296" s="17" t="s">
        <v>3799</v>
      </c>
      <c r="C296" s="23">
        <f>countif(Constants!A:A,B296)</f>
        <v>1</v>
      </c>
      <c r="E296" s="57" t="str">
        <f t="shared" si="1"/>
        <v>link</v>
      </c>
      <c r="G296" s="43">
        <f t="shared" si="2"/>
        <v>2</v>
      </c>
      <c r="H296" s="21">
        <f>countif('v2022'!$A:$A,A296)</f>
        <v>1</v>
      </c>
      <c r="I296" s="21">
        <f>countif('v2018'!$A:$A,A296)</f>
        <v>1</v>
      </c>
      <c r="J296" s="21">
        <f>countif('v2014'!$A:$A,A296)</f>
        <v>0</v>
      </c>
      <c r="K296" s="21">
        <f>countif('v2010'!$A:$A,A296)</f>
        <v>0</v>
      </c>
      <c r="L296" s="21">
        <f>countif('v2006'!$A:$A,A296)</f>
        <v>0</v>
      </c>
      <c r="M296" s="21">
        <f>countif('v2002'!$A:$A,A296)</f>
        <v>0</v>
      </c>
      <c r="N296" s="21">
        <f>countif('v1998'!$A:$A,A296)</f>
        <v>0</v>
      </c>
    </row>
    <row r="297">
      <c r="A297" s="17" t="s">
        <v>2556</v>
      </c>
      <c r="B297" s="17" t="s">
        <v>3805</v>
      </c>
      <c r="C297" s="23">
        <f>countif(Constants!A:A,B297)</f>
        <v>1</v>
      </c>
      <c r="E297" s="57" t="str">
        <f t="shared" si="1"/>
        <v>link</v>
      </c>
      <c r="G297" s="43">
        <f t="shared" si="2"/>
        <v>4</v>
      </c>
      <c r="H297" s="21">
        <f>countif('v2022'!$A:$A,A297)</f>
        <v>1</v>
      </c>
      <c r="I297" s="21">
        <f>countif('v2018'!$A:$A,A297)</f>
        <v>1</v>
      </c>
      <c r="J297" s="21">
        <f>countif('v2014'!$A:$A,A297)</f>
        <v>1</v>
      </c>
      <c r="K297" s="21">
        <f>countif('v2010'!$A:$A,A297)</f>
        <v>1</v>
      </c>
      <c r="L297" s="21">
        <f>countif('v2006'!$A:$A,A297)</f>
        <v>0</v>
      </c>
      <c r="M297" s="21">
        <f>countif('v2002'!$A:$A,A297)</f>
        <v>0</v>
      </c>
      <c r="N297" s="21">
        <f>countif('v1998'!$A:$A,A297)</f>
        <v>0</v>
      </c>
    </row>
    <row r="298">
      <c r="A298" s="17" t="s">
        <v>3817</v>
      </c>
      <c r="B298" s="17" t="s">
        <v>3805</v>
      </c>
      <c r="C298" s="23">
        <f>countif(Constants!A:A,B298)</f>
        <v>1</v>
      </c>
      <c r="E298" s="57" t="str">
        <f t="shared" si="1"/>
        <v>link</v>
      </c>
      <c r="G298" s="43">
        <f t="shared" si="2"/>
        <v>3</v>
      </c>
      <c r="H298" s="21">
        <f>countif('v2022'!$A:$A,A298)</f>
        <v>0</v>
      </c>
      <c r="I298" s="21">
        <f>countif('v2018'!$A:$A,A298)</f>
        <v>0</v>
      </c>
      <c r="J298" s="21">
        <f>countif('v2014'!$A:$A,A298)</f>
        <v>0</v>
      </c>
      <c r="K298" s="21">
        <f>countif('v2010'!$A:$A,A298)</f>
        <v>0</v>
      </c>
      <c r="L298" s="21">
        <f>countif('v2006'!$A:$A,A298)</f>
        <v>1</v>
      </c>
      <c r="M298" s="21">
        <f>countif('v2002'!$A:$A,A298)</f>
        <v>1</v>
      </c>
      <c r="N298" s="21">
        <f>countif('v1998'!$A:$A,A298)</f>
        <v>1</v>
      </c>
    </row>
    <row r="299">
      <c r="A299" s="17" t="s">
        <v>2443</v>
      </c>
      <c r="B299" s="17" t="s">
        <v>3694</v>
      </c>
      <c r="C299" s="23">
        <f>countif(Constants!A:A,B299)</f>
        <v>1</v>
      </c>
      <c r="E299" s="57" t="str">
        <f t="shared" si="1"/>
        <v>link</v>
      </c>
      <c r="G299" s="43">
        <f t="shared" si="2"/>
        <v>4</v>
      </c>
      <c r="H299" s="21">
        <f>countif('v2022'!$A:$A,A299)</f>
        <v>1</v>
      </c>
      <c r="I299" s="21">
        <f>countif('v2018'!$A:$A,A299)</f>
        <v>1</v>
      </c>
      <c r="J299" s="21">
        <f>countif('v2014'!$A:$A,A299)</f>
        <v>1</v>
      </c>
      <c r="K299" s="21">
        <f>countif('v2010'!$A:$A,A299)</f>
        <v>1</v>
      </c>
      <c r="L299" s="21">
        <f>countif('v2006'!$A:$A,A299)</f>
        <v>0</v>
      </c>
      <c r="M299" s="21">
        <f>countif('v2002'!$A:$A,A299)</f>
        <v>0</v>
      </c>
      <c r="N299" s="21">
        <f>countif('v1998'!$A:$A,A299)</f>
        <v>0</v>
      </c>
    </row>
    <row r="300">
      <c r="A300" s="17" t="s">
        <v>3834</v>
      </c>
      <c r="B300" s="17" t="s">
        <v>3694</v>
      </c>
      <c r="C300" s="23">
        <f>countif(Constants!A:A,B300)</f>
        <v>1</v>
      </c>
      <c r="E300" s="57" t="str">
        <f t="shared" si="1"/>
        <v>link</v>
      </c>
      <c r="G300" s="43">
        <f t="shared" si="2"/>
        <v>3</v>
      </c>
      <c r="H300" s="21">
        <f>countif('v2022'!$A:$A,A300)</f>
        <v>0</v>
      </c>
      <c r="I300" s="21">
        <f>countif('v2018'!$A:$A,A300)</f>
        <v>0</v>
      </c>
      <c r="J300" s="21">
        <f>countif('v2014'!$A:$A,A300)</f>
        <v>0</v>
      </c>
      <c r="K300" s="21">
        <f>countif('v2010'!$A:$A,A300)</f>
        <v>0</v>
      </c>
      <c r="L300" s="21">
        <f>countif('v2006'!$A:$A,A300)</f>
        <v>1</v>
      </c>
      <c r="M300" s="21">
        <f>countif('v2002'!$A:$A,A300)</f>
        <v>1</v>
      </c>
      <c r="N300" s="21">
        <f>countif('v1998'!$A:$A,A300)</f>
        <v>1</v>
      </c>
    </row>
    <row r="301">
      <c r="A301" s="17" t="s">
        <v>2448</v>
      </c>
      <c r="B301" s="17" t="s">
        <v>3708</v>
      </c>
      <c r="C301" s="23">
        <f>countif(Constants!A:A,B301)</f>
        <v>1</v>
      </c>
      <c r="E301" s="57" t="str">
        <f t="shared" si="1"/>
        <v>link</v>
      </c>
      <c r="G301" s="43">
        <f t="shared" si="2"/>
        <v>7</v>
      </c>
      <c r="H301" s="21">
        <f>countif('v2022'!$A:$A,A301)</f>
        <v>1</v>
      </c>
      <c r="I301" s="21">
        <f>countif('v2018'!$A:$A,A301)</f>
        <v>1</v>
      </c>
      <c r="J301" s="21">
        <f>countif('v2014'!$A:$A,A301)</f>
        <v>1</v>
      </c>
      <c r="K301" s="21">
        <f>countif('v2010'!$A:$A,A301)</f>
        <v>1</v>
      </c>
      <c r="L301" s="21">
        <f>countif('v2006'!$A:$A,A301)</f>
        <v>1</v>
      </c>
      <c r="M301" s="21">
        <f>countif('v2002'!$A:$A,A301)</f>
        <v>1</v>
      </c>
      <c r="N301" s="21">
        <f>countif('v1998'!$A:$A,A301)</f>
        <v>1</v>
      </c>
    </row>
    <row r="302">
      <c r="A302" s="17" t="s">
        <v>2513</v>
      </c>
      <c r="B302" s="17" t="s">
        <v>3826</v>
      </c>
      <c r="C302" s="23">
        <f>countif(Constants!A:A,B302)</f>
        <v>1</v>
      </c>
      <c r="E302" s="57" t="str">
        <f t="shared" si="1"/>
        <v>link</v>
      </c>
      <c r="G302" s="43">
        <f t="shared" si="2"/>
        <v>7</v>
      </c>
      <c r="H302" s="21">
        <f>countif('v2022'!$A:$A,A302)</f>
        <v>1</v>
      </c>
      <c r="I302" s="21">
        <f>countif('v2018'!$A:$A,A302)</f>
        <v>1</v>
      </c>
      <c r="J302" s="21">
        <f>countif('v2014'!$A:$A,A302)</f>
        <v>1</v>
      </c>
      <c r="K302" s="21">
        <f>countif('v2010'!$A:$A,A302)</f>
        <v>1</v>
      </c>
      <c r="L302" s="21">
        <f>countif('v2006'!$A:$A,A302)</f>
        <v>1</v>
      </c>
      <c r="M302" s="21">
        <f>countif('v2002'!$A:$A,A302)</f>
        <v>1</v>
      </c>
      <c r="N302" s="21">
        <f>countif('v1998'!$A:$A,A302)</f>
        <v>1</v>
      </c>
    </row>
    <row r="303">
      <c r="A303" s="17" t="s">
        <v>2516</v>
      </c>
      <c r="B303" s="17" t="s">
        <v>3840</v>
      </c>
      <c r="C303" s="23">
        <f>countif(Constants!A:A,B303)</f>
        <v>1</v>
      </c>
      <c r="E303" s="57" t="str">
        <f t="shared" si="1"/>
        <v>link</v>
      </c>
      <c r="G303" s="43">
        <f t="shared" si="2"/>
        <v>4</v>
      </c>
      <c r="H303" s="21">
        <f>countif('v2022'!$A:$A,A303)</f>
        <v>1</v>
      </c>
      <c r="I303" s="21">
        <f>countif('v2018'!$A:$A,A303)</f>
        <v>1</v>
      </c>
      <c r="J303" s="21">
        <f>countif('v2014'!$A:$A,A303)</f>
        <v>1</v>
      </c>
      <c r="K303" s="21">
        <f>countif('v2010'!$A:$A,A303)</f>
        <v>1</v>
      </c>
      <c r="L303" s="21">
        <f>countif('v2006'!$A:$A,A303)</f>
        <v>0</v>
      </c>
      <c r="M303" s="21">
        <f>countif('v2002'!$A:$A,A303)</f>
        <v>0</v>
      </c>
      <c r="N303" s="21">
        <f>countif('v1998'!$A:$A,A303)</f>
        <v>0</v>
      </c>
    </row>
    <row r="304">
      <c r="A304" s="17" t="s">
        <v>3868</v>
      </c>
      <c r="B304" s="17" t="s">
        <v>3840</v>
      </c>
      <c r="C304" s="23">
        <f>countif(Constants!A:A,B304)</f>
        <v>1</v>
      </c>
      <c r="E304" s="57" t="str">
        <f t="shared" si="1"/>
        <v>link</v>
      </c>
      <c r="G304" s="43">
        <f t="shared" si="2"/>
        <v>3</v>
      </c>
      <c r="H304" s="21">
        <f>countif('v2022'!$A:$A,A304)</f>
        <v>0</v>
      </c>
      <c r="I304" s="21">
        <f>countif('v2018'!$A:$A,A304)</f>
        <v>0</v>
      </c>
      <c r="J304" s="21">
        <f>countif('v2014'!$A:$A,A304)</f>
        <v>0</v>
      </c>
      <c r="K304" s="21">
        <f>countif('v2010'!$A:$A,A304)</f>
        <v>0</v>
      </c>
      <c r="L304" s="21">
        <f>countif('v2006'!$A:$A,A304)</f>
        <v>1</v>
      </c>
      <c r="M304" s="21">
        <f>countif('v2002'!$A:$A,A304)</f>
        <v>1</v>
      </c>
      <c r="N304" s="21">
        <f>countif('v1998'!$A:$A,A304)</f>
        <v>1</v>
      </c>
    </row>
    <row r="305">
      <c r="A305" s="17" t="s">
        <v>2523</v>
      </c>
      <c r="B305" s="17" t="s">
        <v>3853</v>
      </c>
      <c r="C305" s="23">
        <f>countif(Constants!A:A,B305)</f>
        <v>1</v>
      </c>
      <c r="E305" s="57" t="str">
        <f t="shared" si="1"/>
        <v>link</v>
      </c>
      <c r="G305" s="43">
        <f t="shared" si="2"/>
        <v>4</v>
      </c>
      <c r="H305" s="21">
        <f>countif('v2022'!$A:$A,A305)</f>
        <v>1</v>
      </c>
      <c r="I305" s="21">
        <f>countif('v2018'!$A:$A,A305)</f>
        <v>1</v>
      </c>
      <c r="J305" s="21">
        <f>countif('v2014'!$A:$A,A305)</f>
        <v>1</v>
      </c>
      <c r="K305" s="21">
        <f>countif('v2010'!$A:$A,A305)</f>
        <v>1</v>
      </c>
      <c r="L305" s="21">
        <f>countif('v2006'!$A:$A,A305)</f>
        <v>0</v>
      </c>
      <c r="M305" s="21">
        <f>countif('v2002'!$A:$A,A305)</f>
        <v>0</v>
      </c>
      <c r="N305" s="21">
        <f>countif('v1998'!$A:$A,A305)</f>
        <v>0</v>
      </c>
    </row>
    <row r="306">
      <c r="A306" s="17" t="s">
        <v>2528</v>
      </c>
      <c r="B306" s="17" t="s">
        <v>3863</v>
      </c>
      <c r="C306" s="23">
        <f>countif(Constants!A:A,B306)</f>
        <v>1</v>
      </c>
      <c r="E306" s="57" t="str">
        <f t="shared" si="1"/>
        <v>link</v>
      </c>
      <c r="G306" s="43">
        <f t="shared" si="2"/>
        <v>4</v>
      </c>
      <c r="H306" s="21">
        <f>countif('v2022'!$A:$A,A306)</f>
        <v>1</v>
      </c>
      <c r="I306" s="21">
        <f>countif('v2018'!$A:$A,A306)</f>
        <v>1</v>
      </c>
      <c r="J306" s="21">
        <f>countif('v2014'!$A:$A,A306)</f>
        <v>1</v>
      </c>
      <c r="K306" s="21">
        <f>countif('v2010'!$A:$A,A306)</f>
        <v>1</v>
      </c>
      <c r="L306" s="21">
        <f>countif('v2006'!$A:$A,A306)</f>
        <v>0</v>
      </c>
      <c r="M306" s="21">
        <f>countif('v2002'!$A:$A,A306)</f>
        <v>0</v>
      </c>
      <c r="N306" s="21">
        <f>countif('v1998'!$A:$A,A306)</f>
        <v>0</v>
      </c>
    </row>
    <row r="307">
      <c r="A307" s="17" t="s">
        <v>2532</v>
      </c>
      <c r="B307" s="17" t="s">
        <v>3875</v>
      </c>
      <c r="C307" s="23">
        <f>countif(Constants!A:A,B307)</f>
        <v>1</v>
      </c>
      <c r="E307" s="57" t="str">
        <f t="shared" si="1"/>
        <v>link</v>
      </c>
      <c r="G307" s="43">
        <f t="shared" si="2"/>
        <v>4</v>
      </c>
      <c r="H307" s="21">
        <f>countif('v2022'!$A:$A,A307)</f>
        <v>1</v>
      </c>
      <c r="I307" s="21">
        <f>countif('v2018'!$A:$A,A307)</f>
        <v>1</v>
      </c>
      <c r="J307" s="21">
        <f>countif('v2014'!$A:$A,A307)</f>
        <v>1</v>
      </c>
      <c r="K307" s="21">
        <f>countif('v2010'!$A:$A,A307)</f>
        <v>1</v>
      </c>
      <c r="L307" s="21">
        <f>countif('v2006'!$A:$A,A307)</f>
        <v>0</v>
      </c>
      <c r="M307" s="21">
        <f>countif('v2002'!$A:$A,A307)</f>
        <v>0</v>
      </c>
      <c r="N307" s="21">
        <f>countif('v1998'!$A:$A,A307)</f>
        <v>0</v>
      </c>
    </row>
    <row r="308">
      <c r="A308" s="17" t="s">
        <v>2538</v>
      </c>
      <c r="B308" s="17" t="s">
        <v>3886</v>
      </c>
      <c r="C308" s="23">
        <f>countif(Constants!A:A,B308)</f>
        <v>1</v>
      </c>
      <c r="E308" s="57" t="str">
        <f t="shared" si="1"/>
        <v>link</v>
      </c>
      <c r="G308" s="43">
        <f t="shared" si="2"/>
        <v>4</v>
      </c>
      <c r="H308" s="21">
        <f>countif('v2022'!$A:$A,A308)</f>
        <v>1</v>
      </c>
      <c r="I308" s="21">
        <f>countif('v2018'!$A:$A,A308)</f>
        <v>1</v>
      </c>
      <c r="J308" s="21">
        <f>countif('v2014'!$A:$A,A308)</f>
        <v>1</v>
      </c>
      <c r="K308" s="21">
        <f>countif('v2010'!$A:$A,A308)</f>
        <v>1</v>
      </c>
      <c r="L308" s="21">
        <f>countif('v2006'!$A:$A,A308)</f>
        <v>0</v>
      </c>
      <c r="M308" s="21">
        <f>countif('v2002'!$A:$A,A308)</f>
        <v>0</v>
      </c>
      <c r="N308" s="21">
        <f>countif('v1998'!$A:$A,A308)</f>
        <v>0</v>
      </c>
    </row>
    <row r="309">
      <c r="A309" s="17" t="s">
        <v>2544</v>
      </c>
      <c r="B309" s="17" t="s">
        <v>3902</v>
      </c>
      <c r="C309" s="23">
        <f>countif(Constants!A:A,B309)</f>
        <v>1</v>
      </c>
      <c r="E309" s="57" t="str">
        <f t="shared" si="1"/>
        <v>link</v>
      </c>
      <c r="G309" s="43">
        <f t="shared" si="2"/>
        <v>7</v>
      </c>
      <c r="H309" s="21">
        <f>countif('v2022'!$A:$A,A309)</f>
        <v>1</v>
      </c>
      <c r="I309" s="21">
        <f>countif('v2018'!$A:$A,A309)</f>
        <v>1</v>
      </c>
      <c r="J309" s="21">
        <f>countif('v2014'!$A:$A,A309)</f>
        <v>1</v>
      </c>
      <c r="K309" s="21">
        <f>countif('v2010'!$A:$A,A309)</f>
        <v>1</v>
      </c>
      <c r="L309" s="21">
        <f>countif('v2006'!$A:$A,A309)</f>
        <v>1</v>
      </c>
      <c r="M309" s="21">
        <f>countif('v2002'!$A:$A,A309)</f>
        <v>1</v>
      </c>
      <c r="N309" s="21">
        <f>countif('v1998'!$A:$A,A309)</f>
        <v>1</v>
      </c>
    </row>
    <row r="310">
      <c r="A310" s="17" t="s">
        <v>2551</v>
      </c>
      <c r="B310" s="17" t="s">
        <v>3919</v>
      </c>
      <c r="C310" s="23">
        <f>countif(Constants!A:A,B310)</f>
        <v>1</v>
      </c>
      <c r="E310" s="57" t="str">
        <f t="shared" si="1"/>
        <v>link</v>
      </c>
      <c r="G310" s="43">
        <f t="shared" si="2"/>
        <v>7</v>
      </c>
      <c r="H310" s="21">
        <f>countif('v2022'!$A:$A,A310)</f>
        <v>1</v>
      </c>
      <c r="I310" s="21">
        <f>countif('v2018'!$A:$A,A310)</f>
        <v>1</v>
      </c>
      <c r="J310" s="21">
        <f>countif('v2014'!$A:$A,A310)</f>
        <v>1</v>
      </c>
      <c r="K310" s="21">
        <f>countif('v2010'!$A:$A,A310)</f>
        <v>1</v>
      </c>
      <c r="L310" s="21">
        <f>countif('v2006'!$A:$A,A310)</f>
        <v>1</v>
      </c>
      <c r="M310" s="21">
        <f>countif('v2002'!$A:$A,A310)</f>
        <v>1</v>
      </c>
      <c r="N310" s="21">
        <f>countif('v1998'!$A:$A,A310)</f>
        <v>1</v>
      </c>
    </row>
    <row r="311">
      <c r="A311" s="17" t="s">
        <v>2558</v>
      </c>
      <c r="B311" s="17" t="s">
        <v>3925</v>
      </c>
      <c r="C311" s="23">
        <f>countif(Constants!A:A,B311)</f>
        <v>1</v>
      </c>
      <c r="E311" s="57" t="str">
        <f t="shared" si="1"/>
        <v>link</v>
      </c>
      <c r="G311" s="43">
        <f t="shared" si="2"/>
        <v>7</v>
      </c>
      <c r="H311" s="21">
        <f>countif('v2022'!$A:$A,A311)</f>
        <v>1</v>
      </c>
      <c r="I311" s="21">
        <f>countif('v2018'!$A:$A,A311)</f>
        <v>1</v>
      </c>
      <c r="J311" s="21">
        <f>countif('v2014'!$A:$A,A311)</f>
        <v>1</v>
      </c>
      <c r="K311" s="21">
        <f>countif('v2010'!$A:$A,A311)</f>
        <v>1</v>
      </c>
      <c r="L311" s="21">
        <f>countif('v2006'!$A:$A,A311)</f>
        <v>1</v>
      </c>
      <c r="M311" s="21">
        <f>countif('v2002'!$A:$A,A311)</f>
        <v>1</v>
      </c>
      <c r="N311" s="21">
        <f>countif('v1998'!$A:$A,A311)</f>
        <v>1</v>
      </c>
    </row>
    <row r="312">
      <c r="A312" s="17" t="s">
        <v>2566</v>
      </c>
      <c r="B312" s="17" t="s">
        <v>3932</v>
      </c>
      <c r="C312" s="23">
        <f>countif(Constants!A:A,B312)</f>
        <v>1</v>
      </c>
      <c r="E312" s="57" t="str">
        <f t="shared" si="1"/>
        <v>link</v>
      </c>
      <c r="G312" s="43">
        <f t="shared" si="2"/>
        <v>7</v>
      </c>
      <c r="H312" s="21">
        <f>countif('v2022'!$A:$A,A312)</f>
        <v>1</v>
      </c>
      <c r="I312" s="21">
        <f>countif('v2018'!$A:$A,A312)</f>
        <v>1</v>
      </c>
      <c r="J312" s="21">
        <f>countif('v2014'!$A:$A,A312)</f>
        <v>1</v>
      </c>
      <c r="K312" s="21">
        <f>countif('v2010'!$A:$A,A312)</f>
        <v>1</v>
      </c>
      <c r="L312" s="21">
        <f>countif('v2006'!$A:$A,A312)</f>
        <v>1</v>
      </c>
      <c r="M312" s="21">
        <f>countif('v2002'!$A:$A,A312)</f>
        <v>1</v>
      </c>
      <c r="N312" s="21">
        <f>countif('v1998'!$A:$A,A312)</f>
        <v>1</v>
      </c>
    </row>
    <row r="313">
      <c r="A313" s="17" t="s">
        <v>2572</v>
      </c>
      <c r="B313" s="17" t="s">
        <v>3943</v>
      </c>
      <c r="C313" s="23">
        <f>countif(Constants!A:A,B313)</f>
        <v>1</v>
      </c>
      <c r="E313" s="57" t="str">
        <f t="shared" si="1"/>
        <v>link</v>
      </c>
      <c r="G313" s="43">
        <f t="shared" si="2"/>
        <v>7</v>
      </c>
      <c r="H313" s="21">
        <f>countif('v2022'!$A:$A,A313)</f>
        <v>1</v>
      </c>
      <c r="I313" s="21">
        <f>countif('v2018'!$A:$A,A313)</f>
        <v>1</v>
      </c>
      <c r="J313" s="21">
        <f>countif('v2014'!$A:$A,A313)</f>
        <v>1</v>
      </c>
      <c r="K313" s="21">
        <f>countif('v2010'!$A:$A,A313)</f>
        <v>1</v>
      </c>
      <c r="L313" s="21">
        <f>countif('v2006'!$A:$A,A313)</f>
        <v>1</v>
      </c>
      <c r="M313" s="21">
        <f>countif('v2002'!$A:$A,A313)</f>
        <v>1</v>
      </c>
      <c r="N313" s="21">
        <f>countif('v1998'!$A:$A,A313)</f>
        <v>1</v>
      </c>
    </row>
    <row r="314">
      <c r="A314" s="17" t="s">
        <v>2578</v>
      </c>
      <c r="B314" s="17" t="s">
        <v>3953</v>
      </c>
      <c r="C314" s="23">
        <f>countif(Constants!A:A,B314)</f>
        <v>1</v>
      </c>
      <c r="E314" s="57" t="str">
        <f t="shared" si="1"/>
        <v>link</v>
      </c>
      <c r="G314" s="43">
        <f t="shared" si="2"/>
        <v>7</v>
      </c>
      <c r="H314" s="21">
        <f>countif('v2022'!$A:$A,A314)</f>
        <v>1</v>
      </c>
      <c r="I314" s="21">
        <f>countif('v2018'!$A:$A,A314)</f>
        <v>1</v>
      </c>
      <c r="J314" s="21">
        <f>countif('v2014'!$A:$A,A314)</f>
        <v>1</v>
      </c>
      <c r="K314" s="21">
        <f>countif('v2010'!$A:$A,A314)</f>
        <v>1</v>
      </c>
      <c r="L314" s="21">
        <f>countif('v2006'!$A:$A,A314)</f>
        <v>1</v>
      </c>
      <c r="M314" s="21">
        <f>countif('v2002'!$A:$A,A314)</f>
        <v>1</v>
      </c>
      <c r="N314" s="21">
        <f>countif('v1998'!$A:$A,A314)</f>
        <v>1</v>
      </c>
    </row>
    <row r="315">
      <c r="A315" s="17" t="s">
        <v>2582</v>
      </c>
      <c r="B315" s="17" t="s">
        <v>3962</v>
      </c>
      <c r="C315" s="23">
        <f>countif(Constants!A:A,B315)</f>
        <v>1</v>
      </c>
      <c r="E315" s="57" t="str">
        <f t="shared" si="1"/>
        <v>link</v>
      </c>
      <c r="G315" s="43">
        <f t="shared" si="2"/>
        <v>2</v>
      </c>
      <c r="H315" s="21">
        <f>countif('v2022'!$A:$A,A315)</f>
        <v>1</v>
      </c>
      <c r="I315" s="21">
        <f>countif('v2018'!$A:$A,A315)</f>
        <v>1</v>
      </c>
      <c r="J315" s="21">
        <f>countif('v2014'!$A:$A,A315)</f>
        <v>0</v>
      </c>
      <c r="K315" s="21">
        <f>countif('v2010'!$A:$A,A315)</f>
        <v>0</v>
      </c>
      <c r="L315" s="21">
        <f>countif('v2006'!$A:$A,A315)</f>
        <v>0</v>
      </c>
      <c r="M315" s="21">
        <f>countif('v2002'!$A:$A,A315)</f>
        <v>0</v>
      </c>
      <c r="N315" s="21">
        <f>countif('v1998'!$A:$A,A315)</f>
        <v>0</v>
      </c>
    </row>
    <row r="316">
      <c r="A316" s="17" t="s">
        <v>3969</v>
      </c>
      <c r="B316" s="17" t="s">
        <v>3962</v>
      </c>
      <c r="C316" s="23">
        <f>countif(Constants!A:A,B316)</f>
        <v>1</v>
      </c>
      <c r="E316" s="57" t="str">
        <f t="shared" si="1"/>
        <v>link</v>
      </c>
      <c r="G316" s="43">
        <f t="shared" si="2"/>
        <v>5</v>
      </c>
      <c r="H316" s="21">
        <f>countif('v2022'!$A:$A,A316)</f>
        <v>0</v>
      </c>
      <c r="I316" s="21">
        <f>countif('v2018'!$A:$A,A316)</f>
        <v>0</v>
      </c>
      <c r="J316" s="21">
        <f>countif('v2014'!$A:$A,A316)</f>
        <v>1</v>
      </c>
      <c r="K316" s="21">
        <f>countif('v2010'!$A:$A,A316)</f>
        <v>1</v>
      </c>
      <c r="L316" s="21">
        <f>countif('v2006'!$A:$A,A316)</f>
        <v>1</v>
      </c>
      <c r="M316" s="21">
        <f>countif('v2002'!$A:$A,A316)</f>
        <v>1</v>
      </c>
      <c r="N316" s="21">
        <f>countif('v1998'!$A:$A,A316)</f>
        <v>1</v>
      </c>
    </row>
    <row r="317">
      <c r="A317" s="17" t="s">
        <v>2586</v>
      </c>
      <c r="B317" s="17" t="s">
        <v>3977</v>
      </c>
      <c r="C317" s="23">
        <f>countif(Constants!A:A,B317)</f>
        <v>1</v>
      </c>
      <c r="E317" s="57" t="str">
        <f t="shared" si="1"/>
        <v>link</v>
      </c>
      <c r="G317" s="43">
        <f t="shared" si="2"/>
        <v>7</v>
      </c>
      <c r="H317" s="21">
        <f>countif('v2022'!$A:$A,A317)</f>
        <v>1</v>
      </c>
      <c r="I317" s="21">
        <f>countif('v2018'!$A:$A,A317)</f>
        <v>1</v>
      </c>
      <c r="J317" s="21">
        <f>countif('v2014'!$A:$A,A317)</f>
        <v>1</v>
      </c>
      <c r="K317" s="21">
        <f>countif('v2010'!$A:$A,A317)</f>
        <v>1</v>
      </c>
      <c r="L317" s="21">
        <f>countif('v2006'!$A:$A,A317)</f>
        <v>1</v>
      </c>
      <c r="M317" s="21">
        <f>countif('v2002'!$A:$A,A317)</f>
        <v>1</v>
      </c>
      <c r="N317" s="21">
        <f>countif('v1998'!$A:$A,A317)</f>
        <v>1</v>
      </c>
    </row>
    <row r="318">
      <c r="A318" s="17" t="s">
        <v>2589</v>
      </c>
      <c r="B318" s="17" t="s">
        <v>3986</v>
      </c>
      <c r="C318" s="23">
        <f>countif(Constants!A:A,B318)</f>
        <v>1</v>
      </c>
      <c r="E318" s="57" t="str">
        <f t="shared" si="1"/>
        <v>link</v>
      </c>
      <c r="G318" s="43">
        <f t="shared" si="2"/>
        <v>7</v>
      </c>
      <c r="H318" s="21">
        <f>countif('v2022'!$A:$A,A318)</f>
        <v>1</v>
      </c>
      <c r="I318" s="21">
        <f>countif('v2018'!$A:$A,A318)</f>
        <v>1</v>
      </c>
      <c r="J318" s="21">
        <f>countif('v2014'!$A:$A,A318)</f>
        <v>1</v>
      </c>
      <c r="K318" s="21">
        <f>countif('v2010'!$A:$A,A318)</f>
        <v>1</v>
      </c>
      <c r="L318" s="21">
        <f>countif('v2006'!$A:$A,A318)</f>
        <v>1</v>
      </c>
      <c r="M318" s="21">
        <f>countif('v2002'!$A:$A,A318)</f>
        <v>1</v>
      </c>
      <c r="N318" s="21">
        <f>countif('v1998'!$A:$A,A318)</f>
        <v>1</v>
      </c>
    </row>
    <row r="319">
      <c r="A319" s="17" t="s">
        <v>2595</v>
      </c>
      <c r="B319" s="17" t="s">
        <v>3996</v>
      </c>
      <c r="C319" s="23">
        <f>countif(Constants!A:A,B319)</f>
        <v>1</v>
      </c>
      <c r="E319" s="57" t="str">
        <f t="shared" si="1"/>
        <v>link</v>
      </c>
      <c r="G319" s="43">
        <f t="shared" si="2"/>
        <v>7</v>
      </c>
      <c r="H319" s="21">
        <f>countif('v2022'!$A:$A,A319)</f>
        <v>1</v>
      </c>
      <c r="I319" s="21">
        <f>countif('v2018'!$A:$A,A319)</f>
        <v>1</v>
      </c>
      <c r="J319" s="21">
        <f>countif('v2014'!$A:$A,A319)</f>
        <v>1</v>
      </c>
      <c r="K319" s="21">
        <f>countif('v2010'!$A:$A,A319)</f>
        <v>1</v>
      </c>
      <c r="L319" s="21">
        <f>countif('v2006'!$A:$A,A319)</f>
        <v>1</v>
      </c>
      <c r="M319" s="21">
        <f>countif('v2002'!$A:$A,A319)</f>
        <v>1</v>
      </c>
      <c r="N319" s="21">
        <f>countif('v1998'!$A:$A,A319)</f>
        <v>1</v>
      </c>
    </row>
    <row r="320">
      <c r="A320" s="17" t="s">
        <v>3997</v>
      </c>
      <c r="B320" s="17" t="s">
        <v>4000</v>
      </c>
      <c r="C320" s="23">
        <f>countif(Constants!A:A,B320)</f>
        <v>1</v>
      </c>
      <c r="E320" s="57" t="str">
        <f t="shared" si="1"/>
        <v>link</v>
      </c>
      <c r="G320" s="43">
        <f t="shared" si="2"/>
        <v>5</v>
      </c>
      <c r="H320" s="21">
        <f>countif('v2022'!$A:$A,A320)</f>
        <v>0</v>
      </c>
      <c r="I320" s="21">
        <f>countif('v2018'!$A:$A,A320)</f>
        <v>0</v>
      </c>
      <c r="J320" s="21">
        <f>countif('v2014'!$A:$A,A320)</f>
        <v>1</v>
      </c>
      <c r="K320" s="21">
        <f>countif('v2010'!$A:$A,A320)</f>
        <v>1</v>
      </c>
      <c r="L320" s="21">
        <f>countif('v2006'!$A:$A,A320)</f>
        <v>1</v>
      </c>
      <c r="M320" s="21">
        <f>countif('v2002'!$A:$A,A320)</f>
        <v>1</v>
      </c>
      <c r="N320" s="21">
        <f>countif('v1998'!$A:$A,A320)</f>
        <v>1</v>
      </c>
    </row>
    <row r="321">
      <c r="A321" s="17" t="s">
        <v>2599</v>
      </c>
      <c r="B321" s="17" t="s">
        <v>4000</v>
      </c>
      <c r="C321" s="23">
        <f>countif(Constants!A:A,B321)</f>
        <v>1</v>
      </c>
      <c r="E321" s="57" t="str">
        <f t="shared" si="1"/>
        <v>link</v>
      </c>
      <c r="G321" s="43">
        <f t="shared" si="2"/>
        <v>2</v>
      </c>
      <c r="H321" s="21">
        <f>countif('v2022'!$A:$A,A321)</f>
        <v>1</v>
      </c>
      <c r="I321" s="21">
        <f>countif('v2018'!$A:$A,A321)</f>
        <v>1</v>
      </c>
      <c r="J321" s="21">
        <f>countif('v2014'!$A:$A,A321)</f>
        <v>0</v>
      </c>
      <c r="K321" s="21">
        <f>countif('v2010'!$A:$A,A321)</f>
        <v>0</v>
      </c>
      <c r="L321" s="21">
        <f>countif('v2006'!$A:$A,A321)</f>
        <v>0</v>
      </c>
      <c r="M321" s="21">
        <f>countif('v2002'!$A:$A,A321)</f>
        <v>0</v>
      </c>
      <c r="N321" s="21">
        <f>countif('v1998'!$A:$A,A321)</f>
        <v>0</v>
      </c>
    </row>
    <row r="322">
      <c r="A322" s="17" t="s">
        <v>3998</v>
      </c>
      <c r="B322" s="17" t="s">
        <v>4023</v>
      </c>
      <c r="C322" s="23">
        <f>countif(Constants!A:A,B322)</f>
        <v>1</v>
      </c>
      <c r="E322" s="57" t="str">
        <f t="shared" si="1"/>
        <v>link</v>
      </c>
      <c r="G322" s="43">
        <f t="shared" si="2"/>
        <v>5</v>
      </c>
      <c r="H322" s="21">
        <f>countif('v2022'!$A:$A,A322)</f>
        <v>0</v>
      </c>
      <c r="I322" s="21">
        <f>countif('v2018'!$A:$A,A322)</f>
        <v>0</v>
      </c>
      <c r="J322" s="21">
        <f>countif('v2014'!$A:$A,A322)</f>
        <v>1</v>
      </c>
      <c r="K322" s="21">
        <f>countif('v2010'!$A:$A,A322)</f>
        <v>1</v>
      </c>
      <c r="L322" s="21">
        <f>countif('v2006'!$A:$A,A322)</f>
        <v>1</v>
      </c>
      <c r="M322" s="21">
        <f>countif('v2002'!$A:$A,A322)</f>
        <v>1</v>
      </c>
      <c r="N322" s="21">
        <f>countif('v1998'!$A:$A,A322)</f>
        <v>1</v>
      </c>
    </row>
    <row r="323">
      <c r="A323" s="17" t="s">
        <v>3999</v>
      </c>
      <c r="B323" s="17" t="s">
        <v>4031</v>
      </c>
      <c r="C323" s="23">
        <f>countif(Constants!A:A,B323)</f>
        <v>1</v>
      </c>
      <c r="E323" s="57" t="str">
        <f t="shared" si="1"/>
        <v>link</v>
      </c>
      <c r="G323" s="43">
        <f t="shared" si="2"/>
        <v>5</v>
      </c>
      <c r="H323" s="21">
        <f>countif('v2022'!$A:$A,A323)</f>
        <v>0</v>
      </c>
      <c r="I323" s="21">
        <f>countif('v2018'!$A:$A,A323)</f>
        <v>0</v>
      </c>
      <c r="J323" s="21">
        <f>countif('v2014'!$A:$A,A323)</f>
        <v>1</v>
      </c>
      <c r="K323" s="21">
        <f>countif('v2010'!$A:$A,A323)</f>
        <v>1</v>
      </c>
      <c r="L323" s="21">
        <f>countif('v2006'!$A:$A,A323)</f>
        <v>1</v>
      </c>
      <c r="M323" s="21">
        <f>countif('v2002'!$A:$A,A323)</f>
        <v>1</v>
      </c>
      <c r="N323" s="21">
        <f>countif('v1998'!$A:$A,A323)</f>
        <v>1</v>
      </c>
    </row>
    <row r="324">
      <c r="A324" s="17" t="s">
        <v>4001</v>
      </c>
      <c r="B324" s="17" t="s">
        <v>4042</v>
      </c>
      <c r="C324" s="23">
        <f>countif(Constants!A:A,B324)</f>
        <v>1</v>
      </c>
      <c r="E324" s="57" t="str">
        <f t="shared" si="1"/>
        <v>link</v>
      </c>
      <c r="G324" s="43">
        <f t="shared" si="2"/>
        <v>4</v>
      </c>
      <c r="H324" s="21">
        <f>countif('v2022'!$A:$A,A324)</f>
        <v>0</v>
      </c>
      <c r="I324" s="21">
        <f>countif('v2018'!$A:$A,A324)</f>
        <v>0</v>
      </c>
      <c r="J324" s="21">
        <f>countif('v2014'!$A:$A,A324)</f>
        <v>1</v>
      </c>
      <c r="K324" s="21">
        <f>countif('v2010'!$A:$A,A324)</f>
        <v>1</v>
      </c>
      <c r="L324" s="21">
        <f>countif('v2006'!$A:$A,A324)</f>
        <v>1</v>
      </c>
      <c r="M324" s="21">
        <f>countif('v2002'!$A:$A,A324)</f>
        <v>1</v>
      </c>
      <c r="N324" s="21">
        <f>countif('v1998'!$A:$A,A324)</f>
        <v>0</v>
      </c>
    </row>
    <row r="325">
      <c r="A325" s="17" t="s">
        <v>2605</v>
      </c>
      <c r="B325" s="17" t="s">
        <v>4055</v>
      </c>
      <c r="C325" s="23">
        <f>countif(Constants!A:A,B325)</f>
        <v>1</v>
      </c>
      <c r="E325" s="57" t="str">
        <f t="shared" si="1"/>
        <v>link</v>
      </c>
      <c r="G325" s="43">
        <f t="shared" si="2"/>
        <v>7</v>
      </c>
      <c r="H325" s="21">
        <f>countif('v2022'!$A:$A,A325)</f>
        <v>1</v>
      </c>
      <c r="I325" s="21">
        <f>countif('v2018'!$A:$A,A325)</f>
        <v>1</v>
      </c>
      <c r="J325" s="21">
        <f>countif('v2014'!$A:$A,A325)</f>
        <v>1</v>
      </c>
      <c r="K325" s="21">
        <f>countif('v2010'!$A:$A,A325)</f>
        <v>1</v>
      </c>
      <c r="L325" s="21">
        <f>countif('v2006'!$A:$A,A325)</f>
        <v>1</v>
      </c>
      <c r="M325" s="21">
        <f>countif('v2002'!$A:$A,A325)</f>
        <v>1</v>
      </c>
      <c r="N325" s="21">
        <f>countif('v1998'!$A:$A,A325)</f>
        <v>1</v>
      </c>
    </row>
    <row r="326">
      <c r="A326" s="17" t="s">
        <v>2608</v>
      </c>
      <c r="B326" s="17" t="s">
        <v>4064</v>
      </c>
      <c r="C326" s="23">
        <f>countif(Constants!A:A,B326)</f>
        <v>1</v>
      </c>
      <c r="E326" s="57" t="str">
        <f t="shared" si="1"/>
        <v>link</v>
      </c>
      <c r="G326" s="43">
        <f t="shared" si="2"/>
        <v>7</v>
      </c>
      <c r="H326" s="21">
        <f>countif('v2022'!$A:$A,A326)</f>
        <v>1</v>
      </c>
      <c r="I326" s="21">
        <f>countif('v2018'!$A:$A,A326)</f>
        <v>1</v>
      </c>
      <c r="J326" s="21">
        <f>countif('v2014'!$A:$A,A326)</f>
        <v>1</v>
      </c>
      <c r="K326" s="21">
        <f>countif('v2010'!$A:$A,A326)</f>
        <v>1</v>
      </c>
      <c r="L326" s="21">
        <f>countif('v2006'!$A:$A,A326)</f>
        <v>1</v>
      </c>
      <c r="M326" s="21">
        <f>countif('v2002'!$A:$A,A326)</f>
        <v>1</v>
      </c>
      <c r="N326" s="21">
        <f>countif('v1998'!$A:$A,A326)</f>
        <v>1</v>
      </c>
    </row>
    <row r="327">
      <c r="A327" s="17" t="s">
        <v>2614</v>
      </c>
      <c r="B327" s="17" t="s">
        <v>4072</v>
      </c>
      <c r="C327" s="23">
        <f>countif(Constants!A:A,B327)</f>
        <v>1</v>
      </c>
      <c r="E327" s="57" t="str">
        <f t="shared" si="1"/>
        <v>link</v>
      </c>
      <c r="G327" s="43">
        <f t="shared" si="2"/>
        <v>5</v>
      </c>
      <c r="H327" s="21">
        <f>countif('v2022'!$A:$A,A327)</f>
        <v>1</v>
      </c>
      <c r="I327" s="21">
        <f>countif('v2018'!$A:$A,A327)</f>
        <v>1</v>
      </c>
      <c r="J327" s="21">
        <f>countif('v2014'!$A:$A,A327)</f>
        <v>1</v>
      </c>
      <c r="K327" s="21">
        <f>countif('v2010'!$A:$A,A327)</f>
        <v>1</v>
      </c>
      <c r="L327" s="21">
        <f>countif('v2006'!$A:$A,A327)</f>
        <v>1</v>
      </c>
      <c r="M327" s="21">
        <f>countif('v2002'!$A:$A,A327)</f>
        <v>0</v>
      </c>
      <c r="N327" s="21">
        <f>countif('v1998'!$A:$A,A327)</f>
        <v>0</v>
      </c>
    </row>
    <row r="328">
      <c r="A328" s="17" t="s">
        <v>2619</v>
      </c>
      <c r="B328" s="17" t="s">
        <v>4077</v>
      </c>
      <c r="C328" s="23">
        <f>countif(Constants!A:A,B328)</f>
        <v>1</v>
      </c>
      <c r="E328" s="57" t="str">
        <f t="shared" si="1"/>
        <v>link</v>
      </c>
      <c r="G328" s="43">
        <f t="shared" si="2"/>
        <v>6</v>
      </c>
      <c r="H328" s="21">
        <f>countif('v2022'!$A:$A,A328)</f>
        <v>1</v>
      </c>
      <c r="I328" s="21">
        <f>countif('v2018'!$A:$A,A328)</f>
        <v>1</v>
      </c>
      <c r="J328" s="21">
        <f>countif('v2014'!$A:$A,A328)</f>
        <v>1</v>
      </c>
      <c r="K328" s="21">
        <f>countif('v2010'!$A:$A,A328)</f>
        <v>1</v>
      </c>
      <c r="L328" s="21">
        <f>countif('v2006'!$A:$A,A328)</f>
        <v>1</v>
      </c>
      <c r="M328" s="21">
        <f>countif('v2002'!$A:$A,A328)</f>
        <v>1</v>
      </c>
      <c r="N328" s="21">
        <f>countif('v1998'!$A:$A,A328)</f>
        <v>0</v>
      </c>
    </row>
    <row r="329">
      <c r="A329" s="17" t="s">
        <v>2623</v>
      </c>
      <c r="B329" s="17" t="s">
        <v>4082</v>
      </c>
      <c r="C329" s="23">
        <f>countif(Constants!A:A,B329)</f>
        <v>1</v>
      </c>
      <c r="E329" s="57" t="str">
        <f t="shared" si="1"/>
        <v>link</v>
      </c>
      <c r="G329" s="43">
        <f t="shared" si="2"/>
        <v>7</v>
      </c>
      <c r="H329" s="21">
        <f>countif('v2022'!$A:$A,A329)</f>
        <v>1</v>
      </c>
      <c r="I329" s="21">
        <f>countif('v2018'!$A:$A,A329)</f>
        <v>1</v>
      </c>
      <c r="J329" s="21">
        <f>countif('v2014'!$A:$A,A329)</f>
        <v>1</v>
      </c>
      <c r="K329" s="21">
        <f>countif('v2010'!$A:$A,A329)</f>
        <v>1</v>
      </c>
      <c r="L329" s="21">
        <f>countif('v2006'!$A:$A,A329)</f>
        <v>1</v>
      </c>
      <c r="M329" s="21">
        <f>countif('v2002'!$A:$A,A329)</f>
        <v>1</v>
      </c>
      <c r="N329" s="21">
        <f>countif('v1998'!$A:$A,A329)</f>
        <v>1</v>
      </c>
    </row>
    <row r="330">
      <c r="A330" s="17" t="s">
        <v>2628</v>
      </c>
      <c r="B330" s="17" t="s">
        <v>4094</v>
      </c>
      <c r="C330" s="23">
        <f>countif(Constants!A:A,B330)</f>
        <v>1</v>
      </c>
      <c r="E330" s="57" t="str">
        <f t="shared" si="1"/>
        <v>link</v>
      </c>
      <c r="G330" s="43">
        <f t="shared" si="2"/>
        <v>7</v>
      </c>
      <c r="H330" s="21">
        <f>countif('v2022'!$A:$A,A330)</f>
        <v>1</v>
      </c>
      <c r="I330" s="21">
        <f>countif('v2018'!$A:$A,A330)</f>
        <v>1</v>
      </c>
      <c r="J330" s="21">
        <f>countif('v2014'!$A:$A,A330)</f>
        <v>1</v>
      </c>
      <c r="K330" s="21">
        <f>countif('v2010'!$A:$A,A330)</f>
        <v>1</v>
      </c>
      <c r="L330" s="21">
        <f>countif('v2006'!$A:$A,A330)</f>
        <v>1</v>
      </c>
      <c r="M330" s="21">
        <f>countif('v2002'!$A:$A,A330)</f>
        <v>1</v>
      </c>
      <c r="N330" s="21">
        <f>countif('v1998'!$A:$A,A330)</f>
        <v>1</v>
      </c>
    </row>
    <row r="331">
      <c r="A331" s="17" t="s">
        <v>2633</v>
      </c>
      <c r="B331" s="17" t="s">
        <v>4101</v>
      </c>
      <c r="C331" s="23">
        <f>countif(Constants!A:A,B331)</f>
        <v>1</v>
      </c>
      <c r="E331" s="57" t="str">
        <f t="shared" si="1"/>
        <v>link</v>
      </c>
      <c r="G331" s="43">
        <f t="shared" si="2"/>
        <v>7</v>
      </c>
      <c r="H331" s="21">
        <f>countif('v2022'!$A:$A,A331)</f>
        <v>1</v>
      </c>
      <c r="I331" s="21">
        <f>countif('v2018'!$A:$A,A331)</f>
        <v>1</v>
      </c>
      <c r="J331" s="21">
        <f>countif('v2014'!$A:$A,A331)</f>
        <v>1</v>
      </c>
      <c r="K331" s="21">
        <f>countif('v2010'!$A:$A,A331)</f>
        <v>1</v>
      </c>
      <c r="L331" s="21">
        <f>countif('v2006'!$A:$A,A331)</f>
        <v>1</v>
      </c>
      <c r="M331" s="21">
        <f>countif('v2002'!$A:$A,A331)</f>
        <v>1</v>
      </c>
      <c r="N331" s="21">
        <f>countif('v1998'!$A:$A,A331)</f>
        <v>1</v>
      </c>
    </row>
    <row r="332">
      <c r="A332" s="17" t="s">
        <v>4032</v>
      </c>
      <c r="B332" s="17" t="s">
        <v>4104</v>
      </c>
      <c r="C332" s="23">
        <f>countif(Constants!A:A,B332)</f>
        <v>1</v>
      </c>
      <c r="E332" s="57" t="str">
        <f t="shared" si="1"/>
        <v>link</v>
      </c>
      <c r="G332" s="43">
        <f t="shared" si="2"/>
        <v>5</v>
      </c>
      <c r="H332" s="21">
        <f>countif('v2022'!$A:$A,A332)</f>
        <v>0</v>
      </c>
      <c r="I332" s="21">
        <f>countif('v2018'!$A:$A,A332)</f>
        <v>0</v>
      </c>
      <c r="J332" s="21">
        <f>countif('v2014'!$A:$A,A332)</f>
        <v>1</v>
      </c>
      <c r="K332" s="21">
        <f>countif('v2010'!$A:$A,A332)</f>
        <v>1</v>
      </c>
      <c r="L332" s="21">
        <f>countif('v2006'!$A:$A,A332)</f>
        <v>1</v>
      </c>
      <c r="M332" s="21">
        <f>countif('v2002'!$A:$A,A332)</f>
        <v>1</v>
      </c>
      <c r="N332" s="21">
        <f>countif('v1998'!$A:$A,A332)</f>
        <v>1</v>
      </c>
    </row>
    <row r="333">
      <c r="A333" s="17" t="s">
        <v>2640</v>
      </c>
      <c r="B333" s="17" t="s">
        <v>4114</v>
      </c>
      <c r="C333" s="23">
        <f>countif(Constants!A:A,B333)</f>
        <v>1</v>
      </c>
      <c r="E333" s="57" t="str">
        <f t="shared" si="1"/>
        <v>link</v>
      </c>
      <c r="G333" s="43">
        <f t="shared" si="2"/>
        <v>7</v>
      </c>
      <c r="H333" s="21">
        <f>countif('v2022'!$A:$A,A333)</f>
        <v>1</v>
      </c>
      <c r="I333" s="21">
        <f>countif('v2018'!$A:$A,A333)</f>
        <v>1</v>
      </c>
      <c r="J333" s="21">
        <f>countif('v2014'!$A:$A,A333)</f>
        <v>1</v>
      </c>
      <c r="K333" s="21">
        <f>countif('v2010'!$A:$A,A333)</f>
        <v>1</v>
      </c>
      <c r="L333" s="21">
        <f>countif('v2006'!$A:$A,A333)</f>
        <v>1</v>
      </c>
      <c r="M333" s="21">
        <f>countif('v2002'!$A:$A,A333)</f>
        <v>1</v>
      </c>
      <c r="N333" s="21">
        <f>countif('v1998'!$A:$A,A333)</f>
        <v>1</v>
      </c>
    </row>
    <row r="334">
      <c r="A334" s="35" t="s">
        <v>2644</v>
      </c>
      <c r="B334" s="69" t="s">
        <v>4122</v>
      </c>
      <c r="C334" s="75">
        <f>countif(Constants!A:A,B334)</f>
        <v>1</v>
      </c>
      <c r="D334" s="42"/>
      <c r="E334" s="77" t="str">
        <f t="shared" si="1"/>
        <v>link</v>
      </c>
      <c r="F334" s="42"/>
      <c r="G334" s="43">
        <f t="shared" si="2"/>
        <v>4</v>
      </c>
      <c r="H334" s="21">
        <f>countif('v2022'!$A:$A,A334)</f>
        <v>1</v>
      </c>
      <c r="I334" s="21">
        <f>countif('v2018'!$A:$A,A334)</f>
        <v>1</v>
      </c>
      <c r="J334" s="21">
        <f>countif('v2014'!$A:$A,A334)</f>
        <v>1</v>
      </c>
      <c r="K334" s="21">
        <f>countif('v2010'!$A:$A,A334)</f>
        <v>1</v>
      </c>
      <c r="L334" s="21">
        <f>countif('v2006'!$A:$A,A334)</f>
        <v>0</v>
      </c>
      <c r="M334" s="21">
        <f>countif('v2002'!$A:$A,A334)</f>
        <v>0</v>
      </c>
      <c r="N334" s="21">
        <f>countif('v1998'!$A:$A,A334)</f>
        <v>0</v>
      </c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</row>
    <row r="335">
      <c r="A335" s="17" t="s">
        <v>4130</v>
      </c>
      <c r="B335" s="17" t="s">
        <v>4122</v>
      </c>
      <c r="C335" s="23">
        <f>countif(Constants!A:A,B335)</f>
        <v>1</v>
      </c>
      <c r="E335" s="57" t="str">
        <f t="shared" si="1"/>
        <v>link</v>
      </c>
      <c r="G335" s="43">
        <f t="shared" si="2"/>
        <v>3</v>
      </c>
      <c r="H335" s="21">
        <f>countif('v2022'!$A:$A,A335)</f>
        <v>0</v>
      </c>
      <c r="I335" s="21">
        <f>countif('v2018'!$A:$A,A335)</f>
        <v>0</v>
      </c>
      <c r="J335" s="21">
        <f>countif('v2014'!$A:$A,A335)</f>
        <v>0</v>
      </c>
      <c r="K335" s="21">
        <f>countif('v2010'!$A:$A,A335)</f>
        <v>0</v>
      </c>
      <c r="L335" s="21">
        <f>countif('v2006'!$A:$A,A335)</f>
        <v>1</v>
      </c>
      <c r="M335" s="21">
        <f>countif('v2002'!$A:$A,A335)</f>
        <v>1</v>
      </c>
      <c r="N335" s="21">
        <f>countif('v1998'!$A:$A,A335)</f>
        <v>1</v>
      </c>
    </row>
    <row r="336">
      <c r="A336" s="35" t="s">
        <v>2648</v>
      </c>
      <c r="B336" s="69" t="s">
        <v>4135</v>
      </c>
      <c r="C336" s="75">
        <f>countif(Constants!A:A,B336)</f>
        <v>1</v>
      </c>
      <c r="D336" s="42"/>
      <c r="E336" s="77" t="str">
        <f t="shared" si="1"/>
        <v>link</v>
      </c>
      <c r="F336" s="42"/>
      <c r="G336" s="43">
        <f t="shared" si="2"/>
        <v>2</v>
      </c>
      <c r="H336" s="21">
        <f>countif('v2022'!$A:$A,A336)</f>
        <v>1</v>
      </c>
      <c r="I336" s="21">
        <f>countif('v2018'!$A:$A,A336)</f>
        <v>1</v>
      </c>
      <c r="J336" s="21">
        <f>countif('v2014'!$A:$A,A336)</f>
        <v>0</v>
      </c>
      <c r="K336" s="21">
        <f>countif('v2010'!$A:$A,A336)</f>
        <v>0</v>
      </c>
      <c r="L336" s="21">
        <f>countif('v2006'!$A:$A,A336)</f>
        <v>0</v>
      </c>
      <c r="M336" s="21">
        <f>countif('v2002'!$A:$A,A336)</f>
        <v>0</v>
      </c>
      <c r="N336" s="21">
        <f>countif('v1998'!$A:$A,A336)</f>
        <v>0</v>
      </c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>
      <c r="A337" s="35" t="s">
        <v>4047</v>
      </c>
      <c r="B337" s="69" t="s">
        <v>4135</v>
      </c>
      <c r="C337" s="75">
        <f>countif(Constants!A:A,B337)</f>
        <v>1</v>
      </c>
      <c r="D337" s="42"/>
      <c r="E337" s="77" t="str">
        <f t="shared" si="1"/>
        <v>link</v>
      </c>
      <c r="F337" s="42"/>
      <c r="G337" s="43">
        <f t="shared" si="2"/>
        <v>2</v>
      </c>
      <c r="H337" s="21">
        <f>countif('v2022'!$A:$A,A337)</f>
        <v>0</v>
      </c>
      <c r="I337" s="21">
        <f>countif('v2018'!$A:$A,A337)</f>
        <v>0</v>
      </c>
      <c r="J337" s="21">
        <f>countif('v2014'!$A:$A,A337)</f>
        <v>1</v>
      </c>
      <c r="K337" s="21">
        <f>countif('v2010'!$A:$A,A337)</f>
        <v>1</v>
      </c>
      <c r="L337" s="21">
        <f>countif('v2006'!$A:$A,A337)</f>
        <v>0</v>
      </c>
      <c r="M337" s="21">
        <f>countif('v2002'!$A:$A,A337)</f>
        <v>0</v>
      </c>
      <c r="N337" s="21">
        <f>countif('v1998'!$A:$A,A337)</f>
        <v>0</v>
      </c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</row>
    <row r="338">
      <c r="A338" s="17" t="s">
        <v>4159</v>
      </c>
      <c r="B338" s="17" t="s">
        <v>4135</v>
      </c>
      <c r="C338" s="23">
        <f>countif(Constants!A:A,B338)</f>
        <v>1</v>
      </c>
      <c r="E338" s="57" t="str">
        <f t="shared" si="1"/>
        <v>link</v>
      </c>
      <c r="G338" s="43">
        <f t="shared" si="2"/>
        <v>3</v>
      </c>
      <c r="H338" s="21">
        <f>countif('v2022'!$A:$A,A338)</f>
        <v>0</v>
      </c>
      <c r="I338" s="21">
        <f>countif('v2018'!$A:$A,A338)</f>
        <v>0</v>
      </c>
      <c r="J338" s="21">
        <f>countif('v2014'!$A:$A,A338)</f>
        <v>0</v>
      </c>
      <c r="K338" s="21">
        <f>countif('v2010'!$A:$A,A338)</f>
        <v>0</v>
      </c>
      <c r="L338" s="21">
        <f>countif('v2006'!$A:$A,A338)</f>
        <v>1</v>
      </c>
      <c r="M338" s="21">
        <f>countif('v2002'!$A:$A,A338)</f>
        <v>1</v>
      </c>
      <c r="N338" s="21">
        <f>countif('v1998'!$A:$A,A338)</f>
        <v>1</v>
      </c>
    </row>
    <row r="339">
      <c r="A339" s="35" t="s">
        <v>2653</v>
      </c>
      <c r="B339" s="69" t="s">
        <v>4167</v>
      </c>
      <c r="C339" s="75">
        <f>countif(Constants!A:A,B339)</f>
        <v>1</v>
      </c>
      <c r="D339" s="42"/>
      <c r="E339" s="77" t="str">
        <f t="shared" si="1"/>
        <v>link</v>
      </c>
      <c r="F339" s="42"/>
      <c r="G339" s="43">
        <f t="shared" si="2"/>
        <v>4</v>
      </c>
      <c r="H339" s="21">
        <f>countif('v2022'!$A:$A,A339)</f>
        <v>1</v>
      </c>
      <c r="I339" s="21">
        <f>countif('v2018'!$A:$A,A339)</f>
        <v>1</v>
      </c>
      <c r="J339" s="21">
        <f>countif('v2014'!$A:$A,A339)</f>
        <v>1</v>
      </c>
      <c r="K339" s="21">
        <f>countif('v2010'!$A:$A,A339)</f>
        <v>1</v>
      </c>
      <c r="L339" s="21">
        <f>countif('v2006'!$A:$A,A339)</f>
        <v>0</v>
      </c>
      <c r="M339" s="21">
        <f>countif('v2002'!$A:$A,A339)</f>
        <v>0</v>
      </c>
      <c r="N339" s="21">
        <f>countif('v1998'!$A:$A,A339)</f>
        <v>0</v>
      </c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</row>
    <row r="340">
      <c r="A340" s="17" t="s">
        <v>4173</v>
      </c>
      <c r="B340" s="17" t="s">
        <v>4167</v>
      </c>
      <c r="C340" s="23">
        <f>countif(Constants!A:A,B340)</f>
        <v>1</v>
      </c>
      <c r="E340" s="57" t="str">
        <f t="shared" si="1"/>
        <v>link</v>
      </c>
      <c r="G340" s="43">
        <f t="shared" si="2"/>
        <v>3</v>
      </c>
      <c r="H340" s="21">
        <f>countif('v2022'!$A:$A,A340)</f>
        <v>0</v>
      </c>
      <c r="I340" s="21">
        <f>countif('v2018'!$A:$A,A340)</f>
        <v>0</v>
      </c>
      <c r="J340" s="21">
        <f>countif('v2014'!$A:$A,A340)</f>
        <v>0</v>
      </c>
      <c r="K340" s="21">
        <f>countif('v2010'!$A:$A,A340)</f>
        <v>0</v>
      </c>
      <c r="L340" s="21">
        <f>countif('v2006'!$A:$A,A340)</f>
        <v>1</v>
      </c>
      <c r="M340" s="21">
        <f>countif('v2002'!$A:$A,A340)</f>
        <v>1</v>
      </c>
      <c r="N340" s="21">
        <f>countif('v1998'!$A:$A,A340)</f>
        <v>1</v>
      </c>
    </row>
    <row r="341">
      <c r="A341" s="35" t="s">
        <v>2658</v>
      </c>
      <c r="B341" s="69" t="s">
        <v>4176</v>
      </c>
      <c r="C341" s="75">
        <f>countif(Constants!A:A,B341)</f>
        <v>1</v>
      </c>
      <c r="D341" s="42"/>
      <c r="E341" s="77" t="str">
        <f t="shared" si="1"/>
        <v>link</v>
      </c>
      <c r="F341" s="42"/>
      <c r="G341" s="43">
        <f t="shared" si="2"/>
        <v>4</v>
      </c>
      <c r="H341" s="21">
        <f>countif('v2022'!$A:$A,A341)</f>
        <v>1</v>
      </c>
      <c r="I341" s="21">
        <f>countif('v2018'!$A:$A,A341)</f>
        <v>1</v>
      </c>
      <c r="J341" s="21">
        <f>countif('v2014'!$A:$A,A341)</f>
        <v>1</v>
      </c>
      <c r="K341" s="21">
        <f>countif('v2010'!$A:$A,A341)</f>
        <v>1</v>
      </c>
      <c r="L341" s="21">
        <f>countif('v2006'!$A:$A,A341)</f>
        <v>0</v>
      </c>
      <c r="M341" s="21">
        <f>countif('v2002'!$A:$A,A341)</f>
        <v>0</v>
      </c>
      <c r="N341" s="21">
        <f>countif('v1998'!$A:$A,A341)</f>
        <v>0</v>
      </c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</row>
    <row r="342">
      <c r="A342" s="17" t="s">
        <v>4182</v>
      </c>
      <c r="B342" s="17" t="s">
        <v>4176</v>
      </c>
      <c r="C342" s="23">
        <f>countif(Constants!A:A,B342)</f>
        <v>1</v>
      </c>
      <c r="E342" s="57" t="str">
        <f t="shared" si="1"/>
        <v>link</v>
      </c>
      <c r="G342" s="43">
        <f t="shared" si="2"/>
        <v>3</v>
      </c>
      <c r="H342" s="21">
        <f>countif('v2022'!$A:$A,A342)</f>
        <v>0</v>
      </c>
      <c r="I342" s="21">
        <f>countif('v2018'!$A:$A,A342)</f>
        <v>0</v>
      </c>
      <c r="J342" s="21">
        <f>countif('v2014'!$A:$A,A342)</f>
        <v>0</v>
      </c>
      <c r="K342" s="21">
        <f>countif('v2010'!$A:$A,A342)</f>
        <v>0</v>
      </c>
      <c r="L342" s="21">
        <f>countif('v2006'!$A:$A,A342)</f>
        <v>1</v>
      </c>
      <c r="M342" s="21">
        <f>countif('v2002'!$A:$A,A342)</f>
        <v>1</v>
      </c>
      <c r="N342" s="21">
        <f>countif('v1998'!$A:$A,A342)</f>
        <v>1</v>
      </c>
    </row>
    <row r="343">
      <c r="A343" s="35" t="s">
        <v>2662</v>
      </c>
      <c r="B343" s="69" t="s">
        <v>4228</v>
      </c>
      <c r="C343" s="75">
        <f>countif(Constants!A:A,B343)</f>
        <v>1</v>
      </c>
      <c r="D343" s="42"/>
      <c r="E343" s="77" t="str">
        <f t="shared" si="1"/>
        <v>link</v>
      </c>
      <c r="F343" s="42"/>
      <c r="G343" s="43">
        <f t="shared" si="2"/>
        <v>4</v>
      </c>
      <c r="H343" s="21">
        <f>countif('v2022'!$A:$A,A343)</f>
        <v>1</v>
      </c>
      <c r="I343" s="21">
        <f>countif('v2018'!$A:$A,A343)</f>
        <v>1</v>
      </c>
      <c r="J343" s="21">
        <f>countif('v2014'!$A:$A,A343)</f>
        <v>1</v>
      </c>
      <c r="K343" s="21">
        <f>countif('v2010'!$A:$A,A343)</f>
        <v>1</v>
      </c>
      <c r="L343" s="21">
        <f>countif('v2006'!$A:$A,A343)</f>
        <v>0</v>
      </c>
      <c r="M343" s="21">
        <f>countif('v2002'!$A:$A,A343)</f>
        <v>0</v>
      </c>
      <c r="N343" s="21">
        <f>countif('v1998'!$A:$A,A343)</f>
        <v>0</v>
      </c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</row>
    <row r="344">
      <c r="A344" s="17" t="s">
        <v>4244</v>
      </c>
      <c r="B344" s="17" t="s">
        <v>4228</v>
      </c>
      <c r="C344" s="23">
        <f>countif(Constants!A:A,B344)</f>
        <v>1</v>
      </c>
      <c r="E344" s="57" t="str">
        <f t="shared" si="1"/>
        <v>link</v>
      </c>
      <c r="G344" s="43">
        <f t="shared" si="2"/>
        <v>3</v>
      </c>
      <c r="H344" s="21">
        <f>countif('v2022'!$A:$A,A344)</f>
        <v>0</v>
      </c>
      <c r="I344" s="21">
        <f>countif('v2018'!$A:$A,A344)</f>
        <v>0</v>
      </c>
      <c r="J344" s="21">
        <f>countif('v2014'!$A:$A,A344)</f>
        <v>0</v>
      </c>
      <c r="K344" s="21">
        <f>countif('v2010'!$A:$A,A344)</f>
        <v>0</v>
      </c>
      <c r="L344" s="21">
        <f>countif('v2006'!$A:$A,A344)</f>
        <v>1</v>
      </c>
      <c r="M344" s="21">
        <f>countif('v2002'!$A:$A,A344)</f>
        <v>1</v>
      </c>
      <c r="N344" s="21">
        <f>countif('v1998'!$A:$A,A344)</f>
        <v>1</v>
      </c>
    </row>
    <row r="345">
      <c r="A345" s="17" t="s">
        <v>2669</v>
      </c>
      <c r="B345" s="17" t="s">
        <v>4250</v>
      </c>
      <c r="C345" s="23">
        <f>countif(Constants!A:A,B345)</f>
        <v>1</v>
      </c>
      <c r="E345" s="57" t="str">
        <f t="shared" si="1"/>
        <v>link</v>
      </c>
      <c r="G345" s="43">
        <f t="shared" si="2"/>
        <v>4</v>
      </c>
      <c r="H345" s="21">
        <f>countif('v2022'!$A:$A,A345)</f>
        <v>1</v>
      </c>
      <c r="I345" s="21">
        <f>countif('v2018'!$A:$A,A345)</f>
        <v>1</v>
      </c>
      <c r="J345" s="21">
        <f>countif('v2014'!$A:$A,A345)</f>
        <v>1</v>
      </c>
      <c r="K345" s="21">
        <f>countif('v2010'!$A:$A,A345)</f>
        <v>1</v>
      </c>
      <c r="L345" s="21">
        <f>countif('v2006'!$A:$A,A345)</f>
        <v>0</v>
      </c>
      <c r="M345" s="21">
        <f>countif('v2002'!$A:$A,A345)</f>
        <v>0</v>
      </c>
      <c r="N345" s="21">
        <f>countif('v1998'!$A:$A,A345)</f>
        <v>0</v>
      </c>
    </row>
    <row r="346">
      <c r="A346" s="17" t="s">
        <v>4256</v>
      </c>
      <c r="B346" s="17" t="s">
        <v>4250</v>
      </c>
      <c r="C346" s="23">
        <f>countif(Constants!A:A,B346)</f>
        <v>1</v>
      </c>
      <c r="E346" s="57" t="str">
        <f t="shared" si="1"/>
        <v>link</v>
      </c>
      <c r="G346" s="43">
        <f t="shared" si="2"/>
        <v>3</v>
      </c>
      <c r="H346" s="21">
        <f>countif('v2022'!$A:$A,A346)</f>
        <v>0</v>
      </c>
      <c r="I346" s="21">
        <f>countif('v2018'!$A:$A,A346)</f>
        <v>0</v>
      </c>
      <c r="J346" s="21">
        <f>countif('v2014'!$A:$A,A346)</f>
        <v>0</v>
      </c>
      <c r="K346" s="21">
        <f>countif('v2010'!$A:$A,A346)</f>
        <v>0</v>
      </c>
      <c r="L346" s="21">
        <f>countif('v2006'!$A:$A,A346)</f>
        <v>1</v>
      </c>
      <c r="M346" s="21">
        <f>countif('v2002'!$A:$A,A346)</f>
        <v>1</v>
      </c>
      <c r="N346" s="21">
        <f>countif('v1998'!$A:$A,A346)</f>
        <v>1</v>
      </c>
    </row>
    <row r="347">
      <c r="A347" s="17" t="s">
        <v>2673</v>
      </c>
      <c r="B347" s="17" t="s">
        <v>4273</v>
      </c>
      <c r="C347" s="23">
        <f>countif(Constants!A:A,B347)</f>
        <v>1</v>
      </c>
      <c r="E347" s="57" t="str">
        <f t="shared" si="1"/>
        <v>link</v>
      </c>
      <c r="G347" s="43">
        <f t="shared" si="2"/>
        <v>7</v>
      </c>
      <c r="H347" s="21">
        <f>countif('v2022'!$A:$A,A347)</f>
        <v>1</v>
      </c>
      <c r="I347" s="21">
        <f>countif('v2018'!$A:$A,A347)</f>
        <v>1</v>
      </c>
      <c r="J347" s="21">
        <f>countif('v2014'!$A:$A,A347)</f>
        <v>1</v>
      </c>
      <c r="K347" s="21">
        <f>countif('v2010'!$A:$A,A347)</f>
        <v>1</v>
      </c>
      <c r="L347" s="21">
        <f>countif('v2006'!$A:$A,A347)</f>
        <v>1</v>
      </c>
      <c r="M347" s="21">
        <f>countif('v2002'!$A:$A,A347)</f>
        <v>1</v>
      </c>
      <c r="N347" s="21">
        <f>countif('v1998'!$A:$A,A347)</f>
        <v>1</v>
      </c>
    </row>
    <row r="348">
      <c r="A348" s="17" t="s">
        <v>2675</v>
      </c>
      <c r="B348" s="17" t="s">
        <v>4277</v>
      </c>
      <c r="C348" s="23">
        <f>countif(Constants!A:A,B348)</f>
        <v>1</v>
      </c>
      <c r="E348" s="57" t="str">
        <f t="shared" si="1"/>
        <v>link</v>
      </c>
      <c r="G348" s="43">
        <f t="shared" si="2"/>
        <v>7</v>
      </c>
      <c r="H348" s="21">
        <f>countif('v2022'!$A:$A,A348)</f>
        <v>1</v>
      </c>
      <c r="I348" s="21">
        <f>countif('v2018'!$A:$A,A348)</f>
        <v>1</v>
      </c>
      <c r="J348" s="21">
        <f>countif('v2014'!$A:$A,A348)</f>
        <v>1</v>
      </c>
      <c r="K348" s="21">
        <f>countif('v2010'!$A:$A,A348)</f>
        <v>1</v>
      </c>
      <c r="L348" s="21">
        <f>countif('v2006'!$A:$A,A348)</f>
        <v>1</v>
      </c>
      <c r="M348" s="21">
        <f>countif('v2002'!$A:$A,A348)</f>
        <v>1</v>
      </c>
      <c r="N348" s="21">
        <f>countif('v1998'!$A:$A,A348)</f>
        <v>1</v>
      </c>
    </row>
    <row r="349">
      <c r="A349" s="17" t="s">
        <v>2682</v>
      </c>
      <c r="B349" s="17" t="s">
        <v>4283</v>
      </c>
      <c r="C349" s="23">
        <f>countif(Constants!A:A,B349)</f>
        <v>1</v>
      </c>
      <c r="E349" s="57" t="str">
        <f t="shared" si="1"/>
        <v>link</v>
      </c>
      <c r="G349" s="43">
        <f t="shared" si="2"/>
        <v>7</v>
      </c>
      <c r="H349" s="21">
        <f>countif('v2022'!$A:$A,A349)</f>
        <v>1</v>
      </c>
      <c r="I349" s="21">
        <f>countif('v2018'!$A:$A,A349)</f>
        <v>1</v>
      </c>
      <c r="J349" s="21">
        <f>countif('v2014'!$A:$A,A349)</f>
        <v>1</v>
      </c>
      <c r="K349" s="21">
        <f>countif('v2010'!$A:$A,A349)</f>
        <v>1</v>
      </c>
      <c r="L349" s="21">
        <f>countif('v2006'!$A:$A,A349)</f>
        <v>1</v>
      </c>
      <c r="M349" s="21">
        <f>countif('v2002'!$A:$A,A349)</f>
        <v>1</v>
      </c>
      <c r="N349" s="21">
        <f>countif('v1998'!$A:$A,A349)</f>
        <v>1</v>
      </c>
    </row>
    <row r="350">
      <c r="A350" s="17" t="s">
        <v>2689</v>
      </c>
      <c r="B350" s="17" t="s">
        <v>4290</v>
      </c>
      <c r="C350" s="23">
        <f>countif(Constants!A:A,B350)</f>
        <v>1</v>
      </c>
      <c r="E350" s="57" t="str">
        <f t="shared" si="1"/>
        <v>link</v>
      </c>
      <c r="G350" s="43">
        <f t="shared" si="2"/>
        <v>7</v>
      </c>
      <c r="H350" s="21">
        <f>countif('v2022'!$A:$A,A350)</f>
        <v>1</v>
      </c>
      <c r="I350" s="21">
        <f>countif('v2018'!$A:$A,A350)</f>
        <v>1</v>
      </c>
      <c r="J350" s="21">
        <f>countif('v2014'!$A:$A,A350)</f>
        <v>1</v>
      </c>
      <c r="K350" s="21">
        <f>countif('v2010'!$A:$A,A350)</f>
        <v>1</v>
      </c>
      <c r="L350" s="21">
        <f>countif('v2006'!$A:$A,A350)</f>
        <v>1</v>
      </c>
      <c r="M350" s="21">
        <f>countif('v2002'!$A:$A,A350)</f>
        <v>1</v>
      </c>
      <c r="N350" s="21">
        <f>countif('v1998'!$A:$A,A350)</f>
        <v>1</v>
      </c>
    </row>
    <row r="351">
      <c r="A351" s="17" t="s">
        <v>2695</v>
      </c>
      <c r="B351" s="17" t="s">
        <v>4296</v>
      </c>
      <c r="C351" s="23">
        <f>countif(Constants!A:A,B351)</f>
        <v>1</v>
      </c>
      <c r="E351" s="57" t="str">
        <f t="shared" si="1"/>
        <v>link</v>
      </c>
      <c r="G351" s="43">
        <f t="shared" si="2"/>
        <v>7</v>
      </c>
      <c r="H351" s="21">
        <f>countif('v2022'!$A:$A,A351)</f>
        <v>1</v>
      </c>
      <c r="I351" s="21">
        <f>countif('v2018'!$A:$A,A351)</f>
        <v>1</v>
      </c>
      <c r="J351" s="21">
        <f>countif('v2014'!$A:$A,A351)</f>
        <v>1</v>
      </c>
      <c r="K351" s="21">
        <f>countif('v2010'!$A:$A,A351)</f>
        <v>1</v>
      </c>
      <c r="L351" s="21">
        <f>countif('v2006'!$A:$A,A351)</f>
        <v>1</v>
      </c>
      <c r="M351" s="21">
        <f>countif('v2002'!$A:$A,A351)</f>
        <v>1</v>
      </c>
      <c r="N351" s="21">
        <f>countif('v1998'!$A:$A,A351)</f>
        <v>1</v>
      </c>
    </row>
    <row r="352">
      <c r="A352" s="17" t="s">
        <v>2707</v>
      </c>
      <c r="B352" s="17" t="s">
        <v>4303</v>
      </c>
      <c r="C352" s="23">
        <f>countif(Constants!A:A,B352)</f>
        <v>1</v>
      </c>
      <c r="E352" s="57" t="str">
        <f t="shared" si="1"/>
        <v>link</v>
      </c>
      <c r="G352" s="43">
        <f t="shared" si="2"/>
        <v>2</v>
      </c>
      <c r="H352" s="21">
        <f>countif('v2022'!$A:$A,A352)</f>
        <v>1</v>
      </c>
      <c r="I352" s="21">
        <f>countif('v2018'!$A:$A,A352)</f>
        <v>1</v>
      </c>
      <c r="J352" s="21">
        <f>countif('v2014'!$A:$A,A352)</f>
        <v>0</v>
      </c>
      <c r="K352" s="21">
        <f>countif('v2010'!$A:$A,A352)</f>
        <v>0</v>
      </c>
      <c r="L352" s="21">
        <f>countif('v2006'!$A:$A,A352)</f>
        <v>0</v>
      </c>
      <c r="M352" s="21">
        <f>countif('v2002'!$A:$A,A352)</f>
        <v>0</v>
      </c>
      <c r="N352" s="21">
        <f>countif('v1998'!$A:$A,A352)</f>
        <v>0</v>
      </c>
    </row>
    <row r="353">
      <c r="A353" s="17" t="s">
        <v>2711</v>
      </c>
      <c r="B353" s="17" t="s">
        <v>4311</v>
      </c>
      <c r="C353" s="23">
        <f>countif(Constants!A:A,B353)</f>
        <v>1</v>
      </c>
      <c r="E353" s="57" t="str">
        <f t="shared" si="1"/>
        <v>link</v>
      </c>
      <c r="G353" s="43">
        <f t="shared" si="2"/>
        <v>6</v>
      </c>
      <c r="H353" s="21">
        <f>countif('v2022'!$A:$A,A353)</f>
        <v>1</v>
      </c>
      <c r="I353" s="21">
        <f>countif('v2018'!$A:$A,A353)</f>
        <v>1</v>
      </c>
      <c r="J353" s="21">
        <f>countif('v2014'!$A:$A,A353)</f>
        <v>1</v>
      </c>
      <c r="K353" s="21">
        <f>countif('v2010'!$A:$A,A353)</f>
        <v>1</v>
      </c>
      <c r="L353" s="21">
        <f>countif('v2006'!$A:$A,A353)</f>
        <v>1</v>
      </c>
      <c r="M353" s="21">
        <f>countif('v2002'!$A:$A,A353)</f>
        <v>1</v>
      </c>
      <c r="N353" s="21">
        <f>countif('v1998'!$A:$A,A353)</f>
        <v>0</v>
      </c>
    </row>
    <row r="354">
      <c r="A354" s="17" t="s">
        <v>2636</v>
      </c>
      <c r="B354" s="17" t="s">
        <v>4174</v>
      </c>
      <c r="C354" s="23">
        <f>countif(Constants!A:A,B354)</f>
        <v>1</v>
      </c>
      <c r="E354" s="57" t="str">
        <f t="shared" si="1"/>
        <v>link</v>
      </c>
      <c r="G354" s="43">
        <f t="shared" si="2"/>
        <v>7</v>
      </c>
      <c r="H354" s="21">
        <f>countif('v2022'!$A:$A,A354)</f>
        <v>1</v>
      </c>
      <c r="I354" s="21">
        <f>countif('v2018'!$A:$A,A354)</f>
        <v>1</v>
      </c>
      <c r="J354" s="21">
        <f>countif('v2014'!$A:$A,A354)</f>
        <v>1</v>
      </c>
      <c r="K354" s="21">
        <f>countif('v2010'!$A:$A,A354)</f>
        <v>1</v>
      </c>
      <c r="L354" s="21">
        <f>countif('v2006'!$A:$A,A354)</f>
        <v>1</v>
      </c>
      <c r="M354" s="21">
        <f>countif('v2002'!$A:$A,A354)</f>
        <v>1</v>
      </c>
      <c r="N354" s="21">
        <f>countif('v1998'!$A:$A,A354)</f>
        <v>1</v>
      </c>
    </row>
    <row r="355">
      <c r="A355" s="17" t="s">
        <v>2697</v>
      </c>
      <c r="B355" s="17" t="s">
        <v>4323</v>
      </c>
      <c r="C355" s="23">
        <f>countif(Constants!A:A,B355)</f>
        <v>1</v>
      </c>
      <c r="E355" s="57" t="str">
        <f t="shared" si="1"/>
        <v>link</v>
      </c>
      <c r="G355" s="43">
        <f t="shared" si="2"/>
        <v>7</v>
      </c>
      <c r="H355" s="21">
        <f>countif('v2022'!$A:$A,A355)</f>
        <v>1</v>
      </c>
      <c r="I355" s="21">
        <f>countif('v2018'!$A:$A,A355)</f>
        <v>1</v>
      </c>
      <c r="J355" s="21">
        <f>countif('v2014'!$A:$A,A355)</f>
        <v>1</v>
      </c>
      <c r="K355" s="21">
        <f>countif('v2010'!$A:$A,A355)</f>
        <v>1</v>
      </c>
      <c r="L355" s="21">
        <f>countif('v2006'!$A:$A,A355)</f>
        <v>1</v>
      </c>
      <c r="M355" s="21">
        <f>countif('v2002'!$A:$A,A355)</f>
        <v>1</v>
      </c>
      <c r="N355" s="21">
        <f>countif('v1998'!$A:$A,A355)</f>
        <v>1</v>
      </c>
    </row>
    <row r="356">
      <c r="A356" s="17" t="s">
        <v>2700</v>
      </c>
      <c r="B356" s="17" t="s">
        <v>4338</v>
      </c>
      <c r="C356" s="23">
        <f>countif(Constants!A:A,B356)</f>
        <v>1</v>
      </c>
      <c r="E356" s="57" t="str">
        <f t="shared" si="1"/>
        <v>link</v>
      </c>
      <c r="G356" s="43">
        <f t="shared" si="2"/>
        <v>4</v>
      </c>
      <c r="H356" s="21">
        <f>countif('v2022'!$A:$A,A356)</f>
        <v>1</v>
      </c>
      <c r="I356" s="21">
        <f>countif('v2018'!$A:$A,A356)</f>
        <v>1</v>
      </c>
      <c r="J356" s="21">
        <f>countif('v2014'!$A:$A,A356)</f>
        <v>1</v>
      </c>
      <c r="K356" s="21">
        <f>countif('v2010'!$A:$A,A356)</f>
        <v>1</v>
      </c>
      <c r="L356" s="21">
        <f>countif('v2006'!$A:$A,A356)</f>
        <v>0</v>
      </c>
      <c r="M356" s="21">
        <f>countif('v2002'!$A:$A,A356)</f>
        <v>0</v>
      </c>
      <c r="N356" s="21">
        <f>countif('v1998'!$A:$A,A356)</f>
        <v>0</v>
      </c>
    </row>
    <row r="357">
      <c r="A357" s="17" t="s">
        <v>4345</v>
      </c>
      <c r="B357" s="17" t="s">
        <v>4338</v>
      </c>
      <c r="C357" s="23">
        <f>countif(Constants!A:A,B357)</f>
        <v>1</v>
      </c>
      <c r="E357" s="57" t="str">
        <f t="shared" si="1"/>
        <v>link</v>
      </c>
      <c r="G357" s="43">
        <f t="shared" si="2"/>
        <v>3</v>
      </c>
      <c r="H357" s="21">
        <f>countif('v2022'!$A:$A,A357)</f>
        <v>0</v>
      </c>
      <c r="I357" s="21">
        <f>countif('v2018'!$A:$A,A357)</f>
        <v>0</v>
      </c>
      <c r="J357" s="21">
        <f>countif('v2014'!$A:$A,A357)</f>
        <v>0</v>
      </c>
      <c r="K357" s="21">
        <f>countif('v2010'!$A:$A,A357)</f>
        <v>0</v>
      </c>
      <c r="L357" s="21">
        <f>countif('v2006'!$A:$A,A357)</f>
        <v>1</v>
      </c>
      <c r="M357" s="21">
        <f>countif('v2002'!$A:$A,A357)</f>
        <v>1</v>
      </c>
      <c r="N357" s="21">
        <f>countif('v1998'!$A:$A,A357)</f>
        <v>1</v>
      </c>
    </row>
    <row r="358">
      <c r="A358" s="17" t="s">
        <v>2705</v>
      </c>
      <c r="B358" s="17" t="s">
        <v>4355</v>
      </c>
      <c r="C358" s="23">
        <f>countif(Constants!A:A,B358)</f>
        <v>1</v>
      </c>
      <c r="E358" s="57" t="str">
        <f t="shared" si="1"/>
        <v>link</v>
      </c>
      <c r="G358" s="43">
        <f t="shared" si="2"/>
        <v>7</v>
      </c>
      <c r="H358" s="21">
        <f>countif('v2022'!$A:$A,A358)</f>
        <v>1</v>
      </c>
      <c r="I358" s="21">
        <f>countif('v2018'!$A:$A,A358)</f>
        <v>1</v>
      </c>
      <c r="J358" s="21">
        <f>countif('v2014'!$A:$A,A358)</f>
        <v>1</v>
      </c>
      <c r="K358" s="21">
        <f>countif('v2010'!$A:$A,A358)</f>
        <v>1</v>
      </c>
      <c r="L358" s="21">
        <f>countif('v2006'!$A:$A,A358)</f>
        <v>1</v>
      </c>
      <c r="M358" s="21">
        <f>countif('v2002'!$A:$A,A358)</f>
        <v>1</v>
      </c>
      <c r="N358" s="21">
        <f>countif('v1998'!$A:$A,A358)</f>
        <v>1</v>
      </c>
    </row>
    <row r="359">
      <c r="A359" s="17" t="s">
        <v>2715</v>
      </c>
      <c r="B359" s="17" t="s">
        <v>4364</v>
      </c>
      <c r="C359" s="23">
        <f>countif(Constants!A:A,B359)</f>
        <v>1</v>
      </c>
      <c r="E359" s="57" t="str">
        <f t="shared" si="1"/>
        <v>link</v>
      </c>
      <c r="G359" s="43">
        <f t="shared" si="2"/>
        <v>7</v>
      </c>
      <c r="H359" s="21">
        <f>countif('v2022'!$A:$A,A359)</f>
        <v>1</v>
      </c>
      <c r="I359" s="21">
        <f>countif('v2018'!$A:$A,A359)</f>
        <v>1</v>
      </c>
      <c r="J359" s="21">
        <f>countif('v2014'!$A:$A,A359)</f>
        <v>1</v>
      </c>
      <c r="K359" s="21">
        <f>countif('v2010'!$A:$A,A359)</f>
        <v>1</v>
      </c>
      <c r="L359" s="21">
        <f>countif('v2006'!$A:$A,A359)</f>
        <v>1</v>
      </c>
      <c r="M359" s="21">
        <f>countif('v2002'!$A:$A,A359)</f>
        <v>1</v>
      </c>
      <c r="N359" s="21">
        <f>countif('v1998'!$A:$A,A359)</f>
        <v>1</v>
      </c>
    </row>
    <row r="360">
      <c r="A360" s="17" t="s">
        <v>2719</v>
      </c>
      <c r="B360" s="17" t="s">
        <v>4372</v>
      </c>
      <c r="C360" s="23">
        <f>countif(Constants!A:A,B360)</f>
        <v>1</v>
      </c>
      <c r="E360" s="57" t="str">
        <f t="shared" si="1"/>
        <v>link</v>
      </c>
      <c r="G360" s="43">
        <f t="shared" si="2"/>
        <v>7</v>
      </c>
      <c r="H360" s="21">
        <f>countif('v2022'!$A:$A,A360)</f>
        <v>1</v>
      </c>
      <c r="I360" s="21">
        <f>countif('v2018'!$A:$A,A360)</f>
        <v>1</v>
      </c>
      <c r="J360" s="21">
        <f>countif('v2014'!$A:$A,A360)</f>
        <v>1</v>
      </c>
      <c r="K360" s="21">
        <f>countif('v2010'!$A:$A,A360)</f>
        <v>1</v>
      </c>
      <c r="L360" s="21">
        <f>countif('v2006'!$A:$A,A360)</f>
        <v>1</v>
      </c>
      <c r="M360" s="21">
        <f>countif('v2002'!$A:$A,A360)</f>
        <v>1</v>
      </c>
      <c r="N360" s="21">
        <f>countif('v1998'!$A:$A,A360)</f>
        <v>1</v>
      </c>
    </row>
    <row r="361">
      <c r="A361" s="17" t="s">
        <v>2727</v>
      </c>
      <c r="B361" s="17" t="s">
        <v>4381</v>
      </c>
      <c r="C361" s="23">
        <f>countif(Constants!A:A,B361)</f>
        <v>1</v>
      </c>
      <c r="E361" s="57" t="str">
        <f t="shared" si="1"/>
        <v>link</v>
      </c>
      <c r="G361" s="43">
        <f t="shared" si="2"/>
        <v>7</v>
      </c>
      <c r="H361" s="21">
        <f>countif('v2022'!$A:$A,A361)</f>
        <v>1</v>
      </c>
      <c r="I361" s="21">
        <f>countif('v2018'!$A:$A,A361)</f>
        <v>1</v>
      </c>
      <c r="J361" s="21">
        <f>countif('v2014'!$A:$A,A361)</f>
        <v>1</v>
      </c>
      <c r="K361" s="21">
        <f>countif('v2010'!$A:$A,A361)</f>
        <v>1</v>
      </c>
      <c r="L361" s="21">
        <f>countif('v2006'!$A:$A,A361)</f>
        <v>1</v>
      </c>
      <c r="M361" s="21">
        <f>countif('v2002'!$A:$A,A361)</f>
        <v>1</v>
      </c>
      <c r="N361" s="21">
        <f>countif('v1998'!$A:$A,A361)</f>
        <v>1</v>
      </c>
    </row>
    <row r="362">
      <c r="A362" s="17" t="s">
        <v>2732</v>
      </c>
      <c r="B362" s="17" t="s">
        <v>1712</v>
      </c>
      <c r="C362" s="23">
        <f>countif(Constants!A:A,B362)</f>
        <v>1</v>
      </c>
      <c r="E362" s="57" t="str">
        <f t="shared" si="1"/>
        <v>link</v>
      </c>
      <c r="G362" s="43">
        <f t="shared" si="2"/>
        <v>2</v>
      </c>
      <c r="H362" s="21">
        <f>countif('v2022'!$A:$A,A362)</f>
        <v>1</v>
      </c>
      <c r="I362" s="21">
        <f>countif('v2018'!$A:$A,A362)</f>
        <v>1</v>
      </c>
      <c r="J362" s="21">
        <f>countif('v2014'!$A:$A,A362)</f>
        <v>0</v>
      </c>
      <c r="K362" s="21">
        <f>countif('v2010'!$A:$A,A362)</f>
        <v>0</v>
      </c>
      <c r="L362" s="21">
        <f>countif('v2006'!$A:$A,A362)</f>
        <v>0</v>
      </c>
      <c r="M362" s="21">
        <f>countif('v2002'!$A:$A,A362)</f>
        <v>0</v>
      </c>
      <c r="N362" s="21">
        <f>countif('v1998'!$A:$A,A362)</f>
        <v>0</v>
      </c>
    </row>
    <row r="363">
      <c r="A363" s="17" t="s">
        <v>2735</v>
      </c>
      <c r="B363" s="17" t="s">
        <v>3379</v>
      </c>
      <c r="C363" s="23">
        <f>countif(Constants!A:A,B363)</f>
        <v>1</v>
      </c>
      <c r="E363" s="57" t="str">
        <f t="shared" si="1"/>
        <v>link</v>
      </c>
      <c r="G363" s="43">
        <f t="shared" si="2"/>
        <v>2</v>
      </c>
      <c r="H363" s="21">
        <f>countif('v2022'!$A:$A,A363)</f>
        <v>1</v>
      </c>
      <c r="I363" s="21">
        <f>countif('v2018'!$A:$A,A363)</f>
        <v>1</v>
      </c>
      <c r="J363" s="21">
        <f>countif('v2014'!$A:$A,A363)</f>
        <v>0</v>
      </c>
      <c r="K363" s="21">
        <f>countif('v2010'!$A:$A,A363)</f>
        <v>0</v>
      </c>
      <c r="L363" s="21">
        <f>countif('v2006'!$A:$A,A363)</f>
        <v>0</v>
      </c>
      <c r="M363" s="21">
        <f>countif('v2002'!$A:$A,A363)</f>
        <v>0</v>
      </c>
      <c r="N363" s="21">
        <f>countif('v1998'!$A:$A,A363)</f>
        <v>0</v>
      </c>
    </row>
    <row r="364">
      <c r="A364" s="17" t="s">
        <v>2741</v>
      </c>
      <c r="B364" s="17" t="s">
        <v>3675</v>
      </c>
      <c r="C364" s="23">
        <f>countif(Constants!A:A,B364)</f>
        <v>1</v>
      </c>
      <c r="E364" s="57" t="str">
        <f t="shared" si="1"/>
        <v>link</v>
      </c>
      <c r="G364" s="43">
        <f t="shared" si="2"/>
        <v>2</v>
      </c>
      <c r="H364" s="21">
        <f>countif('v2022'!$A:$A,A364)</f>
        <v>1</v>
      </c>
      <c r="I364" s="21">
        <f>countif('v2018'!$A:$A,A364)</f>
        <v>1</v>
      </c>
      <c r="J364" s="21">
        <f>countif('v2014'!$A:$A,A364)</f>
        <v>0</v>
      </c>
      <c r="K364" s="21">
        <f>countif('v2010'!$A:$A,A364)</f>
        <v>0</v>
      </c>
      <c r="L364" s="21">
        <f>countif('v2006'!$A:$A,A364)</f>
        <v>0</v>
      </c>
      <c r="M364" s="21">
        <f>countif('v2002'!$A:$A,A364)</f>
        <v>0</v>
      </c>
      <c r="N364" s="21">
        <f>countif('v1998'!$A:$A,A364)</f>
        <v>0</v>
      </c>
    </row>
    <row r="365">
      <c r="A365" s="17" t="s">
        <v>2746</v>
      </c>
      <c r="B365" s="17" t="s">
        <v>4023</v>
      </c>
      <c r="C365" s="23">
        <f>countif(Constants!A:A,B365)</f>
        <v>1</v>
      </c>
      <c r="E365" s="57" t="str">
        <f t="shared" si="1"/>
        <v>link</v>
      </c>
      <c r="G365" s="43">
        <f t="shared" si="2"/>
        <v>2</v>
      </c>
      <c r="H365" s="21">
        <f>countif('v2022'!$A:$A,A365)</f>
        <v>1</v>
      </c>
      <c r="I365" s="21">
        <f>countif('v2018'!$A:$A,A365)</f>
        <v>1</v>
      </c>
      <c r="J365" s="21">
        <f>countif('v2014'!$A:$A,A365)</f>
        <v>0</v>
      </c>
      <c r="K365" s="21">
        <f>countif('v2010'!$A:$A,A365)</f>
        <v>0</v>
      </c>
      <c r="L365" s="21">
        <f>countif('v2006'!$A:$A,A365)</f>
        <v>0</v>
      </c>
      <c r="M365" s="21">
        <f>countif('v2002'!$A:$A,A365)</f>
        <v>0</v>
      </c>
      <c r="N365" s="21">
        <f>countif('v1998'!$A:$A,A365)</f>
        <v>0</v>
      </c>
    </row>
    <row r="366">
      <c r="A366" s="17" t="s">
        <v>2749</v>
      </c>
      <c r="B366" s="17" t="s">
        <v>4031</v>
      </c>
      <c r="C366" s="23">
        <f>countif(Constants!A:A,B366)</f>
        <v>1</v>
      </c>
      <c r="E366" s="57" t="str">
        <f t="shared" si="1"/>
        <v>link</v>
      </c>
      <c r="G366" s="43">
        <f t="shared" si="2"/>
        <v>2</v>
      </c>
      <c r="H366" s="21">
        <f>countif('v2022'!$A:$A,A366)</f>
        <v>1</v>
      </c>
      <c r="I366" s="21">
        <f>countif('v2018'!$A:$A,A366)</f>
        <v>1</v>
      </c>
      <c r="J366" s="21">
        <f>countif('v2014'!$A:$A,A366)</f>
        <v>0</v>
      </c>
      <c r="K366" s="21">
        <f>countif('v2010'!$A:$A,A366)</f>
        <v>0</v>
      </c>
      <c r="L366" s="21">
        <f>countif('v2006'!$A:$A,A366)</f>
        <v>0</v>
      </c>
      <c r="M366" s="21">
        <f>countif('v2002'!$A:$A,A366)</f>
        <v>0</v>
      </c>
      <c r="N366" s="21">
        <f>countif('v1998'!$A:$A,A366)</f>
        <v>0</v>
      </c>
    </row>
    <row r="367">
      <c r="A367" s="17" t="s">
        <v>2752</v>
      </c>
      <c r="B367" s="17" t="s">
        <v>4042</v>
      </c>
      <c r="C367" s="23">
        <f>countif(Constants!A:A,B367)</f>
        <v>1</v>
      </c>
      <c r="E367" s="57" t="str">
        <f t="shared" si="1"/>
        <v>link</v>
      </c>
      <c r="G367" s="43">
        <f t="shared" si="2"/>
        <v>2</v>
      </c>
      <c r="H367" s="21">
        <f>countif('v2022'!$A:$A,A367)</f>
        <v>1</v>
      </c>
      <c r="I367" s="21">
        <f>countif('v2018'!$A:$A,A367)</f>
        <v>1</v>
      </c>
      <c r="J367" s="21">
        <f>countif('v2014'!$A:$A,A367)</f>
        <v>0</v>
      </c>
      <c r="K367" s="21">
        <f>countif('v2010'!$A:$A,A367)</f>
        <v>0</v>
      </c>
      <c r="L367" s="21">
        <f>countif('v2006'!$A:$A,A367)</f>
        <v>0</v>
      </c>
      <c r="M367" s="21">
        <f>countif('v2002'!$A:$A,A367)</f>
        <v>0</v>
      </c>
      <c r="N367" s="21">
        <f>countif('v1998'!$A:$A,A367)</f>
        <v>0</v>
      </c>
    </row>
    <row r="368">
      <c r="A368" s="17" t="s">
        <v>2757</v>
      </c>
      <c r="B368" s="17" t="s">
        <v>4104</v>
      </c>
      <c r="C368" s="23">
        <f>countif(Constants!A:A,B368)</f>
        <v>1</v>
      </c>
      <c r="E368" s="57" t="str">
        <f t="shared" si="1"/>
        <v>link</v>
      </c>
      <c r="G368" s="43">
        <f t="shared" si="2"/>
        <v>2</v>
      </c>
      <c r="H368" s="21">
        <f>countif('v2022'!$A:$A,A368)</f>
        <v>1</v>
      </c>
      <c r="I368" s="21">
        <f>countif('v2018'!$A:$A,A368)</f>
        <v>1</v>
      </c>
      <c r="J368" s="21">
        <f>countif('v2014'!$A:$A,A368)</f>
        <v>0</v>
      </c>
      <c r="K368" s="21">
        <f>countif('v2010'!$A:$A,A368)</f>
        <v>0</v>
      </c>
      <c r="L368" s="21">
        <f>countif('v2006'!$A:$A,A368)</f>
        <v>0</v>
      </c>
      <c r="M368" s="21">
        <f>countif('v2002'!$A:$A,A368)</f>
        <v>0</v>
      </c>
      <c r="N368" s="21">
        <f>countif('v1998'!$A:$A,A368)</f>
        <v>0</v>
      </c>
    </row>
    <row r="369">
      <c r="A369" s="17" t="s">
        <v>2765</v>
      </c>
      <c r="B369" s="17" t="s">
        <v>4425</v>
      </c>
      <c r="C369" s="23">
        <f>countif(Constants!A:A,B369)</f>
        <v>1</v>
      </c>
      <c r="E369" s="57" t="str">
        <f t="shared" si="1"/>
        <v>link</v>
      </c>
      <c r="G369" s="43">
        <f t="shared" si="2"/>
        <v>2</v>
      </c>
      <c r="H369" s="21">
        <f>countif('v2022'!$A:$A,A369)</f>
        <v>1</v>
      </c>
      <c r="I369" s="21">
        <f>countif('v2018'!$A:$A,A369)</f>
        <v>1</v>
      </c>
      <c r="J369" s="21">
        <f>countif('v2014'!$A:$A,A369)</f>
        <v>0</v>
      </c>
      <c r="K369" s="21">
        <f>countif('v2010'!$A:$A,A369)</f>
        <v>0</v>
      </c>
      <c r="L369" s="21">
        <f>countif('v2006'!$A:$A,A369)</f>
        <v>0</v>
      </c>
      <c r="M369" s="21">
        <f>countif('v2002'!$A:$A,A369)</f>
        <v>0</v>
      </c>
      <c r="N369" s="21">
        <f>countif('v1998'!$A:$A,A369)</f>
        <v>0</v>
      </c>
    </row>
    <row r="370">
      <c r="A370" s="17" t="s">
        <v>2769</v>
      </c>
      <c r="B370" s="17" t="s">
        <v>4433</v>
      </c>
      <c r="C370" s="23">
        <f>countif(Constants!A:A,B370)</f>
        <v>1</v>
      </c>
      <c r="E370" s="57" t="str">
        <f t="shared" si="1"/>
        <v>link</v>
      </c>
      <c r="G370" s="43">
        <f t="shared" si="2"/>
        <v>7</v>
      </c>
      <c r="H370" s="21">
        <f>countif('v2022'!$A:$A,A370)</f>
        <v>1</v>
      </c>
      <c r="I370" s="21">
        <f>countif('v2018'!$A:$A,A370)</f>
        <v>1</v>
      </c>
      <c r="J370" s="21">
        <f>countif('v2014'!$A:$A,A370)</f>
        <v>1</v>
      </c>
      <c r="K370" s="21">
        <f>countif('v2010'!$A:$A,A370)</f>
        <v>1</v>
      </c>
      <c r="L370" s="21">
        <f>countif('v2006'!$A:$A,A370)</f>
        <v>1</v>
      </c>
      <c r="M370" s="21">
        <f>countif('v2002'!$A:$A,A370)</f>
        <v>1</v>
      </c>
      <c r="N370" s="21">
        <f>countif('v1998'!$A:$A,A370)</f>
        <v>1</v>
      </c>
    </row>
    <row r="371">
      <c r="A371" s="17" t="s">
        <v>2774</v>
      </c>
      <c r="B371" s="17" t="s">
        <v>4440</v>
      </c>
      <c r="C371" s="23">
        <f>countif(Constants!A:A,B371)</f>
        <v>1</v>
      </c>
      <c r="E371" s="57" t="str">
        <f t="shared" si="1"/>
        <v>link</v>
      </c>
      <c r="G371" s="43">
        <f t="shared" si="2"/>
        <v>7</v>
      </c>
      <c r="H371" s="21">
        <f>countif('v2022'!$A:$A,A371)</f>
        <v>1</v>
      </c>
      <c r="I371" s="21">
        <f>countif('v2018'!$A:$A,A371)</f>
        <v>1</v>
      </c>
      <c r="J371" s="21">
        <f>countif('v2014'!$A:$A,A371)</f>
        <v>1</v>
      </c>
      <c r="K371" s="21">
        <f>countif('v2010'!$A:$A,A371)</f>
        <v>1</v>
      </c>
      <c r="L371" s="21">
        <f>countif('v2006'!$A:$A,A371)</f>
        <v>1</v>
      </c>
      <c r="M371" s="21">
        <f>countif('v2002'!$A:$A,A371)</f>
        <v>1</v>
      </c>
      <c r="N371" s="21">
        <f>countif('v1998'!$A:$A,A371)</f>
        <v>1</v>
      </c>
    </row>
    <row r="372">
      <c r="A372" s="17" t="s">
        <v>2780</v>
      </c>
      <c r="B372" s="17" t="s">
        <v>4450</v>
      </c>
      <c r="C372" s="23">
        <f>countif(Constants!A:A,B372)</f>
        <v>1</v>
      </c>
      <c r="E372" s="57" t="str">
        <f t="shared" si="1"/>
        <v>link</v>
      </c>
      <c r="G372" s="43">
        <f t="shared" si="2"/>
        <v>7</v>
      </c>
      <c r="H372" s="21">
        <f>countif('v2022'!$A:$A,A372)</f>
        <v>1</v>
      </c>
      <c r="I372" s="21">
        <f>countif('v2018'!$A:$A,A372)</f>
        <v>1</v>
      </c>
      <c r="J372" s="21">
        <f>countif('v2014'!$A:$A,A372)</f>
        <v>1</v>
      </c>
      <c r="K372" s="21">
        <f>countif('v2010'!$A:$A,A372)</f>
        <v>1</v>
      </c>
      <c r="L372" s="21">
        <f>countif('v2006'!$A:$A,A372)</f>
        <v>1</v>
      </c>
      <c r="M372" s="21">
        <f>countif('v2002'!$A:$A,A372)</f>
        <v>1</v>
      </c>
      <c r="N372" s="21">
        <f>countif('v1998'!$A:$A,A372)</f>
        <v>1</v>
      </c>
    </row>
    <row r="373">
      <c r="A373" s="17" t="s">
        <v>2784</v>
      </c>
      <c r="B373" s="17" t="s">
        <v>4456</v>
      </c>
      <c r="C373" s="23">
        <f>countif(Constants!A:A,B373)</f>
        <v>1</v>
      </c>
      <c r="E373" s="57" t="str">
        <f t="shared" si="1"/>
        <v>link</v>
      </c>
      <c r="G373" s="43">
        <f t="shared" si="2"/>
        <v>7</v>
      </c>
      <c r="H373" s="21">
        <f>countif('v2022'!$A:$A,A373)</f>
        <v>1</v>
      </c>
      <c r="I373" s="21">
        <f>countif('v2018'!$A:$A,A373)</f>
        <v>1</v>
      </c>
      <c r="J373" s="21">
        <f>countif('v2014'!$A:$A,A373)</f>
        <v>1</v>
      </c>
      <c r="K373" s="21">
        <f>countif('v2010'!$A:$A,A373)</f>
        <v>1</v>
      </c>
      <c r="L373" s="21">
        <f>countif('v2006'!$A:$A,A373)</f>
        <v>1</v>
      </c>
      <c r="M373" s="21">
        <f>countif('v2002'!$A:$A,A373)</f>
        <v>1</v>
      </c>
      <c r="N373" s="21">
        <f>countif('v1998'!$A:$A,A373)</f>
        <v>1</v>
      </c>
    </row>
    <row r="374">
      <c r="A374" s="17" t="s">
        <v>2788</v>
      </c>
      <c r="B374" s="17" t="s">
        <v>4465</v>
      </c>
      <c r="C374" s="23">
        <f>countif(Constants!A:A,B374)</f>
        <v>1</v>
      </c>
      <c r="E374" s="57" t="str">
        <f t="shared" si="1"/>
        <v>link</v>
      </c>
      <c r="G374" s="43">
        <f t="shared" si="2"/>
        <v>4</v>
      </c>
      <c r="H374" s="21">
        <f>countif('v2022'!$A:$A,A374)</f>
        <v>1</v>
      </c>
      <c r="I374" s="21">
        <f>countif('v2018'!$A:$A,A374)</f>
        <v>1</v>
      </c>
      <c r="J374" s="21">
        <f>countif('v2014'!$A:$A,A374)</f>
        <v>1</v>
      </c>
      <c r="K374" s="21">
        <f>countif('v2010'!$A:$A,A374)</f>
        <v>1</v>
      </c>
      <c r="L374" s="21">
        <f>countif('v2006'!$A:$A,A374)</f>
        <v>0</v>
      </c>
      <c r="M374" s="21">
        <f>countif('v2002'!$A:$A,A374)</f>
        <v>0</v>
      </c>
      <c r="N374" s="21">
        <f>countif('v1998'!$A:$A,A374)</f>
        <v>0</v>
      </c>
    </row>
    <row r="375">
      <c r="A375" s="17" t="s">
        <v>2795</v>
      </c>
      <c r="B375" s="17" t="s">
        <v>4477</v>
      </c>
      <c r="C375" s="23">
        <f>countif(Constants!A:A,B375)</f>
        <v>1</v>
      </c>
      <c r="E375" s="57" t="str">
        <f t="shared" si="1"/>
        <v>link</v>
      </c>
      <c r="G375" s="43">
        <f t="shared" si="2"/>
        <v>4</v>
      </c>
      <c r="H375" s="21">
        <f>countif('v2022'!$A:$A,A375)</f>
        <v>1</v>
      </c>
      <c r="I375" s="21">
        <f>countif('v2018'!$A:$A,A375)</f>
        <v>1</v>
      </c>
      <c r="J375" s="21">
        <f>countif('v2014'!$A:$A,A375)</f>
        <v>1</v>
      </c>
      <c r="K375" s="21">
        <f>countif('v2010'!$A:$A,A375)</f>
        <v>1</v>
      </c>
      <c r="L375" s="21">
        <f>countif('v2006'!$A:$A,A375)</f>
        <v>0</v>
      </c>
      <c r="M375" s="21">
        <f>countif('v2002'!$A:$A,A375)</f>
        <v>0</v>
      </c>
      <c r="N375" s="21">
        <f>countif('v1998'!$A:$A,A375)</f>
        <v>0</v>
      </c>
    </row>
    <row r="376">
      <c r="A376" s="17" t="s">
        <v>4486</v>
      </c>
      <c r="B376" s="17" t="s">
        <v>4465</v>
      </c>
      <c r="C376" s="23">
        <f>countif(Constants!A:A,B376)</f>
        <v>1</v>
      </c>
      <c r="E376" s="57" t="str">
        <f t="shared" si="1"/>
        <v>link</v>
      </c>
      <c r="G376" s="43">
        <f t="shared" si="2"/>
        <v>3</v>
      </c>
      <c r="H376" s="21">
        <f>countif('v2022'!$A:$A,A376)</f>
        <v>0</v>
      </c>
      <c r="I376" s="21">
        <f>countif('v2018'!$A:$A,A376)</f>
        <v>0</v>
      </c>
      <c r="J376" s="21">
        <f>countif('v2014'!$A:$A,A376)</f>
        <v>0</v>
      </c>
      <c r="K376" s="21">
        <f>countif('v2010'!$A:$A,A376)</f>
        <v>0</v>
      </c>
      <c r="L376" s="21">
        <f>countif('v2006'!$A:$A,A376)</f>
        <v>1</v>
      </c>
      <c r="M376" s="21">
        <f>countif('v2002'!$A:$A,A376)</f>
        <v>1</v>
      </c>
      <c r="N376" s="21">
        <f>countif('v1998'!$A:$A,A376)</f>
        <v>1</v>
      </c>
    </row>
    <row r="377">
      <c r="A377" s="17" t="s">
        <v>4489</v>
      </c>
      <c r="B377" s="17" t="s">
        <v>4477</v>
      </c>
      <c r="C377" s="23">
        <f>countif(Constants!A:A,B377)</f>
        <v>1</v>
      </c>
      <c r="E377" s="57" t="str">
        <f t="shared" si="1"/>
        <v>link</v>
      </c>
      <c r="G377" s="43">
        <f t="shared" si="2"/>
        <v>3</v>
      </c>
      <c r="H377" s="21">
        <f>countif('v2022'!$A:$A,A377)</f>
        <v>0</v>
      </c>
      <c r="I377" s="21">
        <f>countif('v2018'!$A:$A,A377)</f>
        <v>0</v>
      </c>
      <c r="J377" s="21">
        <f>countif('v2014'!$A:$A,A377)</f>
        <v>0</v>
      </c>
      <c r="K377" s="21">
        <f>countif('v2010'!$A:$A,A377)</f>
        <v>0</v>
      </c>
      <c r="L377" s="21">
        <f>countif('v2006'!$A:$A,A377)</f>
        <v>1</v>
      </c>
      <c r="M377" s="21">
        <f>countif('v2002'!$A:$A,A377)</f>
        <v>1</v>
      </c>
      <c r="N377" s="21">
        <f>countif('v1998'!$A:$A,A377)</f>
        <v>1</v>
      </c>
    </row>
    <row r="378">
      <c r="A378" s="17" t="s">
        <v>2799</v>
      </c>
      <c r="B378" s="17" t="s">
        <v>4497</v>
      </c>
      <c r="C378" s="23">
        <f>countif(Constants!A:A,B378)</f>
        <v>1</v>
      </c>
      <c r="E378" s="57" t="str">
        <f t="shared" si="1"/>
        <v>link</v>
      </c>
      <c r="G378" s="43">
        <f t="shared" si="2"/>
        <v>7</v>
      </c>
      <c r="H378" s="21">
        <f>countif('v2022'!$A:$A,A378)</f>
        <v>1</v>
      </c>
      <c r="I378" s="21">
        <f>countif('v2018'!$A:$A,A378)</f>
        <v>1</v>
      </c>
      <c r="J378" s="21">
        <f>countif('v2014'!$A:$A,A378)</f>
        <v>1</v>
      </c>
      <c r="K378" s="21">
        <f>countif('v2010'!$A:$A,A378)</f>
        <v>1</v>
      </c>
      <c r="L378" s="21">
        <f>countif('v2006'!$A:$A,A378)</f>
        <v>1</v>
      </c>
      <c r="M378" s="21">
        <f>countif('v2002'!$A:$A,A378)</f>
        <v>1</v>
      </c>
      <c r="N378" s="21">
        <f>countif('v1998'!$A:$A,A378)</f>
        <v>1</v>
      </c>
    </row>
    <row r="379">
      <c r="A379" s="17" t="s">
        <v>2802</v>
      </c>
      <c r="B379" s="17" t="s">
        <v>4500</v>
      </c>
      <c r="C379" s="23">
        <f>countif(Constants!A:A,B379)</f>
        <v>1</v>
      </c>
      <c r="E379" s="57" t="str">
        <f t="shared" si="1"/>
        <v>link</v>
      </c>
      <c r="G379" s="43">
        <f t="shared" si="2"/>
        <v>4</v>
      </c>
      <c r="H379" s="21">
        <f>countif('v2022'!$A:$A,A379)</f>
        <v>1</v>
      </c>
      <c r="I379" s="21">
        <f>countif('v2018'!$A:$A,A379)</f>
        <v>1</v>
      </c>
      <c r="J379" s="21">
        <f>countif('v2014'!$A:$A,A379)</f>
        <v>1</v>
      </c>
      <c r="K379" s="21">
        <f>countif('v2010'!$A:$A,A379)</f>
        <v>1</v>
      </c>
      <c r="L379" s="21">
        <f>countif('v2006'!$A:$A,A379)</f>
        <v>0</v>
      </c>
      <c r="M379" s="21">
        <f>countif('v2002'!$A:$A,A379)</f>
        <v>0</v>
      </c>
      <c r="N379" s="21">
        <f>countif('v1998'!$A:$A,A379)</f>
        <v>0</v>
      </c>
    </row>
    <row r="380">
      <c r="A380" s="17" t="s">
        <v>4507</v>
      </c>
      <c r="B380" s="17" t="s">
        <v>4500</v>
      </c>
      <c r="C380" s="23">
        <f>countif(Constants!A:A,B380)</f>
        <v>1</v>
      </c>
      <c r="E380" s="57" t="str">
        <f t="shared" si="1"/>
        <v>link</v>
      </c>
      <c r="G380" s="43">
        <f t="shared" si="2"/>
        <v>3</v>
      </c>
      <c r="H380" s="21">
        <f>countif('v2022'!$A:$A,A380)</f>
        <v>0</v>
      </c>
      <c r="I380" s="21">
        <f>countif('v2018'!$A:$A,A380)</f>
        <v>0</v>
      </c>
      <c r="J380" s="21">
        <f>countif('v2014'!$A:$A,A380)</f>
        <v>0</v>
      </c>
      <c r="K380" s="21">
        <f>countif('v2010'!$A:$A,A380)</f>
        <v>0</v>
      </c>
      <c r="L380" s="21">
        <f>countif('v2006'!$A:$A,A380)</f>
        <v>1</v>
      </c>
      <c r="M380" s="21">
        <f>countif('v2002'!$A:$A,A380)</f>
        <v>1</v>
      </c>
      <c r="N380" s="21">
        <f>countif('v1998'!$A:$A,A380)</f>
        <v>1</v>
      </c>
    </row>
    <row r="381">
      <c r="A381" s="17" t="s">
        <v>2810</v>
      </c>
      <c r="B381" s="17" t="s">
        <v>4512</v>
      </c>
      <c r="C381" s="23">
        <f>countif(Constants!A:A,B381)</f>
        <v>1</v>
      </c>
      <c r="E381" s="57" t="str">
        <f t="shared" si="1"/>
        <v>link</v>
      </c>
      <c r="G381" s="43">
        <f t="shared" si="2"/>
        <v>2</v>
      </c>
      <c r="H381" s="21">
        <f>countif('v2022'!$A:$A,A381)</f>
        <v>1</v>
      </c>
      <c r="I381" s="21">
        <f>countif('v2018'!$A:$A,A381)</f>
        <v>1</v>
      </c>
      <c r="J381" s="21">
        <f>countif('v2014'!$A:$A,A381)</f>
        <v>0</v>
      </c>
      <c r="K381" s="21">
        <f>countif('v2010'!$A:$A,A381)</f>
        <v>0</v>
      </c>
      <c r="L381" s="21">
        <f>countif('v2006'!$A:$A,A381)</f>
        <v>0</v>
      </c>
      <c r="M381" s="21">
        <f>countif('v2002'!$A:$A,A381)</f>
        <v>0</v>
      </c>
      <c r="N381" s="21">
        <f>countif('v1998'!$A:$A,A381)</f>
        <v>0</v>
      </c>
    </row>
    <row r="382">
      <c r="A382" s="17" t="s">
        <v>4141</v>
      </c>
      <c r="B382" s="17" t="s">
        <v>4512</v>
      </c>
      <c r="C382" s="23">
        <f>countif(Constants!A:A,B382)</f>
        <v>1</v>
      </c>
      <c r="E382" s="57" t="str">
        <f t="shared" si="1"/>
        <v>link</v>
      </c>
      <c r="G382" s="43">
        <f t="shared" si="2"/>
        <v>2</v>
      </c>
      <c r="H382" s="21">
        <f>countif('v2022'!$A:$A,A382)</f>
        <v>0</v>
      </c>
      <c r="I382" s="21">
        <f>countif('v2018'!$A:$A,A382)</f>
        <v>0</v>
      </c>
      <c r="J382" s="21">
        <f>countif('v2014'!$A:$A,A382)</f>
        <v>1</v>
      </c>
      <c r="K382" s="21">
        <f>countif('v2010'!$A:$A,A382)</f>
        <v>1</v>
      </c>
      <c r="L382" s="21">
        <f>countif('v2006'!$A:$A,A382)</f>
        <v>0</v>
      </c>
      <c r="M382" s="21">
        <f>countif('v2002'!$A:$A,A382)</f>
        <v>0</v>
      </c>
      <c r="N382" s="21">
        <f>countif('v1998'!$A:$A,A382)</f>
        <v>0</v>
      </c>
    </row>
    <row r="383">
      <c r="A383" s="17" t="s">
        <v>4524</v>
      </c>
      <c r="B383" s="17" t="s">
        <v>4512</v>
      </c>
      <c r="C383" s="23">
        <f>countif(Constants!A:A,B383)</f>
        <v>1</v>
      </c>
      <c r="E383" s="57" t="str">
        <f t="shared" si="1"/>
        <v>link</v>
      </c>
      <c r="G383" s="43">
        <f t="shared" si="2"/>
        <v>3</v>
      </c>
      <c r="H383" s="21">
        <f>countif('v2022'!$A:$A,A383)</f>
        <v>0</v>
      </c>
      <c r="I383" s="21">
        <f>countif('v2018'!$A:$A,A383)</f>
        <v>0</v>
      </c>
      <c r="J383" s="21">
        <f>countif('v2014'!$A:$A,A383)</f>
        <v>0</v>
      </c>
      <c r="K383" s="21">
        <f>countif('v2010'!$A:$A,A383)</f>
        <v>0</v>
      </c>
      <c r="L383" s="21">
        <f>countif('v2006'!$A:$A,A383)</f>
        <v>1</v>
      </c>
      <c r="M383" s="21">
        <f>countif('v2002'!$A:$A,A383)</f>
        <v>1</v>
      </c>
      <c r="N383" s="21">
        <f>countif('v1998'!$A:$A,A383)</f>
        <v>1</v>
      </c>
    </row>
    <row r="384">
      <c r="A384" s="17" t="s">
        <v>2814</v>
      </c>
      <c r="B384" s="17" t="s">
        <v>4529</v>
      </c>
      <c r="C384" s="23">
        <f>countif(Constants!A:A,B384)</f>
        <v>1</v>
      </c>
      <c r="E384" s="57" t="str">
        <f t="shared" si="1"/>
        <v>link</v>
      </c>
      <c r="G384" s="43">
        <f t="shared" si="2"/>
        <v>4</v>
      </c>
      <c r="H384" s="21">
        <f>countif('v2022'!$A:$A,A384)</f>
        <v>1</v>
      </c>
      <c r="I384" s="21">
        <f>countif('v2018'!$A:$A,A384)</f>
        <v>1</v>
      </c>
      <c r="J384" s="21">
        <f>countif('v2014'!$A:$A,A384)</f>
        <v>1</v>
      </c>
      <c r="K384" s="21">
        <f>countif('v2010'!$A:$A,A384)</f>
        <v>1</v>
      </c>
      <c r="L384" s="21">
        <f>countif('v2006'!$A:$A,A384)</f>
        <v>0</v>
      </c>
      <c r="M384" s="21">
        <f>countif('v2002'!$A:$A,A384)</f>
        <v>0</v>
      </c>
      <c r="N384" s="21">
        <f>countif('v1998'!$A:$A,A384)</f>
        <v>0</v>
      </c>
    </row>
    <row r="385">
      <c r="A385" s="17" t="s">
        <v>4533</v>
      </c>
      <c r="B385" s="17" t="s">
        <v>4529</v>
      </c>
      <c r="C385" s="23">
        <f>countif(Constants!A:A,B385)</f>
        <v>1</v>
      </c>
      <c r="E385" s="57" t="str">
        <f t="shared" si="1"/>
        <v>link</v>
      </c>
      <c r="G385" s="43">
        <f t="shared" si="2"/>
        <v>3</v>
      </c>
      <c r="H385" s="21">
        <f>countif('v2022'!$A:$A,A385)</f>
        <v>0</v>
      </c>
      <c r="I385" s="21">
        <f>countif('v2018'!$A:$A,A385)</f>
        <v>0</v>
      </c>
      <c r="J385" s="21">
        <f>countif('v2014'!$A:$A,A385)</f>
        <v>0</v>
      </c>
      <c r="K385" s="21">
        <f>countif('v2010'!$A:$A,A385)</f>
        <v>0</v>
      </c>
      <c r="L385" s="21">
        <f>countif('v2006'!$A:$A,A385)</f>
        <v>1</v>
      </c>
      <c r="M385" s="21">
        <f>countif('v2002'!$A:$A,A385)</f>
        <v>1</v>
      </c>
      <c r="N385" s="21">
        <f>countif('v1998'!$A:$A,A385)</f>
        <v>1</v>
      </c>
    </row>
    <row r="386">
      <c r="A386" s="17" t="s">
        <v>2817</v>
      </c>
      <c r="B386" s="17" t="s">
        <v>4541</v>
      </c>
      <c r="C386" s="23">
        <f>countif(Constants!A:A,B386)</f>
        <v>1</v>
      </c>
      <c r="E386" s="57" t="str">
        <f t="shared" si="1"/>
        <v>link</v>
      </c>
      <c r="G386" s="43">
        <f t="shared" si="2"/>
        <v>4</v>
      </c>
      <c r="H386" s="21">
        <f>countif('v2022'!$A:$A,A386)</f>
        <v>1</v>
      </c>
      <c r="I386" s="21">
        <f>countif('v2018'!$A:$A,A386)</f>
        <v>1</v>
      </c>
      <c r="J386" s="21">
        <f>countif('v2014'!$A:$A,A386)</f>
        <v>1</v>
      </c>
      <c r="K386" s="21">
        <f>countif('v2010'!$A:$A,A386)</f>
        <v>1</v>
      </c>
      <c r="L386" s="21">
        <f>countif('v2006'!$A:$A,A386)</f>
        <v>0</v>
      </c>
      <c r="M386" s="21">
        <f>countif('v2002'!$A:$A,A386)</f>
        <v>0</v>
      </c>
      <c r="N386" s="21">
        <f>countif('v1998'!$A:$A,A386)</f>
        <v>0</v>
      </c>
    </row>
    <row r="387">
      <c r="A387" s="17" t="s">
        <v>4546</v>
      </c>
      <c r="B387" s="17" t="s">
        <v>4541</v>
      </c>
      <c r="C387" s="23">
        <f>countif(Constants!A:A,B387)</f>
        <v>1</v>
      </c>
      <c r="E387" s="57" t="str">
        <f t="shared" si="1"/>
        <v>link</v>
      </c>
      <c r="G387" s="43">
        <f t="shared" si="2"/>
        <v>3</v>
      </c>
      <c r="H387" s="21">
        <f>countif('v2022'!$A:$A,A387)</f>
        <v>0</v>
      </c>
      <c r="I387" s="21">
        <f>countif('v2018'!$A:$A,A387)</f>
        <v>0</v>
      </c>
      <c r="J387" s="21">
        <f>countif('v2014'!$A:$A,A387)</f>
        <v>0</v>
      </c>
      <c r="K387" s="21">
        <f>countif('v2010'!$A:$A,A387)</f>
        <v>0</v>
      </c>
      <c r="L387" s="21">
        <f>countif('v2006'!$A:$A,A387)</f>
        <v>1</v>
      </c>
      <c r="M387" s="21">
        <f>countif('v2002'!$A:$A,A387)</f>
        <v>1</v>
      </c>
      <c r="N387" s="21">
        <f>countif('v1998'!$A:$A,A387)</f>
        <v>1</v>
      </c>
    </row>
    <row r="388">
      <c r="A388" s="17" t="s">
        <v>2823</v>
      </c>
      <c r="B388" s="17" t="s">
        <v>4550</v>
      </c>
      <c r="C388" s="23">
        <f>countif(Constants!A:A,B388)</f>
        <v>1</v>
      </c>
      <c r="E388" s="57" t="str">
        <f t="shared" si="1"/>
        <v>link</v>
      </c>
      <c r="G388" s="43">
        <f t="shared" si="2"/>
        <v>4</v>
      </c>
      <c r="H388" s="21">
        <f>countif('v2022'!$A:$A,A388)</f>
        <v>1</v>
      </c>
      <c r="I388" s="21">
        <f>countif('v2018'!$A:$A,A388)</f>
        <v>1</v>
      </c>
      <c r="J388" s="21">
        <f>countif('v2014'!$A:$A,A388)</f>
        <v>1</v>
      </c>
      <c r="K388" s="21">
        <f>countif('v2010'!$A:$A,A388)</f>
        <v>1</v>
      </c>
      <c r="L388" s="21">
        <f>countif('v2006'!$A:$A,A388)</f>
        <v>0</v>
      </c>
      <c r="M388" s="21">
        <f>countif('v2002'!$A:$A,A388)</f>
        <v>0</v>
      </c>
      <c r="N388" s="21">
        <f>countif('v1998'!$A:$A,A388)</f>
        <v>0</v>
      </c>
    </row>
    <row r="389">
      <c r="A389" s="17" t="s">
        <v>4557</v>
      </c>
      <c r="B389" s="17" t="s">
        <v>4550</v>
      </c>
      <c r="C389" s="23">
        <f>countif(Constants!A:A,B389)</f>
        <v>1</v>
      </c>
      <c r="E389" s="57" t="str">
        <f t="shared" si="1"/>
        <v>link</v>
      </c>
      <c r="G389" s="43">
        <f t="shared" si="2"/>
        <v>3</v>
      </c>
      <c r="H389" s="21">
        <f>countif('v2022'!$A:$A,A389)</f>
        <v>0</v>
      </c>
      <c r="I389" s="21">
        <f>countif('v2018'!$A:$A,A389)</f>
        <v>0</v>
      </c>
      <c r="J389" s="21">
        <f>countif('v2014'!$A:$A,A389)</f>
        <v>0</v>
      </c>
      <c r="K389" s="21">
        <f>countif('v2010'!$A:$A,A389)</f>
        <v>0</v>
      </c>
      <c r="L389" s="21">
        <f>countif('v2006'!$A:$A,A389)</f>
        <v>1</v>
      </c>
      <c r="M389" s="21">
        <f>countif('v2002'!$A:$A,A389)</f>
        <v>1</v>
      </c>
      <c r="N389" s="21">
        <f>countif('v1998'!$A:$A,A389)</f>
        <v>1</v>
      </c>
    </row>
    <row r="390">
      <c r="A390" s="17" t="s">
        <v>2834</v>
      </c>
      <c r="B390" s="17" t="s">
        <v>4561</v>
      </c>
      <c r="C390" s="23">
        <f>countif(Constants!A:A,B390)</f>
        <v>1</v>
      </c>
      <c r="E390" s="57" t="str">
        <f t="shared" si="1"/>
        <v>link</v>
      </c>
      <c r="G390" s="43">
        <f t="shared" si="2"/>
        <v>4</v>
      </c>
      <c r="H390" s="21">
        <f>countif('v2022'!$A:$A,A390)</f>
        <v>1</v>
      </c>
      <c r="I390" s="21">
        <f>countif('v2018'!$A:$A,A390)</f>
        <v>1</v>
      </c>
      <c r="J390" s="21">
        <f>countif('v2014'!$A:$A,A390)</f>
        <v>1</v>
      </c>
      <c r="K390" s="21">
        <f>countif('v2010'!$A:$A,A390)</f>
        <v>1</v>
      </c>
      <c r="L390" s="21">
        <f>countif('v2006'!$A:$A,A390)</f>
        <v>0</v>
      </c>
      <c r="M390" s="21">
        <f>countif('v2002'!$A:$A,A390)</f>
        <v>0</v>
      </c>
      <c r="N390" s="21">
        <f>countif('v1998'!$A:$A,A390)</f>
        <v>0</v>
      </c>
    </row>
    <row r="391">
      <c r="A391" s="17" t="s">
        <v>4569</v>
      </c>
      <c r="B391" s="17" t="s">
        <v>4561</v>
      </c>
      <c r="C391" s="23">
        <f>countif(Constants!A:A,B391)</f>
        <v>1</v>
      </c>
      <c r="E391" s="57" t="str">
        <f t="shared" si="1"/>
        <v>link</v>
      </c>
      <c r="G391" s="43">
        <f t="shared" si="2"/>
        <v>3</v>
      </c>
      <c r="H391" s="21">
        <f>countif('v2022'!$A:$A,A391)</f>
        <v>0</v>
      </c>
      <c r="I391" s="21">
        <f>countif('v2018'!$A:$A,A391)</f>
        <v>0</v>
      </c>
      <c r="J391" s="21">
        <f>countif('v2014'!$A:$A,A391)</f>
        <v>0</v>
      </c>
      <c r="K391" s="21">
        <f>countif('v2010'!$A:$A,A391)</f>
        <v>0</v>
      </c>
      <c r="L391" s="21">
        <f>countif('v2006'!$A:$A,A391)</f>
        <v>1</v>
      </c>
      <c r="M391" s="21">
        <f>countif('v2002'!$A:$A,A391)</f>
        <v>1</v>
      </c>
      <c r="N391" s="21">
        <f>countif('v1998'!$A:$A,A391)</f>
        <v>1</v>
      </c>
    </row>
    <row r="392">
      <c r="A392" s="17" t="s">
        <v>2838</v>
      </c>
      <c r="B392" s="17" t="s">
        <v>4573</v>
      </c>
      <c r="C392" s="23">
        <f>countif(Constants!A:A,B392)</f>
        <v>1</v>
      </c>
      <c r="E392" s="57" t="str">
        <f t="shared" si="1"/>
        <v>link</v>
      </c>
      <c r="G392" s="43">
        <f t="shared" si="2"/>
        <v>4</v>
      </c>
      <c r="H392" s="21">
        <f>countif('v2022'!$A:$A,A392)</f>
        <v>1</v>
      </c>
      <c r="I392" s="21">
        <f>countif('v2018'!$A:$A,A392)</f>
        <v>1</v>
      </c>
      <c r="J392" s="21">
        <f>countif('v2014'!$A:$A,A392)</f>
        <v>1</v>
      </c>
      <c r="K392" s="21">
        <f>countif('v2010'!$A:$A,A392)</f>
        <v>1</v>
      </c>
      <c r="L392" s="21">
        <f>countif('v2006'!$A:$A,A392)</f>
        <v>0</v>
      </c>
      <c r="M392" s="21">
        <f>countif('v2002'!$A:$A,A392)</f>
        <v>0</v>
      </c>
      <c r="N392" s="21">
        <f>countif('v1998'!$A:$A,A392)</f>
        <v>0</v>
      </c>
    </row>
    <row r="393">
      <c r="A393" s="17" t="s">
        <v>4577</v>
      </c>
      <c r="B393" s="17" t="s">
        <v>4573</v>
      </c>
      <c r="C393" s="23">
        <f>countif(Constants!A:A,B393)</f>
        <v>1</v>
      </c>
      <c r="E393" s="57" t="str">
        <f t="shared" si="1"/>
        <v>link</v>
      </c>
      <c r="G393" s="43">
        <f t="shared" si="2"/>
        <v>3</v>
      </c>
      <c r="H393" s="21">
        <f>countif('v2022'!$A:$A,A393)</f>
        <v>0</v>
      </c>
      <c r="I393" s="21">
        <f>countif('v2018'!$A:$A,A393)</f>
        <v>0</v>
      </c>
      <c r="J393" s="21">
        <f>countif('v2014'!$A:$A,A393)</f>
        <v>0</v>
      </c>
      <c r="K393" s="21">
        <f>countif('v2010'!$A:$A,A393)</f>
        <v>0</v>
      </c>
      <c r="L393" s="21">
        <f>countif('v2006'!$A:$A,A393)</f>
        <v>1</v>
      </c>
      <c r="M393" s="21">
        <f>countif('v2002'!$A:$A,A393)</f>
        <v>1</v>
      </c>
      <c r="N393" s="21">
        <f>countif('v1998'!$A:$A,A393)</f>
        <v>1</v>
      </c>
    </row>
    <row r="394">
      <c r="A394" s="17" t="s">
        <v>2845</v>
      </c>
      <c r="B394" s="17" t="s">
        <v>4581</v>
      </c>
      <c r="C394" s="23">
        <f>countif(Constants!A:A,B394)</f>
        <v>1</v>
      </c>
      <c r="E394" s="57" t="str">
        <f t="shared" si="1"/>
        <v>link</v>
      </c>
      <c r="G394" s="43">
        <f t="shared" si="2"/>
        <v>4</v>
      </c>
      <c r="H394" s="21">
        <f>countif('v2022'!$A:$A,A394)</f>
        <v>1</v>
      </c>
      <c r="I394" s="21">
        <f>countif('v2018'!$A:$A,A394)</f>
        <v>1</v>
      </c>
      <c r="J394" s="21">
        <f>countif('v2014'!$A:$A,A394)</f>
        <v>1</v>
      </c>
      <c r="K394" s="21">
        <f>countif('v2010'!$A:$A,A394)</f>
        <v>1</v>
      </c>
      <c r="L394" s="21">
        <f>countif('v2006'!$A:$A,A394)</f>
        <v>0</v>
      </c>
      <c r="M394" s="21">
        <f>countif('v2002'!$A:$A,A394)</f>
        <v>0</v>
      </c>
      <c r="N394" s="21">
        <f>countif('v1998'!$A:$A,A394)</f>
        <v>0</v>
      </c>
    </row>
    <row r="395">
      <c r="A395" s="17" t="s">
        <v>4589</v>
      </c>
      <c r="B395" s="17" t="s">
        <v>4581</v>
      </c>
      <c r="C395" s="23">
        <f>countif(Constants!A:A,B395)</f>
        <v>1</v>
      </c>
      <c r="E395" s="57" t="str">
        <f t="shared" si="1"/>
        <v>link</v>
      </c>
      <c r="G395" s="43">
        <f t="shared" si="2"/>
        <v>3</v>
      </c>
      <c r="H395" s="21">
        <f>countif('v2022'!$A:$A,A395)</f>
        <v>0</v>
      </c>
      <c r="I395" s="21">
        <f>countif('v2018'!$A:$A,A395)</f>
        <v>0</v>
      </c>
      <c r="J395" s="21">
        <f>countif('v2014'!$A:$A,A395)</f>
        <v>0</v>
      </c>
      <c r="K395" s="21">
        <f>countif('v2010'!$A:$A,A395)</f>
        <v>0</v>
      </c>
      <c r="L395" s="21">
        <f>countif('v2006'!$A:$A,A395)</f>
        <v>1</v>
      </c>
      <c r="M395" s="21">
        <f>countif('v2002'!$A:$A,A395)</f>
        <v>1</v>
      </c>
      <c r="N395" s="21">
        <f>countif('v1998'!$A:$A,A395)</f>
        <v>1</v>
      </c>
    </row>
    <row r="396">
      <c r="A396" s="17" t="s">
        <v>2850</v>
      </c>
      <c r="B396" s="17" t="s">
        <v>4598</v>
      </c>
      <c r="C396" s="23">
        <f>countif(Constants!A:A,B396)</f>
        <v>1</v>
      </c>
      <c r="E396" s="57" t="str">
        <f t="shared" si="1"/>
        <v>link</v>
      </c>
      <c r="G396" s="43">
        <f t="shared" si="2"/>
        <v>2</v>
      </c>
      <c r="H396" s="21">
        <f>countif('v2022'!$A:$A,A396)</f>
        <v>1</v>
      </c>
      <c r="I396" s="21">
        <f>countif('v2018'!$A:$A,A396)</f>
        <v>1</v>
      </c>
      <c r="J396" s="21">
        <f>countif('v2014'!$A:$A,A396)</f>
        <v>0</v>
      </c>
      <c r="K396" s="21">
        <f>countif('v2010'!$A:$A,A396)</f>
        <v>0</v>
      </c>
      <c r="L396" s="21">
        <f>countif('v2006'!$A:$A,A396)</f>
        <v>0</v>
      </c>
      <c r="M396" s="21">
        <f>countif('v2002'!$A:$A,A396)</f>
        <v>0</v>
      </c>
      <c r="N396" s="21">
        <f>countif('v1998'!$A:$A,A396)</f>
        <v>0</v>
      </c>
    </row>
    <row r="397">
      <c r="A397" s="17" t="s">
        <v>4160</v>
      </c>
      <c r="B397" s="17" t="s">
        <v>4598</v>
      </c>
      <c r="C397" s="23">
        <f>countif(Constants!A:A,B397)</f>
        <v>1</v>
      </c>
      <c r="E397" s="57" t="str">
        <f t="shared" si="1"/>
        <v>link</v>
      </c>
      <c r="G397" s="43">
        <f t="shared" si="2"/>
        <v>2</v>
      </c>
      <c r="H397" s="21">
        <f>countif('v2022'!$A:$A,A397)</f>
        <v>0</v>
      </c>
      <c r="I397" s="21">
        <f>countif('v2018'!$A:$A,A397)</f>
        <v>0</v>
      </c>
      <c r="J397" s="21">
        <f>countif('v2014'!$A:$A,A397)</f>
        <v>1</v>
      </c>
      <c r="K397" s="21">
        <f>countif('v2010'!$A:$A,A397)</f>
        <v>1</v>
      </c>
      <c r="L397" s="21">
        <f>countif('v2006'!$A:$A,A397)</f>
        <v>0</v>
      </c>
      <c r="M397" s="21">
        <f>countif('v2002'!$A:$A,A397)</f>
        <v>0</v>
      </c>
      <c r="N397" s="21">
        <f>countif('v1998'!$A:$A,A397)</f>
        <v>0</v>
      </c>
    </row>
    <row r="398">
      <c r="A398" s="17" t="s">
        <v>4619</v>
      </c>
      <c r="B398" s="17" t="s">
        <v>4598</v>
      </c>
      <c r="C398" s="23">
        <f>countif(Constants!A:A,B398)</f>
        <v>1</v>
      </c>
      <c r="E398" s="57" t="str">
        <f t="shared" si="1"/>
        <v>link</v>
      </c>
      <c r="G398" s="43">
        <f t="shared" si="2"/>
        <v>3</v>
      </c>
      <c r="H398" s="21">
        <f>countif('v2022'!$A:$A,A398)</f>
        <v>0</v>
      </c>
      <c r="I398" s="21">
        <f>countif('v2018'!$A:$A,A398)</f>
        <v>0</v>
      </c>
      <c r="J398" s="21">
        <f>countif('v2014'!$A:$A,A398)</f>
        <v>0</v>
      </c>
      <c r="K398" s="21">
        <f>countif('v2010'!$A:$A,A398)</f>
        <v>0</v>
      </c>
      <c r="L398" s="21">
        <f>countif('v2006'!$A:$A,A398)</f>
        <v>1</v>
      </c>
      <c r="M398" s="21">
        <f>countif('v2002'!$A:$A,A398)</f>
        <v>1</v>
      </c>
      <c r="N398" s="21">
        <f>countif('v1998'!$A:$A,A398)</f>
        <v>1</v>
      </c>
    </row>
    <row r="399">
      <c r="A399" s="17" t="s">
        <v>2853</v>
      </c>
      <c r="B399" s="17" t="s">
        <v>4622</v>
      </c>
      <c r="C399" s="23">
        <f>countif(Constants!A:A,B399)</f>
        <v>1</v>
      </c>
      <c r="E399" s="57" t="str">
        <f t="shared" si="1"/>
        <v>link</v>
      </c>
      <c r="G399" s="43">
        <f t="shared" si="2"/>
        <v>4</v>
      </c>
      <c r="H399" s="21">
        <f>countif('v2022'!$A:$A,A399)</f>
        <v>1</v>
      </c>
      <c r="I399" s="21">
        <f>countif('v2018'!$A:$A,A399)</f>
        <v>1</v>
      </c>
      <c r="J399" s="21">
        <f>countif('v2014'!$A:$A,A399)</f>
        <v>1</v>
      </c>
      <c r="K399" s="21">
        <f>countif('v2010'!$A:$A,A399)</f>
        <v>1</v>
      </c>
      <c r="L399" s="21">
        <f>countif('v2006'!$A:$A,A399)</f>
        <v>0</v>
      </c>
      <c r="M399" s="21">
        <f>countif('v2002'!$A:$A,A399)</f>
        <v>0</v>
      </c>
      <c r="N399" s="21">
        <f>countif('v1998'!$A:$A,A399)</f>
        <v>0</v>
      </c>
    </row>
    <row r="400">
      <c r="A400" s="17" t="s">
        <v>4627</v>
      </c>
      <c r="B400" s="17" t="s">
        <v>4622</v>
      </c>
      <c r="C400" s="23">
        <f>countif(Constants!A:A,B400)</f>
        <v>1</v>
      </c>
      <c r="E400" s="57" t="str">
        <f t="shared" si="1"/>
        <v>link</v>
      </c>
      <c r="G400" s="43">
        <f t="shared" si="2"/>
        <v>3</v>
      </c>
      <c r="H400" s="21">
        <f>countif('v2022'!$A:$A,A400)</f>
        <v>0</v>
      </c>
      <c r="I400" s="21">
        <f>countif('v2018'!$A:$A,A400)</f>
        <v>0</v>
      </c>
      <c r="J400" s="21">
        <f>countif('v2014'!$A:$A,A400)</f>
        <v>0</v>
      </c>
      <c r="K400" s="21">
        <f>countif('v2010'!$A:$A,A400)</f>
        <v>0</v>
      </c>
      <c r="L400" s="21">
        <f>countif('v2006'!$A:$A,A400)</f>
        <v>1</v>
      </c>
      <c r="M400" s="21">
        <f>countif('v2002'!$A:$A,A400)</f>
        <v>1</v>
      </c>
      <c r="N400" s="21">
        <f>countif('v1998'!$A:$A,A400)</f>
        <v>1</v>
      </c>
    </row>
    <row r="401">
      <c r="A401" s="17" t="s">
        <v>2858</v>
      </c>
      <c r="B401" s="17" t="s">
        <v>4631</v>
      </c>
      <c r="C401" s="23">
        <f>countif(Constants!A:A,B401)</f>
        <v>1</v>
      </c>
      <c r="E401" s="57" t="str">
        <f t="shared" si="1"/>
        <v>link</v>
      </c>
      <c r="G401" s="43">
        <f t="shared" si="2"/>
        <v>4</v>
      </c>
      <c r="H401" s="21">
        <f>countif('v2022'!$A:$A,A401)</f>
        <v>1</v>
      </c>
      <c r="I401" s="21">
        <f>countif('v2018'!$A:$A,A401)</f>
        <v>1</v>
      </c>
      <c r="J401" s="21">
        <f>countif('v2014'!$A:$A,A401)</f>
        <v>1</v>
      </c>
      <c r="K401" s="21">
        <f>countif('v2010'!$A:$A,A401)</f>
        <v>1</v>
      </c>
      <c r="L401" s="21">
        <f>countif('v2006'!$A:$A,A401)</f>
        <v>0</v>
      </c>
      <c r="M401" s="21">
        <f>countif('v2002'!$A:$A,A401)</f>
        <v>0</v>
      </c>
      <c r="N401" s="21">
        <f>countif('v1998'!$A:$A,A401)</f>
        <v>0</v>
      </c>
    </row>
    <row r="402">
      <c r="A402" s="17" t="s">
        <v>4638</v>
      </c>
      <c r="B402" s="17" t="s">
        <v>4631</v>
      </c>
      <c r="C402" s="23">
        <f>countif(Constants!A:A,B402)</f>
        <v>1</v>
      </c>
      <c r="E402" s="57" t="str">
        <f t="shared" si="1"/>
        <v>link</v>
      </c>
      <c r="G402" s="43">
        <f t="shared" si="2"/>
        <v>3</v>
      </c>
      <c r="H402" s="21">
        <f>countif('v2022'!$A:$A,A402)</f>
        <v>0</v>
      </c>
      <c r="I402" s="21">
        <f>countif('v2018'!$A:$A,A402)</f>
        <v>0</v>
      </c>
      <c r="J402" s="21">
        <f>countif('v2014'!$A:$A,A402)</f>
        <v>0</v>
      </c>
      <c r="K402" s="21">
        <f>countif('v2010'!$A:$A,A402)</f>
        <v>0</v>
      </c>
      <c r="L402" s="21">
        <f>countif('v2006'!$A:$A,A402)</f>
        <v>1</v>
      </c>
      <c r="M402" s="21">
        <f>countif('v2002'!$A:$A,A402)</f>
        <v>1</v>
      </c>
      <c r="N402" s="21">
        <f>countif('v1998'!$A:$A,A402)</f>
        <v>1</v>
      </c>
    </row>
    <row r="403">
      <c r="A403" s="17" t="s">
        <v>2863</v>
      </c>
      <c r="B403" s="17" t="s">
        <v>4643</v>
      </c>
      <c r="C403" s="23">
        <f>countif(Constants!A:A,B403)</f>
        <v>1</v>
      </c>
      <c r="E403" s="57" t="str">
        <f t="shared" si="1"/>
        <v>link</v>
      </c>
      <c r="G403" s="43">
        <f t="shared" si="2"/>
        <v>4</v>
      </c>
      <c r="H403" s="21">
        <f>countif('v2022'!$A:$A,A403)</f>
        <v>1</v>
      </c>
      <c r="I403" s="21">
        <f>countif('v2018'!$A:$A,A403)</f>
        <v>1</v>
      </c>
      <c r="J403" s="21">
        <f>countif('v2014'!$A:$A,A403)</f>
        <v>1</v>
      </c>
      <c r="K403" s="21">
        <f>countif('v2010'!$A:$A,A403)</f>
        <v>1</v>
      </c>
      <c r="L403" s="21">
        <f>countif('v2006'!$A:$A,A403)</f>
        <v>0</v>
      </c>
      <c r="M403" s="21">
        <f>countif('v2002'!$A:$A,A403)</f>
        <v>0</v>
      </c>
      <c r="N403" s="21">
        <f>countif('v1998'!$A:$A,A403)</f>
        <v>0</v>
      </c>
    </row>
    <row r="404">
      <c r="A404" s="17" t="s">
        <v>4647</v>
      </c>
      <c r="B404" s="17" t="s">
        <v>4643</v>
      </c>
      <c r="C404" s="23">
        <f>countif(Constants!A:A,B404)</f>
        <v>1</v>
      </c>
      <c r="E404" s="57" t="str">
        <f t="shared" si="1"/>
        <v>link</v>
      </c>
      <c r="G404" s="43">
        <f t="shared" si="2"/>
        <v>3</v>
      </c>
      <c r="H404" s="21">
        <f>countif('v2022'!$A:$A,A404)</f>
        <v>0</v>
      </c>
      <c r="I404" s="21">
        <f>countif('v2018'!$A:$A,A404)</f>
        <v>0</v>
      </c>
      <c r="J404" s="21">
        <f>countif('v2014'!$A:$A,A404)</f>
        <v>0</v>
      </c>
      <c r="K404" s="21">
        <f>countif('v2010'!$A:$A,A404)</f>
        <v>0</v>
      </c>
      <c r="L404" s="21">
        <f>countif('v2006'!$A:$A,A404)</f>
        <v>1</v>
      </c>
      <c r="M404" s="21">
        <f>countif('v2002'!$A:$A,A404)</f>
        <v>1</v>
      </c>
      <c r="N404" s="21">
        <f>countif('v1998'!$A:$A,A404)</f>
        <v>1</v>
      </c>
    </row>
    <row r="405">
      <c r="A405" s="17" t="s">
        <v>2866</v>
      </c>
      <c r="B405" s="17" t="s">
        <v>4653</v>
      </c>
      <c r="C405" s="23">
        <f>countif(Constants!A:A,B405)</f>
        <v>1</v>
      </c>
      <c r="E405" s="57" t="str">
        <f t="shared" si="1"/>
        <v>link</v>
      </c>
      <c r="G405" s="43">
        <f t="shared" si="2"/>
        <v>2</v>
      </c>
      <c r="H405" s="21">
        <f>countif('v2022'!$A:$A,A405)</f>
        <v>1</v>
      </c>
      <c r="I405" s="21">
        <f>countif('v2018'!$A:$A,A405)</f>
        <v>1</v>
      </c>
      <c r="J405" s="21">
        <f>countif('v2014'!$A:$A,A405)</f>
        <v>0</v>
      </c>
      <c r="K405" s="21">
        <f>countif('v2010'!$A:$A,A405)</f>
        <v>0</v>
      </c>
      <c r="L405" s="21">
        <f>countif('v2006'!$A:$A,A405)</f>
        <v>0</v>
      </c>
      <c r="M405" s="21">
        <f>countif('v2002'!$A:$A,A405)</f>
        <v>0</v>
      </c>
      <c r="N405" s="21">
        <f>countif('v1998'!$A:$A,A405)</f>
        <v>0</v>
      </c>
    </row>
    <row r="406">
      <c r="A406" s="17" t="s">
        <v>2872</v>
      </c>
      <c r="B406" s="17" t="s">
        <v>4655</v>
      </c>
      <c r="C406" s="23">
        <f>countif(Constants!A:A,B406)</f>
        <v>1</v>
      </c>
      <c r="E406" s="57" t="str">
        <f t="shared" si="1"/>
        <v>link</v>
      </c>
      <c r="G406" s="43">
        <f t="shared" si="2"/>
        <v>2</v>
      </c>
      <c r="H406" s="21">
        <f>countif('v2022'!$A:$A,A406)</f>
        <v>1</v>
      </c>
      <c r="I406" s="21">
        <f>countif('v2018'!$A:$A,A406)</f>
        <v>1</v>
      </c>
      <c r="J406" s="21">
        <f>countif('v2014'!$A:$A,A406)</f>
        <v>0</v>
      </c>
      <c r="K406" s="21">
        <f>countif('v2010'!$A:$A,A406)</f>
        <v>0</v>
      </c>
      <c r="L406" s="21">
        <f>countif('v2006'!$A:$A,A406)</f>
        <v>0</v>
      </c>
      <c r="M406" s="21">
        <f>countif('v2002'!$A:$A,A406)</f>
        <v>0</v>
      </c>
      <c r="N406" s="21">
        <f>countif('v1998'!$A:$A,A406)</f>
        <v>0</v>
      </c>
    </row>
    <row r="407">
      <c r="A407" s="17" t="s">
        <v>2877</v>
      </c>
      <c r="B407" s="17" t="s">
        <v>4659</v>
      </c>
      <c r="C407" s="23">
        <f>countif(Constants!A:A,B407)</f>
        <v>1</v>
      </c>
      <c r="E407" s="57" t="str">
        <f t="shared" si="1"/>
        <v>link</v>
      </c>
      <c r="G407" s="43">
        <f t="shared" si="2"/>
        <v>7</v>
      </c>
      <c r="H407" s="21">
        <f>countif('v2022'!$A:$A,A407)</f>
        <v>1</v>
      </c>
      <c r="I407" s="21">
        <f>countif('v2018'!$A:$A,A407)</f>
        <v>1</v>
      </c>
      <c r="J407" s="21">
        <f>countif('v2014'!$A:$A,A407)</f>
        <v>1</v>
      </c>
      <c r="K407" s="21">
        <f>countif('v2010'!$A:$A,A407)</f>
        <v>1</v>
      </c>
      <c r="L407" s="21">
        <f>countif('v2006'!$A:$A,A407)</f>
        <v>1</v>
      </c>
      <c r="M407" s="21">
        <f>countif('v2002'!$A:$A,A407)</f>
        <v>1</v>
      </c>
      <c r="N407" s="21">
        <f>countif('v1998'!$A:$A,A407)</f>
        <v>1</v>
      </c>
    </row>
    <row r="408">
      <c r="A408" s="17" t="s">
        <v>2880</v>
      </c>
      <c r="B408" s="17" t="s">
        <v>4662</v>
      </c>
      <c r="C408" s="23">
        <f>countif(Constants!A:A,B408)</f>
        <v>1</v>
      </c>
      <c r="E408" s="57" t="str">
        <f t="shared" si="1"/>
        <v>link</v>
      </c>
      <c r="G408" s="43">
        <f t="shared" si="2"/>
        <v>7</v>
      </c>
      <c r="H408" s="21">
        <f>countif('v2022'!$A:$A,A408)</f>
        <v>1</v>
      </c>
      <c r="I408" s="21">
        <f>countif('v2018'!$A:$A,A408)</f>
        <v>1</v>
      </c>
      <c r="J408" s="21">
        <f>countif('v2014'!$A:$A,A408)</f>
        <v>1</v>
      </c>
      <c r="K408" s="21">
        <f>countif('v2010'!$A:$A,A408)</f>
        <v>1</v>
      </c>
      <c r="L408" s="21">
        <f>countif('v2006'!$A:$A,A408)</f>
        <v>1</v>
      </c>
      <c r="M408" s="21">
        <f>countif('v2002'!$A:$A,A408)</f>
        <v>1</v>
      </c>
      <c r="N408" s="21">
        <f>countif('v1998'!$A:$A,A408)</f>
        <v>1</v>
      </c>
    </row>
    <row r="409">
      <c r="A409" s="17" t="s">
        <v>2886</v>
      </c>
      <c r="B409" s="17" t="s">
        <v>4671</v>
      </c>
      <c r="C409" s="23">
        <f>countif(Constants!A:A,B409)</f>
        <v>1</v>
      </c>
      <c r="E409" s="57" t="str">
        <f t="shared" si="1"/>
        <v>link</v>
      </c>
      <c r="G409" s="43">
        <f t="shared" si="2"/>
        <v>7</v>
      </c>
      <c r="H409" s="21">
        <f>countif('v2022'!$A:$A,A409)</f>
        <v>1</v>
      </c>
      <c r="I409" s="21">
        <f>countif('v2018'!$A:$A,A409)</f>
        <v>1</v>
      </c>
      <c r="J409" s="21">
        <f>countif('v2014'!$A:$A,A409)</f>
        <v>1</v>
      </c>
      <c r="K409" s="21">
        <f>countif('v2010'!$A:$A,A409)</f>
        <v>1</v>
      </c>
      <c r="L409" s="21">
        <f>countif('v2006'!$A:$A,A409)</f>
        <v>1</v>
      </c>
      <c r="M409" s="21">
        <f>countif('v2002'!$A:$A,A409)</f>
        <v>1</v>
      </c>
      <c r="N409" s="21">
        <f>countif('v1998'!$A:$A,A409)</f>
        <v>1</v>
      </c>
    </row>
    <row r="410">
      <c r="A410" s="17" t="s">
        <v>2888</v>
      </c>
      <c r="B410" s="17" t="s">
        <v>4682</v>
      </c>
      <c r="C410" s="23">
        <f>countif(Constants!A:A,B410)</f>
        <v>1</v>
      </c>
      <c r="E410" s="57" t="str">
        <f t="shared" si="1"/>
        <v>link</v>
      </c>
      <c r="G410" s="43">
        <f t="shared" si="2"/>
        <v>4</v>
      </c>
      <c r="H410" s="21">
        <f>countif('v2022'!$A:$A,A410)</f>
        <v>1</v>
      </c>
      <c r="I410" s="21">
        <f>countif('v2018'!$A:$A,A410)</f>
        <v>1</v>
      </c>
      <c r="J410" s="21">
        <f>countif('v2014'!$A:$A,A410)</f>
        <v>1</v>
      </c>
      <c r="K410" s="21">
        <f>countif('v2010'!$A:$A,A410)</f>
        <v>1</v>
      </c>
      <c r="L410" s="21">
        <f>countif('v2006'!$A:$A,A410)</f>
        <v>0</v>
      </c>
      <c r="M410" s="21">
        <f>countif('v2002'!$A:$A,A410)</f>
        <v>0</v>
      </c>
      <c r="N410" s="21">
        <f>countif('v1998'!$A:$A,A410)</f>
        <v>0</v>
      </c>
    </row>
    <row r="411">
      <c r="A411" s="17" t="s">
        <v>2890</v>
      </c>
      <c r="B411" s="17" t="s">
        <v>4688</v>
      </c>
      <c r="C411" s="23">
        <f>countif(Constants!A:A,B411)</f>
        <v>1</v>
      </c>
      <c r="E411" s="57" t="str">
        <f t="shared" si="1"/>
        <v>link</v>
      </c>
      <c r="G411" s="43">
        <f t="shared" si="2"/>
        <v>7</v>
      </c>
      <c r="H411" s="21">
        <f>countif('v2022'!$A:$A,A411)</f>
        <v>1</v>
      </c>
      <c r="I411" s="21">
        <f>countif('v2018'!$A:$A,A411)</f>
        <v>1</v>
      </c>
      <c r="J411" s="21">
        <f>countif('v2014'!$A:$A,A411)</f>
        <v>1</v>
      </c>
      <c r="K411" s="21">
        <f>countif('v2010'!$A:$A,A411)</f>
        <v>1</v>
      </c>
      <c r="L411" s="21">
        <f>countif('v2006'!$A:$A,A411)</f>
        <v>1</v>
      </c>
      <c r="M411" s="21">
        <f>countif('v2002'!$A:$A,A411)</f>
        <v>1</v>
      </c>
      <c r="N411" s="21">
        <f>countif('v1998'!$A:$A,A411)</f>
        <v>1</v>
      </c>
    </row>
    <row r="412">
      <c r="A412" s="17" t="s">
        <v>2896</v>
      </c>
      <c r="B412" s="17" t="s">
        <v>4696</v>
      </c>
      <c r="C412" s="23">
        <f>countif(Constants!A:A,B412)</f>
        <v>1</v>
      </c>
      <c r="E412" s="57" t="str">
        <f t="shared" si="1"/>
        <v>link</v>
      </c>
      <c r="G412" s="43">
        <f t="shared" si="2"/>
        <v>7</v>
      </c>
      <c r="H412" s="21">
        <f>countif('v2022'!$A:$A,A412)</f>
        <v>1</v>
      </c>
      <c r="I412" s="21">
        <f>countif('v2018'!$A:$A,A412)</f>
        <v>1</v>
      </c>
      <c r="J412" s="21">
        <f>countif('v2014'!$A:$A,A412)</f>
        <v>1</v>
      </c>
      <c r="K412" s="21">
        <f>countif('v2010'!$A:$A,A412)</f>
        <v>1</v>
      </c>
      <c r="L412" s="21">
        <f>countif('v2006'!$A:$A,A412)</f>
        <v>1</v>
      </c>
      <c r="M412" s="21">
        <f>countif('v2002'!$A:$A,A412)</f>
        <v>1</v>
      </c>
      <c r="N412" s="21">
        <f>countif('v1998'!$A:$A,A412)</f>
        <v>1</v>
      </c>
    </row>
    <row r="413">
      <c r="A413" s="17" t="s">
        <v>4186</v>
      </c>
      <c r="B413" s="17" t="s">
        <v>4425</v>
      </c>
      <c r="C413" s="23">
        <f>countif(Constants!A:A,B413)</f>
        <v>1</v>
      </c>
      <c r="E413" s="57" t="str">
        <f t="shared" si="1"/>
        <v>link</v>
      </c>
      <c r="G413" s="43">
        <f t="shared" si="2"/>
        <v>5</v>
      </c>
      <c r="H413" s="21">
        <f>countif('v2022'!$A:$A,A413)</f>
        <v>0</v>
      </c>
      <c r="I413" s="21">
        <f>countif('v2018'!$A:$A,A413)</f>
        <v>0</v>
      </c>
      <c r="J413" s="21">
        <f>countif('v2014'!$A:$A,A413)</f>
        <v>1</v>
      </c>
      <c r="K413" s="21">
        <f>countif('v2010'!$A:$A,A413)</f>
        <v>1</v>
      </c>
      <c r="L413" s="21">
        <f>countif('v2006'!$A:$A,A413)</f>
        <v>1</v>
      </c>
      <c r="M413" s="21">
        <f>countif('v2002'!$A:$A,A413)</f>
        <v>1</v>
      </c>
      <c r="N413" s="21">
        <f>countif('v1998'!$A:$A,A413)</f>
        <v>1</v>
      </c>
    </row>
    <row r="414">
      <c r="A414" s="17" t="s">
        <v>2906</v>
      </c>
      <c r="B414" s="17" t="s">
        <v>4707</v>
      </c>
      <c r="C414" s="23">
        <f>countif(Constants!A:A,B414)</f>
        <v>1</v>
      </c>
      <c r="E414" s="57" t="str">
        <f t="shared" si="1"/>
        <v>link</v>
      </c>
      <c r="G414" s="43">
        <f t="shared" si="2"/>
        <v>5</v>
      </c>
      <c r="H414" s="21">
        <f>countif('v2022'!$A:$A,A414)</f>
        <v>1</v>
      </c>
      <c r="I414" s="21">
        <f>countif('v2018'!$A:$A,A414)</f>
        <v>1</v>
      </c>
      <c r="J414" s="21">
        <f>countif('v2014'!$A:$A,A414)</f>
        <v>0</v>
      </c>
      <c r="K414" s="21">
        <f>countif('v2010'!$A:$A,A414)</f>
        <v>0</v>
      </c>
      <c r="L414" s="21">
        <f>countif('v2006'!$A:$A,A414)</f>
        <v>1</v>
      </c>
      <c r="M414" s="21">
        <f>countif('v2002'!$A:$A,A414)</f>
        <v>1</v>
      </c>
      <c r="N414" s="21">
        <f>countif('v1998'!$A:$A,A414)</f>
        <v>1</v>
      </c>
    </row>
    <row r="415">
      <c r="A415" s="17" t="s">
        <v>2910</v>
      </c>
      <c r="B415" s="17" t="s">
        <v>4711</v>
      </c>
      <c r="C415" s="23">
        <f>countif(Constants!A:A,B415)</f>
        <v>1</v>
      </c>
      <c r="E415" s="57" t="str">
        <f t="shared" si="1"/>
        <v>link</v>
      </c>
      <c r="G415" s="43">
        <f t="shared" si="2"/>
        <v>7</v>
      </c>
      <c r="H415" s="21">
        <f>countif('v2022'!$A:$A,A415)</f>
        <v>1</v>
      </c>
      <c r="I415" s="21">
        <f>countif('v2018'!$A:$A,A415)</f>
        <v>1</v>
      </c>
      <c r="J415" s="21">
        <f>countif('v2014'!$A:$A,A415)</f>
        <v>1</v>
      </c>
      <c r="K415" s="21">
        <f>countif('v2010'!$A:$A,A415)</f>
        <v>1</v>
      </c>
      <c r="L415" s="21">
        <f>countif('v2006'!$A:$A,A415)</f>
        <v>1</v>
      </c>
      <c r="M415" s="21">
        <f>countif('v2002'!$A:$A,A415)</f>
        <v>1</v>
      </c>
      <c r="N415" s="21">
        <f>countif('v1998'!$A:$A,A415)</f>
        <v>1</v>
      </c>
    </row>
    <row r="416">
      <c r="A416" s="17" t="s">
        <v>2915</v>
      </c>
      <c r="B416" s="17" t="s">
        <v>4719</v>
      </c>
      <c r="C416" s="23">
        <f>countif(Constants!A:A,B416)</f>
        <v>1</v>
      </c>
      <c r="E416" s="57" t="str">
        <f t="shared" si="1"/>
        <v>link</v>
      </c>
      <c r="G416" s="43">
        <f t="shared" si="2"/>
        <v>7</v>
      </c>
      <c r="H416" s="21">
        <f>countif('v2022'!$A:$A,A416)</f>
        <v>1</v>
      </c>
      <c r="I416" s="21">
        <f>countif('v2018'!$A:$A,A416)</f>
        <v>1</v>
      </c>
      <c r="J416" s="21">
        <f>countif('v2014'!$A:$A,A416)</f>
        <v>1</v>
      </c>
      <c r="K416" s="21">
        <f>countif('v2010'!$A:$A,A416)</f>
        <v>1</v>
      </c>
      <c r="L416" s="21">
        <f>countif('v2006'!$A:$A,A416)</f>
        <v>1</v>
      </c>
      <c r="M416" s="21">
        <f>countif('v2002'!$A:$A,A416)</f>
        <v>1</v>
      </c>
      <c r="N416" s="21">
        <f>countif('v1998'!$A:$A,A416)</f>
        <v>1</v>
      </c>
    </row>
    <row r="417">
      <c r="A417" s="17" t="s">
        <v>4201</v>
      </c>
      <c r="B417" s="17" t="s">
        <v>4707</v>
      </c>
      <c r="C417" s="23">
        <f>countif(Constants!A:A,B417)</f>
        <v>1</v>
      </c>
      <c r="E417" s="57" t="str">
        <f t="shared" si="1"/>
        <v>link</v>
      </c>
      <c r="G417" s="43">
        <f t="shared" si="2"/>
        <v>2</v>
      </c>
      <c r="H417" s="21">
        <f>countif('v2022'!$A:$A,A417)</f>
        <v>0</v>
      </c>
      <c r="I417" s="21">
        <f>countif('v2018'!$A:$A,A417)</f>
        <v>0</v>
      </c>
      <c r="J417" s="21">
        <f>countif('v2014'!$A:$A,A417)</f>
        <v>1</v>
      </c>
      <c r="K417" s="21">
        <f>countif('v2010'!$A:$A,A417)</f>
        <v>1</v>
      </c>
      <c r="L417" s="21">
        <f>countif('v2006'!$A:$A,A417)</f>
        <v>0</v>
      </c>
      <c r="M417" s="21">
        <f>countif('v2002'!$A:$A,A417)</f>
        <v>0</v>
      </c>
      <c r="N417" s="21">
        <f>countif('v1998'!$A:$A,A417)</f>
        <v>0</v>
      </c>
    </row>
    <row r="418">
      <c r="A418" s="17" t="s">
        <v>2920</v>
      </c>
      <c r="B418" s="17" t="s">
        <v>4730</v>
      </c>
      <c r="C418" s="23">
        <f>countif(Constants!A:A,B418)</f>
        <v>1</v>
      </c>
      <c r="E418" s="57" t="str">
        <f t="shared" si="1"/>
        <v>link</v>
      </c>
      <c r="G418" s="43">
        <f t="shared" si="2"/>
        <v>7</v>
      </c>
      <c r="H418" s="21">
        <f>countif('v2022'!$A:$A,A418)</f>
        <v>1</v>
      </c>
      <c r="I418" s="21">
        <f>countif('v2018'!$A:$A,A418)</f>
        <v>1</v>
      </c>
      <c r="J418" s="21">
        <f>countif('v2014'!$A:$A,A418)</f>
        <v>1</v>
      </c>
      <c r="K418" s="21">
        <f>countif('v2010'!$A:$A,A418)</f>
        <v>1</v>
      </c>
      <c r="L418" s="21">
        <f>countif('v2006'!$A:$A,A418)</f>
        <v>1</v>
      </c>
      <c r="M418" s="21">
        <f>countif('v2002'!$A:$A,A418)</f>
        <v>1</v>
      </c>
      <c r="N418" s="21">
        <f>countif('v1998'!$A:$A,A418)</f>
        <v>1</v>
      </c>
    </row>
    <row r="419">
      <c r="A419" s="17" t="s">
        <v>2928</v>
      </c>
      <c r="B419" s="17" t="s">
        <v>4735</v>
      </c>
      <c r="C419" s="23">
        <f>countif(Constants!A:A,B419)</f>
        <v>1</v>
      </c>
      <c r="E419" s="57" t="str">
        <f t="shared" si="1"/>
        <v>link</v>
      </c>
      <c r="G419" s="43">
        <f t="shared" si="2"/>
        <v>7</v>
      </c>
      <c r="H419" s="21">
        <f>countif('v2022'!$A:$A,A419)</f>
        <v>1</v>
      </c>
      <c r="I419" s="21">
        <f>countif('v2018'!$A:$A,A419)</f>
        <v>1</v>
      </c>
      <c r="J419" s="21">
        <f>countif('v2014'!$A:$A,A419)</f>
        <v>1</v>
      </c>
      <c r="K419" s="21">
        <f>countif('v2010'!$A:$A,A419)</f>
        <v>1</v>
      </c>
      <c r="L419" s="21">
        <f>countif('v2006'!$A:$A,A419)</f>
        <v>1</v>
      </c>
      <c r="M419" s="21">
        <f>countif('v2002'!$A:$A,A419)</f>
        <v>1</v>
      </c>
      <c r="N419" s="21">
        <f>countif('v1998'!$A:$A,A419)</f>
        <v>1</v>
      </c>
    </row>
    <row r="420">
      <c r="A420" s="17" t="s">
        <v>2901</v>
      </c>
      <c r="B420" s="17" t="s">
        <v>4740</v>
      </c>
      <c r="C420" s="23">
        <f>countif(Constants!A:A,B420)</f>
        <v>1</v>
      </c>
      <c r="E420" s="57" t="str">
        <f t="shared" si="1"/>
        <v>link</v>
      </c>
      <c r="G420" s="43">
        <f t="shared" si="2"/>
        <v>7</v>
      </c>
      <c r="H420" s="21">
        <f>countif('v2022'!$A:$A,A420)</f>
        <v>1</v>
      </c>
      <c r="I420" s="21">
        <f>countif('v2018'!$A:$A,A420)</f>
        <v>1</v>
      </c>
      <c r="J420" s="21">
        <f>countif('v2014'!$A:$A,A420)</f>
        <v>1</v>
      </c>
      <c r="K420" s="21">
        <f>countif('v2010'!$A:$A,A420)</f>
        <v>1</v>
      </c>
      <c r="L420" s="21">
        <f>countif('v2006'!$A:$A,A420)</f>
        <v>1</v>
      </c>
      <c r="M420" s="21">
        <f>countif('v2002'!$A:$A,A420)</f>
        <v>1</v>
      </c>
      <c r="N420" s="21">
        <f>countif('v1998'!$A:$A,A420)</f>
        <v>1</v>
      </c>
    </row>
    <row r="421">
      <c r="A421" s="17" t="s">
        <v>2931</v>
      </c>
      <c r="B421" s="17" t="s">
        <v>4749</v>
      </c>
      <c r="C421" s="23">
        <f>countif(Constants!A:A,B421)</f>
        <v>1</v>
      </c>
      <c r="E421" s="57" t="str">
        <f t="shared" si="1"/>
        <v>link</v>
      </c>
      <c r="G421" s="43">
        <f t="shared" si="2"/>
        <v>7</v>
      </c>
      <c r="H421" s="21">
        <f>countif('v2022'!$A:$A,A421)</f>
        <v>1</v>
      </c>
      <c r="I421" s="21">
        <f>countif('v2018'!$A:$A,A421)</f>
        <v>1</v>
      </c>
      <c r="J421" s="21">
        <f>countif('v2014'!$A:$A,A421)</f>
        <v>1</v>
      </c>
      <c r="K421" s="21">
        <f>countif('v2010'!$A:$A,A421)</f>
        <v>1</v>
      </c>
      <c r="L421" s="21">
        <f>countif('v2006'!$A:$A,A421)</f>
        <v>1</v>
      </c>
      <c r="M421" s="21">
        <f>countif('v2002'!$A:$A,A421)</f>
        <v>1</v>
      </c>
      <c r="N421" s="21">
        <f>countif('v1998'!$A:$A,A421)</f>
        <v>1</v>
      </c>
    </row>
    <row r="422">
      <c r="A422" s="17" t="s">
        <v>2935</v>
      </c>
      <c r="B422" s="17" t="s">
        <v>4753</v>
      </c>
      <c r="C422" s="23">
        <f>countif(Constants!A:A,B422)</f>
        <v>1</v>
      </c>
      <c r="E422" s="57" t="str">
        <f t="shared" si="1"/>
        <v>link</v>
      </c>
      <c r="G422" s="43">
        <f t="shared" si="2"/>
        <v>7</v>
      </c>
      <c r="H422" s="21">
        <f>countif('v2022'!$A:$A,A422)</f>
        <v>1</v>
      </c>
      <c r="I422" s="21">
        <f>countif('v2018'!$A:$A,A422)</f>
        <v>1</v>
      </c>
      <c r="J422" s="21">
        <f>countif('v2014'!$A:$A,A422)</f>
        <v>1</v>
      </c>
      <c r="K422" s="21">
        <f>countif('v2010'!$A:$A,A422)</f>
        <v>1</v>
      </c>
      <c r="L422" s="21">
        <f>countif('v2006'!$A:$A,A422)</f>
        <v>1</v>
      </c>
      <c r="M422" s="21">
        <f>countif('v2002'!$A:$A,A422)</f>
        <v>1</v>
      </c>
      <c r="N422" s="21">
        <f>countif('v1998'!$A:$A,A422)</f>
        <v>1</v>
      </c>
    </row>
    <row r="423">
      <c r="A423" s="17" t="s">
        <v>2941</v>
      </c>
      <c r="B423" s="17" t="s">
        <v>4757</v>
      </c>
      <c r="C423" s="23">
        <f>countif(Constants!A:A,B423)</f>
        <v>1</v>
      </c>
      <c r="E423" s="57" t="str">
        <f t="shared" si="1"/>
        <v>link</v>
      </c>
      <c r="G423" s="43">
        <f t="shared" si="2"/>
        <v>7</v>
      </c>
      <c r="H423" s="21">
        <f>countif('v2022'!$A:$A,A423)</f>
        <v>1</v>
      </c>
      <c r="I423" s="21">
        <f>countif('v2018'!$A:$A,A423)</f>
        <v>1</v>
      </c>
      <c r="J423" s="21">
        <f>countif('v2014'!$A:$A,A423)</f>
        <v>1</v>
      </c>
      <c r="K423" s="21">
        <f>countif('v2010'!$A:$A,A423)</f>
        <v>1</v>
      </c>
      <c r="L423" s="21">
        <f>countif('v2006'!$A:$A,A423)</f>
        <v>1</v>
      </c>
      <c r="M423" s="21">
        <f>countif('v2002'!$A:$A,A423)</f>
        <v>1</v>
      </c>
      <c r="N423" s="21">
        <f>countif('v1998'!$A:$A,A423)</f>
        <v>1</v>
      </c>
    </row>
    <row r="424">
      <c r="A424" s="17" t="s">
        <v>2943</v>
      </c>
      <c r="B424" s="17" t="s">
        <v>4761</v>
      </c>
      <c r="C424" s="23">
        <f>countif(Constants!A:A,B424)</f>
        <v>1</v>
      </c>
      <c r="E424" s="57" t="str">
        <f t="shared" si="1"/>
        <v>link</v>
      </c>
      <c r="G424" s="43">
        <f t="shared" si="2"/>
        <v>7</v>
      </c>
      <c r="H424" s="21">
        <f>countif('v2022'!$A:$A,A424)</f>
        <v>1</v>
      </c>
      <c r="I424" s="21">
        <f>countif('v2018'!$A:$A,A424)</f>
        <v>1</v>
      </c>
      <c r="J424" s="21">
        <f>countif('v2014'!$A:$A,A424)</f>
        <v>1</v>
      </c>
      <c r="K424" s="21">
        <f>countif('v2010'!$A:$A,A424)</f>
        <v>1</v>
      </c>
      <c r="L424" s="21">
        <f>countif('v2006'!$A:$A,A424)</f>
        <v>1</v>
      </c>
      <c r="M424" s="21">
        <f>countif('v2002'!$A:$A,A424)</f>
        <v>1</v>
      </c>
      <c r="N424" s="21">
        <f>countif('v1998'!$A:$A,A424)</f>
        <v>1</v>
      </c>
    </row>
    <row r="425">
      <c r="A425" s="17" t="s">
        <v>2955</v>
      </c>
      <c r="B425" s="17" t="s">
        <v>4765</v>
      </c>
      <c r="C425" s="23">
        <f>countif(Constants!A:A,B425)</f>
        <v>1</v>
      </c>
      <c r="E425" s="57" t="str">
        <f t="shared" si="1"/>
        <v>link</v>
      </c>
      <c r="G425" s="43">
        <f t="shared" si="2"/>
        <v>5</v>
      </c>
      <c r="H425" s="21">
        <f>countif('v2022'!$A:$A,A425)</f>
        <v>1</v>
      </c>
      <c r="I425" s="21">
        <f>countif('v2018'!$A:$A,A425)</f>
        <v>1</v>
      </c>
      <c r="J425" s="21">
        <f>countif('v2014'!$A:$A,A425)</f>
        <v>1</v>
      </c>
      <c r="K425" s="21">
        <f>countif('v2010'!$A:$A,A425)</f>
        <v>1</v>
      </c>
      <c r="L425" s="21">
        <f>countif('v2006'!$A:$A,A425)</f>
        <v>1</v>
      </c>
      <c r="M425" s="21">
        <f>countif('v2002'!$A:$A,A425)</f>
        <v>0</v>
      </c>
      <c r="N425" s="21">
        <f>countif('v1998'!$A:$A,A425)</f>
        <v>0</v>
      </c>
    </row>
    <row r="426">
      <c r="A426" s="17" t="s">
        <v>2958</v>
      </c>
      <c r="B426" s="17" t="s">
        <v>4769</v>
      </c>
      <c r="C426" s="23">
        <f>countif(Constants!A:A,B426)</f>
        <v>1</v>
      </c>
      <c r="E426" s="57" t="str">
        <f t="shared" si="1"/>
        <v>link</v>
      </c>
      <c r="G426" s="43">
        <f t="shared" si="2"/>
        <v>4</v>
      </c>
      <c r="H426" s="21">
        <f>countif('v2022'!$A:$A,A426)</f>
        <v>1</v>
      </c>
      <c r="I426" s="21">
        <f>countif('v2018'!$A:$A,A426)</f>
        <v>1</v>
      </c>
      <c r="J426" s="21">
        <f>countif('v2014'!$A:$A,A426)</f>
        <v>1</v>
      </c>
      <c r="K426" s="21">
        <f>countif('v2010'!$A:$A,A426)</f>
        <v>1</v>
      </c>
      <c r="L426" s="21">
        <f>countif('v2006'!$A:$A,A426)</f>
        <v>0</v>
      </c>
      <c r="M426" s="21">
        <f>countif('v2002'!$A:$A,A426)</f>
        <v>0</v>
      </c>
      <c r="N426" s="21">
        <f>countif('v1998'!$A:$A,A426)</f>
        <v>0</v>
      </c>
    </row>
    <row r="427">
      <c r="A427" s="17" t="s">
        <v>4773</v>
      </c>
      <c r="B427" s="17" t="s">
        <v>4769</v>
      </c>
      <c r="C427" s="23">
        <f>countif(Constants!A:A,B427)</f>
        <v>1</v>
      </c>
      <c r="E427" s="57" t="str">
        <f t="shared" si="1"/>
        <v>link</v>
      </c>
      <c r="G427" s="43">
        <f t="shared" si="2"/>
        <v>1</v>
      </c>
      <c r="H427" s="21">
        <f>countif('v2022'!$A:$A,A427)</f>
        <v>0</v>
      </c>
      <c r="I427" s="21">
        <f>countif('v2018'!$A:$A,A427)</f>
        <v>0</v>
      </c>
      <c r="J427" s="21">
        <f>countif('v2014'!$A:$A,A427)</f>
        <v>0</v>
      </c>
      <c r="K427" s="21">
        <f>countif('v2010'!$A:$A,A427)</f>
        <v>0</v>
      </c>
      <c r="L427" s="21">
        <f>countif('v2006'!$A:$A,A427)</f>
        <v>1</v>
      </c>
      <c r="M427" s="21">
        <f>countif('v2002'!$A:$A,A427)</f>
        <v>0</v>
      </c>
      <c r="N427" s="21">
        <f>countif('v1998'!$A:$A,A427)</f>
        <v>0</v>
      </c>
    </row>
    <row r="428">
      <c r="A428" s="17" t="s">
        <v>2965</v>
      </c>
      <c r="B428" s="17" t="s">
        <v>4777</v>
      </c>
      <c r="C428" s="23">
        <f>countif(Constants!A:A,B428)</f>
        <v>1</v>
      </c>
      <c r="E428" s="57" t="str">
        <f t="shared" si="1"/>
        <v>link</v>
      </c>
      <c r="G428" s="43">
        <f t="shared" si="2"/>
        <v>4</v>
      </c>
      <c r="H428" s="21">
        <f>countif('v2022'!$A:$A,A428)</f>
        <v>1</v>
      </c>
      <c r="I428" s="21">
        <f>countif('v2018'!$A:$A,A428)</f>
        <v>1</v>
      </c>
      <c r="J428" s="21">
        <f>countif('v2014'!$A:$A,A428)</f>
        <v>1</v>
      </c>
      <c r="K428" s="21">
        <f>countif('v2010'!$A:$A,A428)</f>
        <v>1</v>
      </c>
      <c r="L428" s="21">
        <f>countif('v2006'!$A:$A,A428)</f>
        <v>0</v>
      </c>
      <c r="M428" s="21">
        <f>countif('v2002'!$A:$A,A428)</f>
        <v>0</v>
      </c>
      <c r="N428" s="21">
        <f>countif('v1998'!$A:$A,A428)</f>
        <v>0</v>
      </c>
    </row>
    <row r="429">
      <c r="A429" s="17" t="s">
        <v>4780</v>
      </c>
      <c r="B429" s="17" t="s">
        <v>4777</v>
      </c>
      <c r="C429" s="23">
        <f>countif(Constants!A:A,B429)</f>
        <v>1</v>
      </c>
      <c r="E429" s="57" t="str">
        <f t="shared" si="1"/>
        <v>link</v>
      </c>
      <c r="G429" s="43">
        <f t="shared" si="2"/>
        <v>1</v>
      </c>
      <c r="H429" s="21">
        <f>countif('v2022'!$A:$A,A429)</f>
        <v>0</v>
      </c>
      <c r="I429" s="21">
        <f>countif('v2018'!$A:$A,A429)</f>
        <v>0</v>
      </c>
      <c r="J429" s="21">
        <f>countif('v2014'!$A:$A,A429)</f>
        <v>0</v>
      </c>
      <c r="K429" s="21">
        <f>countif('v2010'!$A:$A,A429)</f>
        <v>0</v>
      </c>
      <c r="L429" s="21">
        <f>countif('v2006'!$A:$A,A429)</f>
        <v>1</v>
      </c>
      <c r="M429" s="21">
        <f>countif('v2002'!$A:$A,A429)</f>
        <v>0</v>
      </c>
      <c r="N429" s="21">
        <f>countif('v1998'!$A:$A,A429)</f>
        <v>0</v>
      </c>
    </row>
    <row r="430">
      <c r="A430" s="17" t="s">
        <v>2968</v>
      </c>
      <c r="B430" s="17" t="s">
        <v>4783</v>
      </c>
      <c r="C430" s="23">
        <f>countif(Constants!A:A,B430)</f>
        <v>1</v>
      </c>
      <c r="E430" s="57" t="str">
        <f t="shared" si="1"/>
        <v>link</v>
      </c>
      <c r="G430" s="43">
        <f t="shared" si="2"/>
        <v>4</v>
      </c>
      <c r="H430" s="21">
        <f>countif('v2022'!$A:$A,A430)</f>
        <v>1</v>
      </c>
      <c r="I430" s="21">
        <f>countif('v2018'!$A:$A,A430)</f>
        <v>1</v>
      </c>
      <c r="J430" s="21">
        <f>countif('v2014'!$A:$A,A430)</f>
        <v>1</v>
      </c>
      <c r="K430" s="21">
        <f>countif('v2010'!$A:$A,A430)</f>
        <v>1</v>
      </c>
      <c r="L430" s="21">
        <f>countif('v2006'!$A:$A,A430)</f>
        <v>0</v>
      </c>
      <c r="M430" s="21">
        <f>countif('v2002'!$A:$A,A430)</f>
        <v>0</v>
      </c>
      <c r="N430" s="21">
        <f>countif('v1998'!$A:$A,A430)</f>
        <v>0</v>
      </c>
    </row>
    <row r="431">
      <c r="A431" s="17" t="s">
        <v>4786</v>
      </c>
      <c r="B431" s="17" t="s">
        <v>4783</v>
      </c>
      <c r="C431" s="23">
        <f>countif(Constants!A:A,B431)</f>
        <v>1</v>
      </c>
      <c r="E431" s="57" t="str">
        <f t="shared" si="1"/>
        <v>link</v>
      </c>
      <c r="G431" s="43">
        <f t="shared" si="2"/>
        <v>1</v>
      </c>
      <c r="H431" s="21">
        <f>countif('v2022'!$A:$A,A431)</f>
        <v>0</v>
      </c>
      <c r="I431" s="21">
        <f>countif('v2018'!$A:$A,A431)</f>
        <v>0</v>
      </c>
      <c r="J431" s="21">
        <f>countif('v2014'!$A:$A,A431)</f>
        <v>0</v>
      </c>
      <c r="K431" s="21">
        <f>countif('v2010'!$A:$A,A431)</f>
        <v>0</v>
      </c>
      <c r="L431" s="21">
        <f>countif('v2006'!$A:$A,A431)</f>
        <v>1</v>
      </c>
      <c r="M431" s="21">
        <f>countif('v2002'!$A:$A,A431)</f>
        <v>0</v>
      </c>
      <c r="N431" s="21">
        <f>countif('v1998'!$A:$A,A431)</f>
        <v>0</v>
      </c>
    </row>
    <row r="432">
      <c r="A432" s="17" t="s">
        <v>2972</v>
      </c>
      <c r="B432" s="17" t="s">
        <v>4788</v>
      </c>
      <c r="C432" s="23">
        <f>countif(Constants!A:A,B432)</f>
        <v>1</v>
      </c>
      <c r="E432" s="57" t="str">
        <f t="shared" si="1"/>
        <v>link</v>
      </c>
      <c r="G432" s="43">
        <f t="shared" si="2"/>
        <v>5</v>
      </c>
      <c r="H432" s="21">
        <f>countif('v2022'!$A:$A,A432)</f>
        <v>1</v>
      </c>
      <c r="I432" s="21">
        <f>countif('v2018'!$A:$A,A432)</f>
        <v>1</v>
      </c>
      <c r="J432" s="21">
        <f>countif('v2014'!$A:$A,A432)</f>
        <v>1</v>
      </c>
      <c r="K432" s="21">
        <f>countif('v2010'!$A:$A,A432)</f>
        <v>1</v>
      </c>
      <c r="L432" s="21">
        <f>countif('v2006'!$A:$A,A432)</f>
        <v>1</v>
      </c>
      <c r="M432" s="21">
        <f>countif('v2002'!$A:$A,A432)</f>
        <v>0</v>
      </c>
      <c r="N432" s="21">
        <f>countif('v1998'!$A:$A,A432)</f>
        <v>0</v>
      </c>
    </row>
    <row r="433">
      <c r="A433" s="17" t="s">
        <v>2977</v>
      </c>
      <c r="B433" s="17" t="s">
        <v>4790</v>
      </c>
      <c r="C433" s="23">
        <f>countif(Constants!A:A,B433)</f>
        <v>1</v>
      </c>
      <c r="E433" s="57" t="str">
        <f t="shared" si="1"/>
        <v>link</v>
      </c>
      <c r="G433" s="43">
        <f t="shared" si="2"/>
        <v>5</v>
      </c>
      <c r="H433" s="21">
        <f>countif('v2022'!$A:$A,A433)</f>
        <v>1</v>
      </c>
      <c r="I433" s="21">
        <f>countif('v2018'!$A:$A,A433)</f>
        <v>1</v>
      </c>
      <c r="J433" s="21">
        <f>countif('v2014'!$A:$A,A433)</f>
        <v>1</v>
      </c>
      <c r="K433" s="21">
        <f>countif('v2010'!$A:$A,A433)</f>
        <v>1</v>
      </c>
      <c r="L433" s="21">
        <f>countif('v2006'!$A:$A,A433)</f>
        <v>1</v>
      </c>
      <c r="M433" s="21">
        <f>countif('v2002'!$A:$A,A433)</f>
        <v>0</v>
      </c>
      <c r="N433" s="21">
        <f>countif('v1998'!$A:$A,A433)</f>
        <v>0</v>
      </c>
    </row>
    <row r="434">
      <c r="A434" s="17" t="s">
        <v>2980</v>
      </c>
      <c r="B434" s="17" t="s">
        <v>4795</v>
      </c>
      <c r="C434" s="23">
        <f>countif(Constants!A:A,B434)</f>
        <v>1</v>
      </c>
      <c r="E434" s="57" t="str">
        <f t="shared" si="1"/>
        <v>link</v>
      </c>
      <c r="G434" s="43">
        <f t="shared" si="2"/>
        <v>5</v>
      </c>
      <c r="H434" s="21">
        <f>countif('v2022'!$A:$A,A434)</f>
        <v>1</v>
      </c>
      <c r="I434" s="21">
        <f>countif('v2018'!$A:$A,A434)</f>
        <v>1</v>
      </c>
      <c r="J434" s="21">
        <f>countif('v2014'!$A:$A,A434)</f>
        <v>1</v>
      </c>
      <c r="K434" s="21">
        <f>countif('v2010'!$A:$A,A434)</f>
        <v>1</v>
      </c>
      <c r="L434" s="21">
        <f>countif('v2006'!$A:$A,A434)</f>
        <v>1</v>
      </c>
      <c r="M434" s="21">
        <f>countif('v2002'!$A:$A,A434)</f>
        <v>0</v>
      </c>
      <c r="N434" s="21">
        <f>countif('v1998'!$A:$A,A434)</f>
        <v>0</v>
      </c>
    </row>
    <row r="435">
      <c r="A435" s="17" t="s">
        <v>2983</v>
      </c>
      <c r="B435" s="17" t="s">
        <v>4797</v>
      </c>
      <c r="C435" s="23">
        <f>countif(Constants!A:A,B435)</f>
        <v>1</v>
      </c>
      <c r="E435" s="57" t="str">
        <f t="shared" si="1"/>
        <v>link</v>
      </c>
      <c r="G435" s="43">
        <f t="shared" si="2"/>
        <v>5</v>
      </c>
      <c r="H435" s="21">
        <f>countif('v2022'!$A:$A,A435)</f>
        <v>1</v>
      </c>
      <c r="I435" s="21">
        <f>countif('v2018'!$A:$A,A435)</f>
        <v>1</v>
      </c>
      <c r="J435" s="21">
        <f>countif('v2014'!$A:$A,A435)</f>
        <v>1</v>
      </c>
      <c r="K435" s="21">
        <f>countif('v2010'!$A:$A,A435)</f>
        <v>1</v>
      </c>
      <c r="L435" s="21">
        <f>countif('v2006'!$A:$A,A435)</f>
        <v>1</v>
      </c>
      <c r="M435" s="21">
        <f>countif('v2002'!$A:$A,A435)</f>
        <v>0</v>
      </c>
      <c r="N435" s="21">
        <f>countif('v1998'!$A:$A,A435)</f>
        <v>0</v>
      </c>
    </row>
    <row r="436">
      <c r="A436" s="17" t="s">
        <v>2989</v>
      </c>
      <c r="B436" s="17" t="s">
        <v>4802</v>
      </c>
      <c r="C436" s="23">
        <f>countif(Constants!A:A,B436)</f>
        <v>1</v>
      </c>
      <c r="E436" s="57" t="str">
        <f t="shared" si="1"/>
        <v>link</v>
      </c>
      <c r="G436" s="43">
        <f t="shared" si="2"/>
        <v>5</v>
      </c>
      <c r="H436" s="21">
        <f>countif('v2022'!$A:$A,A436)</f>
        <v>1</v>
      </c>
      <c r="I436" s="21">
        <f>countif('v2018'!$A:$A,A436)</f>
        <v>1</v>
      </c>
      <c r="J436" s="21">
        <f>countif('v2014'!$A:$A,A436)</f>
        <v>1</v>
      </c>
      <c r="K436" s="21">
        <f>countif('v2010'!$A:$A,A436)</f>
        <v>1</v>
      </c>
      <c r="L436" s="21">
        <f>countif('v2006'!$A:$A,A436)</f>
        <v>1</v>
      </c>
      <c r="M436" s="21">
        <f>countif('v2002'!$A:$A,A436)</f>
        <v>0</v>
      </c>
      <c r="N436" s="21">
        <f>countif('v1998'!$A:$A,A436)</f>
        <v>0</v>
      </c>
    </row>
    <row r="437">
      <c r="A437" s="17" t="s">
        <v>2997</v>
      </c>
      <c r="B437" s="17" t="s">
        <v>4804</v>
      </c>
      <c r="C437" s="23">
        <f>countif(Constants!A:A,B437)</f>
        <v>1</v>
      </c>
      <c r="E437" s="57" t="str">
        <f t="shared" si="1"/>
        <v>link</v>
      </c>
      <c r="G437" s="43">
        <f t="shared" si="2"/>
        <v>2</v>
      </c>
      <c r="H437" s="21">
        <f>countif('v2022'!$A:$A,A437)</f>
        <v>1</v>
      </c>
      <c r="I437" s="21">
        <f>countif('v2018'!$A:$A,A437)</f>
        <v>1</v>
      </c>
      <c r="J437" s="21">
        <f>countif('v2014'!$A:$A,A437)</f>
        <v>0</v>
      </c>
      <c r="K437" s="21">
        <f>countif('v2010'!$A:$A,A437)</f>
        <v>0</v>
      </c>
      <c r="L437" s="21">
        <f>countif('v2006'!$A:$A,A437)</f>
        <v>0</v>
      </c>
      <c r="M437" s="21">
        <f>countif('v2002'!$A:$A,A437)</f>
        <v>0</v>
      </c>
      <c r="N437" s="21">
        <f>countif('v1998'!$A:$A,A437)</f>
        <v>0</v>
      </c>
    </row>
    <row r="438">
      <c r="A438" s="17" t="s">
        <v>3001</v>
      </c>
      <c r="B438" s="17" t="s">
        <v>4808</v>
      </c>
      <c r="C438" s="23">
        <f>countif(Constants!A:A,B438)</f>
        <v>1</v>
      </c>
      <c r="E438" s="57" t="str">
        <f t="shared" si="1"/>
        <v>link</v>
      </c>
      <c r="G438" s="43">
        <f t="shared" si="2"/>
        <v>2</v>
      </c>
      <c r="H438" s="21">
        <f>countif('v2022'!$A:$A,A438)</f>
        <v>1</v>
      </c>
      <c r="I438" s="21">
        <f>countif('v2018'!$A:$A,A438)</f>
        <v>1</v>
      </c>
      <c r="J438" s="21">
        <f>countif('v2014'!$A:$A,A438)</f>
        <v>0</v>
      </c>
      <c r="K438" s="21">
        <f>countif('v2010'!$A:$A,A438)</f>
        <v>0</v>
      </c>
      <c r="L438" s="21">
        <f>countif('v2006'!$A:$A,A438)</f>
        <v>0</v>
      </c>
      <c r="M438" s="21">
        <f>countif('v2002'!$A:$A,A438)</f>
        <v>0</v>
      </c>
      <c r="N438" s="21">
        <f>countif('v1998'!$A:$A,A438)</f>
        <v>0</v>
      </c>
    </row>
    <row r="439">
      <c r="A439" s="17" t="s">
        <v>4813</v>
      </c>
      <c r="B439" s="17" t="s">
        <v>4808</v>
      </c>
      <c r="C439" s="23">
        <f>countif(Constants!A:A,B439)</f>
        <v>1</v>
      </c>
      <c r="E439" s="57" t="str">
        <f t="shared" si="1"/>
        <v>link</v>
      </c>
      <c r="G439" s="43">
        <f t="shared" si="2"/>
        <v>1</v>
      </c>
      <c r="H439" s="21">
        <f>countif('v2022'!$A:$A,A439)</f>
        <v>0</v>
      </c>
      <c r="I439" s="21">
        <f>countif('v2018'!$A:$A,A439)</f>
        <v>0</v>
      </c>
      <c r="J439" s="21">
        <f>countif('v2014'!$A:$A,A439)</f>
        <v>0</v>
      </c>
      <c r="K439" s="21">
        <f>countif('v2010'!$A:$A,A439)</f>
        <v>0</v>
      </c>
      <c r="L439" s="21">
        <f>countif('v2006'!$A:$A,A439)</f>
        <v>1</v>
      </c>
      <c r="M439" s="21">
        <f>countif('v2002'!$A:$A,A439)</f>
        <v>0</v>
      </c>
      <c r="N439" s="21">
        <f>countif('v1998'!$A:$A,A439)</f>
        <v>0</v>
      </c>
    </row>
    <row r="440">
      <c r="A440" s="17" t="s">
        <v>4819</v>
      </c>
      <c r="B440" s="17" t="s">
        <v>4820</v>
      </c>
      <c r="C440" s="23">
        <f>countif(Constants!A:A,B440)</f>
        <v>1</v>
      </c>
      <c r="E440" s="57" t="str">
        <f t="shared" si="1"/>
        <v>link</v>
      </c>
      <c r="G440" s="43">
        <f t="shared" si="2"/>
        <v>1</v>
      </c>
      <c r="H440" s="21">
        <f>countif('v2022'!$A:$A,A440)</f>
        <v>0</v>
      </c>
      <c r="I440" s="21">
        <f>countif('v2018'!$A:$A,A440)</f>
        <v>0</v>
      </c>
      <c r="J440" s="21">
        <f>countif('v2014'!$A:$A,A440)</f>
        <v>0</v>
      </c>
      <c r="K440" s="21">
        <f>countif('v2010'!$A:$A,A440)</f>
        <v>0</v>
      </c>
      <c r="L440" s="21">
        <f>countif('v2006'!$A:$A,A440)</f>
        <v>1</v>
      </c>
      <c r="M440" s="21">
        <f>countif('v2002'!$A:$A,A440)</f>
        <v>0</v>
      </c>
      <c r="N440" s="21">
        <f>countif('v1998'!$A:$A,A440)</f>
        <v>0</v>
      </c>
    </row>
    <row r="441">
      <c r="A441" s="17" t="s">
        <v>2951</v>
      </c>
      <c r="B441" s="17" t="s">
        <v>4826</v>
      </c>
      <c r="C441" s="23">
        <f>countif(Constants!A:A,B441)</f>
        <v>1</v>
      </c>
      <c r="E441" s="57" t="str">
        <f t="shared" si="1"/>
        <v>link</v>
      </c>
      <c r="G441" s="43">
        <f t="shared" si="2"/>
        <v>5</v>
      </c>
      <c r="H441" s="21">
        <f>countif('v2022'!$A:$A,A441)</f>
        <v>1</v>
      </c>
      <c r="I441" s="21">
        <f>countif('v2018'!$A:$A,A441)</f>
        <v>1</v>
      </c>
      <c r="J441" s="21">
        <f>countif('v2014'!$A:$A,A441)</f>
        <v>1</v>
      </c>
      <c r="K441" s="21">
        <f>countif('v2010'!$A:$A,A441)</f>
        <v>1</v>
      </c>
      <c r="L441" s="21">
        <f>countif('v2006'!$A:$A,A441)</f>
        <v>1</v>
      </c>
      <c r="M441" s="21">
        <f>countif('v2002'!$A:$A,A441)</f>
        <v>0</v>
      </c>
      <c r="N441" s="21">
        <f>countif('v1998'!$A:$A,A441)</f>
        <v>0</v>
      </c>
    </row>
    <row r="442">
      <c r="A442" s="17" t="s">
        <v>4839</v>
      </c>
      <c r="B442" s="17" t="s">
        <v>4840</v>
      </c>
      <c r="C442" s="23">
        <f>countif(Constants!A:A,B442)</f>
        <v>1</v>
      </c>
      <c r="E442" s="57" t="str">
        <f t="shared" si="1"/>
        <v>link</v>
      </c>
      <c r="G442" s="43">
        <f t="shared" si="2"/>
        <v>1</v>
      </c>
      <c r="H442" s="21">
        <f>countif('v2022'!$A:$A,A442)</f>
        <v>0</v>
      </c>
      <c r="I442" s="21">
        <f>countif('v2018'!$A:$A,A442)</f>
        <v>0</v>
      </c>
      <c r="J442" s="21">
        <f>countif('v2014'!$A:$A,A442)</f>
        <v>0</v>
      </c>
      <c r="K442" s="21">
        <f>countif('v2010'!$A:$A,A442)</f>
        <v>0</v>
      </c>
      <c r="L442" s="21">
        <f>countif('v2006'!$A:$A,A442)</f>
        <v>1</v>
      </c>
      <c r="M442" s="21">
        <f>countif('v2002'!$A:$A,A442)</f>
        <v>0</v>
      </c>
      <c r="N442" s="21">
        <f>countif('v1998'!$A:$A,A442)</f>
        <v>0</v>
      </c>
    </row>
    <row r="443">
      <c r="A443" s="17" t="s">
        <v>2993</v>
      </c>
      <c r="B443" s="17" t="s">
        <v>4844</v>
      </c>
      <c r="C443" s="23">
        <f>countif(Constants!A:A,B443)</f>
        <v>1</v>
      </c>
      <c r="E443" s="57" t="str">
        <f t="shared" si="1"/>
        <v>link</v>
      </c>
      <c r="G443" s="43">
        <f t="shared" si="2"/>
        <v>5</v>
      </c>
      <c r="H443" s="21">
        <f>countif('v2022'!$A:$A,A443)</f>
        <v>1</v>
      </c>
      <c r="I443" s="21">
        <f>countif('v2018'!$A:$A,A443)</f>
        <v>1</v>
      </c>
      <c r="J443" s="21">
        <f>countif('v2014'!$A:$A,A443)</f>
        <v>1</v>
      </c>
      <c r="K443" s="21">
        <f>countif('v2010'!$A:$A,A443)</f>
        <v>1</v>
      </c>
      <c r="L443" s="21">
        <f>countif('v2006'!$A:$A,A443)</f>
        <v>1</v>
      </c>
      <c r="M443" s="21">
        <f>countif('v2002'!$A:$A,A443)</f>
        <v>0</v>
      </c>
      <c r="N443" s="21">
        <f>countif('v1998'!$A:$A,A443)</f>
        <v>0</v>
      </c>
    </row>
    <row r="444">
      <c r="A444" s="17" t="s">
        <v>3004</v>
      </c>
      <c r="B444" s="17" t="s">
        <v>4847</v>
      </c>
      <c r="C444" s="23">
        <f>countif(Constants!A:A,B444)</f>
        <v>1</v>
      </c>
      <c r="E444" s="57" t="str">
        <f t="shared" si="1"/>
        <v>link</v>
      </c>
      <c r="G444" s="43">
        <f t="shared" si="2"/>
        <v>7</v>
      </c>
      <c r="H444" s="21">
        <f>countif('v2022'!$A:$A,A444)</f>
        <v>1</v>
      </c>
      <c r="I444" s="21">
        <f>countif('v2018'!$A:$A,A444)</f>
        <v>1</v>
      </c>
      <c r="J444" s="21">
        <f>countif('v2014'!$A:$A,A444)</f>
        <v>1</v>
      </c>
      <c r="K444" s="21">
        <f>countif('v2010'!$A:$A,A444)</f>
        <v>1</v>
      </c>
      <c r="L444" s="21">
        <f>countif('v2006'!$A:$A,A444)</f>
        <v>1</v>
      </c>
      <c r="M444" s="21">
        <f>countif('v2002'!$A:$A,A444)</f>
        <v>1</v>
      </c>
      <c r="N444" s="21">
        <f>countif('v1998'!$A:$A,A444)</f>
        <v>1</v>
      </c>
    </row>
    <row r="445">
      <c r="A445" s="17" t="s">
        <v>3005</v>
      </c>
      <c r="B445" s="17" t="s">
        <v>2035</v>
      </c>
      <c r="C445" s="23">
        <f>countif(Constants!A:A,B445)</f>
        <v>1</v>
      </c>
      <c r="E445" s="57" t="str">
        <f t="shared" si="1"/>
        <v>link</v>
      </c>
      <c r="G445" s="43">
        <f t="shared" si="2"/>
        <v>2</v>
      </c>
      <c r="H445" s="21">
        <f>countif('v2022'!$A:$A,A445)</f>
        <v>1</v>
      </c>
      <c r="I445" s="21">
        <f>countif('v2018'!$A:$A,A445)</f>
        <v>1</v>
      </c>
      <c r="J445" s="21">
        <f>countif('v2014'!$A:$A,A445)</f>
        <v>0</v>
      </c>
      <c r="K445" s="21">
        <f>countif('v2010'!$A:$A,A445)</f>
        <v>0</v>
      </c>
      <c r="L445" s="21">
        <f>countif('v2006'!$A:$A,A445)</f>
        <v>0</v>
      </c>
      <c r="M445" s="21">
        <f>countif('v2002'!$A:$A,A445)</f>
        <v>0</v>
      </c>
      <c r="N445" s="21">
        <f>countif('v1998'!$A:$A,A445)</f>
        <v>0</v>
      </c>
    </row>
    <row r="446">
      <c r="A446" s="17" t="s">
        <v>3008</v>
      </c>
      <c r="B446" s="17" t="s">
        <v>3301</v>
      </c>
      <c r="C446" s="23">
        <f>countif(Constants!A:A,B446)</f>
        <v>1</v>
      </c>
      <c r="E446" s="57" t="str">
        <f t="shared" si="1"/>
        <v>link</v>
      </c>
      <c r="G446" s="43">
        <f t="shared" si="2"/>
        <v>2</v>
      </c>
      <c r="H446" s="21">
        <f>countif('v2022'!$A:$A,A446)</f>
        <v>1</v>
      </c>
      <c r="I446" s="21">
        <f>countif('v2018'!$A:$A,A446)</f>
        <v>1</v>
      </c>
      <c r="J446" s="21">
        <f>countif('v2014'!$A:$A,A446)</f>
        <v>0</v>
      </c>
      <c r="K446" s="21">
        <f>countif('v2010'!$A:$A,A446)</f>
        <v>0</v>
      </c>
      <c r="L446" s="21">
        <f>countif('v2006'!$A:$A,A446)</f>
        <v>0</v>
      </c>
      <c r="M446" s="21">
        <f>countif('v2002'!$A:$A,A446)</f>
        <v>0</v>
      </c>
      <c r="N446" s="21">
        <f>countif('v1998'!$A:$A,A446)</f>
        <v>0</v>
      </c>
    </row>
    <row r="447">
      <c r="A447" s="17" t="s">
        <v>3012</v>
      </c>
      <c r="B447" s="17" t="s">
        <v>4861</v>
      </c>
      <c r="C447" s="23">
        <f>countif(Constants!A:A,B447)</f>
        <v>1</v>
      </c>
      <c r="E447" s="57" t="str">
        <f t="shared" si="1"/>
        <v>link</v>
      </c>
      <c r="G447" s="43">
        <f t="shared" si="2"/>
        <v>7</v>
      </c>
      <c r="H447" s="21">
        <f>countif('v2022'!$A:$A,A447)</f>
        <v>1</v>
      </c>
      <c r="I447" s="21">
        <f>countif('v2018'!$A:$A,A447)</f>
        <v>1</v>
      </c>
      <c r="J447" s="21">
        <f>countif('v2014'!$A:$A,A447)</f>
        <v>1</v>
      </c>
      <c r="K447" s="21">
        <f>countif('v2010'!$A:$A,A447)</f>
        <v>1</v>
      </c>
      <c r="L447" s="21">
        <f>countif('v2006'!$A:$A,A447)</f>
        <v>1</v>
      </c>
      <c r="M447" s="21">
        <f>countif('v2002'!$A:$A,A447)</f>
        <v>1</v>
      </c>
      <c r="N447" s="21">
        <f>countif('v1998'!$A:$A,A447)</f>
        <v>1</v>
      </c>
    </row>
    <row r="448">
      <c r="A448" s="17" t="s">
        <v>3024</v>
      </c>
      <c r="B448" s="17" t="s">
        <v>4866</v>
      </c>
      <c r="C448" s="23">
        <f>countif(Constants!A:A,B448)</f>
        <v>1</v>
      </c>
      <c r="E448" s="57" t="str">
        <f t="shared" si="1"/>
        <v>link</v>
      </c>
      <c r="G448" s="43">
        <f t="shared" si="2"/>
        <v>2</v>
      </c>
      <c r="H448" s="21">
        <f>countif('v2022'!$A:$A,A448)</f>
        <v>1</v>
      </c>
      <c r="I448" s="21">
        <f>countif('v2018'!$A:$A,A448)</f>
        <v>1</v>
      </c>
      <c r="J448" s="21">
        <f>countif('v2014'!$A:$A,A448)</f>
        <v>0</v>
      </c>
      <c r="K448" s="21">
        <f>countif('v2010'!$A:$A,A448)</f>
        <v>0</v>
      </c>
      <c r="L448" s="21">
        <f>countif('v2006'!$A:$A,A448)</f>
        <v>0</v>
      </c>
      <c r="M448" s="21">
        <f>countif('v2002'!$A:$A,A448)</f>
        <v>0</v>
      </c>
      <c r="N448" s="21">
        <f>countif('v1998'!$A:$A,A448)</f>
        <v>0</v>
      </c>
    </row>
    <row r="449">
      <c r="A449" s="17" t="s">
        <v>3014</v>
      </c>
      <c r="B449" s="17" t="s">
        <v>4871</v>
      </c>
      <c r="C449" s="23">
        <f>countif(Constants!A:A,B449)</f>
        <v>1</v>
      </c>
      <c r="E449" s="57" t="str">
        <f t="shared" si="1"/>
        <v>link</v>
      </c>
      <c r="G449" s="43">
        <f t="shared" si="2"/>
        <v>7</v>
      </c>
      <c r="H449" s="21">
        <f>countif('v2022'!$A:$A,A449)</f>
        <v>1</v>
      </c>
      <c r="I449" s="21">
        <f>countif('v2018'!$A:$A,A449)</f>
        <v>1</v>
      </c>
      <c r="J449" s="21">
        <f>countif('v2014'!$A:$A,A449)</f>
        <v>1</v>
      </c>
      <c r="K449" s="21">
        <f>countif('v2010'!$A:$A,A449)</f>
        <v>1</v>
      </c>
      <c r="L449" s="21">
        <f>countif('v2006'!$A:$A,A449)</f>
        <v>1</v>
      </c>
      <c r="M449" s="21">
        <f>countif('v2002'!$A:$A,A449)</f>
        <v>1</v>
      </c>
      <c r="N449" s="21">
        <f>countif('v1998'!$A:$A,A449)</f>
        <v>1</v>
      </c>
    </row>
    <row r="450">
      <c r="A450" s="17" t="s">
        <v>4872</v>
      </c>
      <c r="B450" s="17" t="s">
        <v>4873</v>
      </c>
      <c r="C450" s="23">
        <f>countif(Constants!A:A,B450)</f>
        <v>1</v>
      </c>
      <c r="E450" s="57" t="str">
        <f t="shared" si="1"/>
        <v>link</v>
      </c>
      <c r="G450" s="43">
        <f t="shared" si="2"/>
        <v>2</v>
      </c>
      <c r="H450" s="21">
        <f>countif('v2022'!$A:$A,A450)</f>
        <v>0</v>
      </c>
      <c r="I450" s="21">
        <f>countif('v2018'!$A:$A,A450)</f>
        <v>0</v>
      </c>
      <c r="J450" s="21">
        <f>countif('v2014'!$A:$A,A450)</f>
        <v>0</v>
      </c>
      <c r="K450" s="21">
        <f>countif('v2010'!$A:$A,A450)</f>
        <v>0</v>
      </c>
      <c r="L450" s="21">
        <f>countif('v2006'!$A:$A,A450)</f>
        <v>0</v>
      </c>
      <c r="M450" s="21">
        <f>countif('v2002'!$A:$A,A450)</f>
        <v>1</v>
      </c>
      <c r="N450" s="21">
        <f>countif('v1998'!$A:$A,A450)</f>
        <v>1</v>
      </c>
    </row>
    <row r="451">
      <c r="A451" s="17" t="s">
        <v>3018</v>
      </c>
      <c r="B451" s="17" t="s">
        <v>4874</v>
      </c>
      <c r="C451" s="23">
        <f>countif(Constants!A:A,B451)</f>
        <v>1</v>
      </c>
      <c r="E451" s="57" t="str">
        <f t="shared" si="1"/>
        <v>link</v>
      </c>
      <c r="G451" s="43">
        <f t="shared" si="2"/>
        <v>5</v>
      </c>
      <c r="H451" s="21">
        <f>countif('v2022'!$A:$A,A451)</f>
        <v>1</v>
      </c>
      <c r="I451" s="21">
        <f>countif('v2018'!$A:$A,A451)</f>
        <v>1</v>
      </c>
      <c r="J451" s="21">
        <f>countif('v2014'!$A:$A,A451)</f>
        <v>1</v>
      </c>
      <c r="K451" s="21">
        <f>countif('v2010'!$A:$A,A451)</f>
        <v>1</v>
      </c>
      <c r="L451" s="21">
        <f>countif('v2006'!$A:$A,A451)</f>
        <v>1</v>
      </c>
      <c r="M451" s="21">
        <f>countif('v2002'!$A:$A,A451)</f>
        <v>0</v>
      </c>
      <c r="N451" s="21">
        <f>countif('v1998'!$A:$A,A451)</f>
        <v>0</v>
      </c>
    </row>
    <row r="452">
      <c r="A452" s="17" t="s">
        <v>3022</v>
      </c>
      <c r="B452" s="17" t="s">
        <v>4873</v>
      </c>
      <c r="C452" s="23">
        <f>countif(Constants!A:A,B452)</f>
        <v>1</v>
      </c>
      <c r="E452" s="57" t="str">
        <f t="shared" si="1"/>
        <v>link</v>
      </c>
      <c r="G452" s="43">
        <f t="shared" si="2"/>
        <v>5</v>
      </c>
      <c r="H452" s="21">
        <f>countif('v2022'!$A:$A,A452)</f>
        <v>1</v>
      </c>
      <c r="I452" s="21">
        <f>countif('v2018'!$A:$A,A452)</f>
        <v>1</v>
      </c>
      <c r="J452" s="21">
        <f>countif('v2014'!$A:$A,A452)</f>
        <v>1</v>
      </c>
      <c r="K452" s="21">
        <f>countif('v2010'!$A:$A,A452)</f>
        <v>1</v>
      </c>
      <c r="L452" s="21">
        <f>countif('v2006'!$A:$A,A452)</f>
        <v>1</v>
      </c>
      <c r="M452" s="21">
        <f>countif('v2002'!$A:$A,A452)</f>
        <v>0</v>
      </c>
      <c r="N452" s="21">
        <f>countif('v1998'!$A:$A,A452)</f>
        <v>0</v>
      </c>
    </row>
  </sheetData>
  <conditionalFormatting sqref="H2:N452">
    <cfRule type="cellIs" dxfId="4" priority="1" operator="equal">
      <formula>0</formula>
    </cfRule>
  </conditionalFormatting>
  <conditionalFormatting sqref="H2:N452">
    <cfRule type="cellIs" dxfId="1" priority="2" operator="greaterThan">
      <formula>1</formula>
    </cfRule>
  </conditionalFormatting>
  <conditionalFormatting sqref="A1:A452">
    <cfRule type="expression" dxfId="0" priority="3">
      <formula>COUNTIF(A:A, A1)&gt;1</formula>
    </cfRule>
  </conditionalFormatting>
  <conditionalFormatting sqref="C2:C452">
    <cfRule type="cellIs" dxfId="0" priority="4" operator="notEqual">
      <formula>1</formula>
    </cfRule>
  </conditionalFormatting>
  <conditionalFormatting sqref="G1:G452">
    <cfRule type="cellIs" dxfId="0" priority="5" operator="equal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38"/>
    <col customWidth="1" min="2" max="3" width="19.63"/>
    <col customWidth="1" min="4" max="4" width="12.13"/>
    <col customWidth="1" min="5" max="5" width="12.5"/>
    <col customWidth="1" min="6" max="6" width="8.88"/>
    <col customWidth="1" min="7" max="7" width="17.75"/>
    <col customWidth="1" min="8" max="8" width="18.0"/>
    <col customWidth="1" min="9" max="9" width="17.75"/>
    <col customWidth="1" min="10" max="10" width="11.88"/>
    <col customWidth="1" min="11" max="12" width="10.88"/>
    <col customWidth="1" min="13" max="13" width="8.38"/>
  </cols>
  <sheetData>
    <row r="1">
      <c r="A1" s="7" t="s">
        <v>1</v>
      </c>
      <c r="B1" s="7" t="s">
        <v>1406</v>
      </c>
      <c r="C1" s="7" t="s">
        <v>1407</v>
      </c>
      <c r="D1" s="7" t="s">
        <v>1408</v>
      </c>
      <c r="E1" s="58" t="s">
        <v>0</v>
      </c>
      <c r="F1" s="10" t="s">
        <v>1409</v>
      </c>
      <c r="G1" s="58" t="s">
        <v>1410</v>
      </c>
      <c r="H1" s="58" t="s">
        <v>1412</v>
      </c>
      <c r="I1" s="58" t="s">
        <v>1413</v>
      </c>
      <c r="J1" s="59" t="s">
        <v>1414</v>
      </c>
      <c r="K1" s="58" t="s">
        <v>1415</v>
      </c>
      <c r="L1" s="58" t="s">
        <v>1416</v>
      </c>
      <c r="M1" s="58" t="s">
        <v>1417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7" t="s">
        <v>1153</v>
      </c>
      <c r="B2" s="17" t="s">
        <v>1418</v>
      </c>
      <c r="C2" s="17" t="s">
        <v>1419</v>
      </c>
      <c r="E2" s="60" t="str">
        <f>VLOOKUP($A2,nist_names_ids!A:B,2,false)</f>
        <v>malsme</v>
      </c>
      <c r="F2" s="61">
        <f>countif(Constants!A:A,E2)</f>
        <v>1</v>
      </c>
      <c r="G2" s="62" t="str">
        <f t="shared" ref="G2:G356" si="1">SUBSTITUTE(SUBSTITUTE(B2," ",""),"...","")</f>
        <v>7294.29954171</v>
      </c>
      <c r="H2" s="62">
        <f t="shared" ref="H2:H356" si="2">value(G2)</f>
        <v>7294.299542</v>
      </c>
      <c r="I2" s="62" t="str">
        <f t="shared" ref="I2:I356" si="3">SUBSTITUTE(C2," ","")</f>
        <v>0.00000017</v>
      </c>
      <c r="J2" s="63">
        <f t="shared" ref="J2:J356" si="4">if(I2="(exact)","",value(I2))</f>
        <v>0.00000017</v>
      </c>
      <c r="K2" s="62" t="b">
        <f t="shared" ref="K2:K356" si="5">if(I2="(exact)", TRUE,FALSE)</f>
        <v>0</v>
      </c>
      <c r="L2" s="62" t="b">
        <f t="shared" ref="L2:L356" si="6">ISNUMBER(search("...",B2))</f>
        <v>0</v>
      </c>
      <c r="M2" s="60" t="str">
        <f>IFERROR(__xludf.DUMMYFUNCTION("if(regexmatch(B2,""e(.*)$""),regexextract(B2,""e(.*)$""),"""")"),"")</f>
        <v/>
      </c>
    </row>
    <row r="3">
      <c r="A3" s="17" t="s">
        <v>96</v>
      </c>
      <c r="B3" s="17" t="s">
        <v>1425</v>
      </c>
      <c r="C3" s="17" t="s">
        <v>1426</v>
      </c>
      <c r="D3" s="17" t="s">
        <v>98</v>
      </c>
      <c r="E3" s="60" t="str">
        <f>VLOOKUP($A3,nist_names_ids!A:B,2,false)</f>
        <v>mal</v>
      </c>
      <c r="F3" s="61">
        <f>countif(Constants!A:A,E3)</f>
        <v>1</v>
      </c>
      <c r="G3" s="62" t="str">
        <f t="shared" si="1"/>
        <v>6.6446573450e-27</v>
      </c>
      <c r="H3" s="62">
        <f t="shared" si="2"/>
        <v>0</v>
      </c>
      <c r="I3" s="62" t="str">
        <f t="shared" si="3"/>
        <v>0.0000000021e-27</v>
      </c>
      <c r="J3" s="63">
        <f t="shared" si="4"/>
        <v>0</v>
      </c>
      <c r="K3" s="62" t="b">
        <f t="shared" si="5"/>
        <v>0</v>
      </c>
      <c r="L3" s="62" t="b">
        <f t="shared" si="6"/>
        <v>0</v>
      </c>
      <c r="M3" s="60" t="str">
        <f>IFERROR(__xludf.DUMMYFUNCTION("if(regexmatch(B3,""e(.*)$""),regexextract(B3,""e(.*)$""),"""")"),"-27")</f>
        <v>-27</v>
      </c>
    </row>
    <row r="4">
      <c r="A4" s="17" t="s">
        <v>176</v>
      </c>
      <c r="B4" s="17" t="s">
        <v>1427</v>
      </c>
      <c r="C4" s="17" t="s">
        <v>1428</v>
      </c>
      <c r="D4" s="17" t="s">
        <v>173</v>
      </c>
      <c r="E4" s="17" t="s">
        <v>172</v>
      </c>
      <c r="F4" s="61">
        <f>countif(Constants!A:A,E4)</f>
        <v>1</v>
      </c>
      <c r="G4" s="62" t="str">
        <f t="shared" si="1"/>
        <v>5.9719201997e-10</v>
      </c>
      <c r="H4" s="62">
        <f t="shared" si="2"/>
        <v>0.00000000059719202</v>
      </c>
      <c r="I4" s="62" t="str">
        <f t="shared" si="3"/>
        <v>0.0000000019e-10</v>
      </c>
      <c r="J4" s="63">
        <f t="shared" si="4"/>
        <v>0</v>
      </c>
      <c r="K4" s="62" t="b">
        <f t="shared" si="5"/>
        <v>0</v>
      </c>
      <c r="L4" s="62" t="b">
        <f t="shared" si="6"/>
        <v>0</v>
      </c>
      <c r="M4" s="60" t="str">
        <f>IFERROR(__xludf.DUMMYFUNCTION("if(regexmatch(B4,""e(.*)$""),regexextract(B4,""e(.*)$""),"""")"),"-10")</f>
        <v>-10</v>
      </c>
    </row>
    <row r="5">
      <c r="A5" s="17" t="s">
        <v>222</v>
      </c>
      <c r="B5" s="17" t="s">
        <v>1433</v>
      </c>
      <c r="C5" s="17" t="s">
        <v>1434</v>
      </c>
      <c r="D5" s="17" t="s">
        <v>224</v>
      </c>
      <c r="E5" s="60" t="str">
        <f>VLOOKUP($A5,nist_names_ids!A:B,2,false)</f>
        <v>malc2mev</v>
      </c>
      <c r="F5" s="61">
        <f>countif(Constants!A:A,E5)</f>
        <v>1</v>
      </c>
      <c r="G5" s="62" t="str">
        <f t="shared" si="1"/>
        <v>3727.3794118</v>
      </c>
      <c r="H5" s="62">
        <f t="shared" si="2"/>
        <v>3727.379412</v>
      </c>
      <c r="I5" s="62" t="str">
        <f t="shared" si="3"/>
        <v>0.0000012</v>
      </c>
      <c r="J5" s="63">
        <f t="shared" si="4"/>
        <v>0.0000012</v>
      </c>
      <c r="K5" s="62" t="b">
        <f t="shared" si="5"/>
        <v>0</v>
      </c>
      <c r="L5" s="62" t="b">
        <f t="shared" si="6"/>
        <v>0</v>
      </c>
      <c r="M5" s="60" t="str">
        <f>IFERROR(__xludf.DUMMYFUNCTION("if(regexmatch(B5,""e(.*)$""),regexextract(B5,""e(.*)$""),"""")"),"")</f>
        <v/>
      </c>
    </row>
    <row r="6">
      <c r="A6" s="17" t="s">
        <v>245</v>
      </c>
      <c r="B6" s="17" t="s">
        <v>1436</v>
      </c>
      <c r="C6" s="17" t="s">
        <v>1437</v>
      </c>
      <c r="D6" s="17" t="s">
        <v>249</v>
      </c>
      <c r="E6" s="60" t="str">
        <f>VLOOKUP($A6,nist_names_ids!A:B,2,false)</f>
        <v>malu</v>
      </c>
      <c r="F6" s="61">
        <f>countif(Constants!A:A,E6)</f>
        <v>1</v>
      </c>
      <c r="G6" s="62" t="str">
        <f t="shared" si="1"/>
        <v>4.001506179129</v>
      </c>
      <c r="H6" s="62">
        <f t="shared" si="2"/>
        <v>4.001506179</v>
      </c>
      <c r="I6" s="62" t="str">
        <f t="shared" si="3"/>
        <v>0.000000000062</v>
      </c>
      <c r="J6" s="63">
        <f t="shared" si="4"/>
        <v>0</v>
      </c>
      <c r="K6" s="62" t="b">
        <f t="shared" si="5"/>
        <v>0</v>
      </c>
      <c r="L6" s="62" t="b">
        <f t="shared" si="6"/>
        <v>0</v>
      </c>
      <c r="M6" s="60" t="str">
        <f>IFERROR(__xludf.DUMMYFUNCTION("if(regexmatch(B6,""e(.*)$""),regexextract(B6,""e(.*)$""),"""")"),"")</f>
        <v/>
      </c>
    </row>
    <row r="7">
      <c r="A7" s="17" t="s">
        <v>284</v>
      </c>
      <c r="B7" s="17" t="s">
        <v>1439</v>
      </c>
      <c r="C7" s="17" t="s">
        <v>1440</v>
      </c>
      <c r="D7" s="17" t="s">
        <v>286</v>
      </c>
      <c r="E7" s="17" t="s">
        <v>282</v>
      </c>
      <c r="F7" s="61">
        <f>countif(Constants!A:A,E7)</f>
        <v>1</v>
      </c>
      <c r="G7" s="62" t="str">
        <f t="shared" si="1"/>
        <v>4.0015061833e-3</v>
      </c>
      <c r="H7" s="62">
        <f t="shared" si="2"/>
        <v>0.004001506183</v>
      </c>
      <c r="I7" s="62" t="str">
        <f t="shared" si="3"/>
        <v>0.0000000012e-3</v>
      </c>
      <c r="J7" s="63">
        <f t="shared" si="4"/>
        <v>0</v>
      </c>
      <c r="K7" s="62" t="b">
        <f t="shared" si="5"/>
        <v>0</v>
      </c>
      <c r="L7" s="62" t="b">
        <f t="shared" si="6"/>
        <v>0</v>
      </c>
      <c r="M7" s="60" t="str">
        <f>IFERROR(__xludf.DUMMYFUNCTION("if(regexmatch(B7,""e(.*)$""),regexextract(B7,""e(.*)$""),"""")"),"-3")</f>
        <v>-3</v>
      </c>
    </row>
    <row r="8">
      <c r="A8" s="17" t="s">
        <v>1171</v>
      </c>
      <c r="B8" s="17" t="s">
        <v>1441</v>
      </c>
      <c r="C8" s="17" t="s">
        <v>1442</v>
      </c>
      <c r="E8" s="60" t="str">
        <f>VLOOKUP($A8,nist_names_ids!A:B,2,false)</f>
        <v>malsmp</v>
      </c>
      <c r="F8" s="61">
        <f>countif(Constants!A:A,E8)</f>
        <v>1</v>
      </c>
      <c r="G8" s="62" t="str">
        <f t="shared" si="1"/>
        <v>3.972599690252</v>
      </c>
      <c r="H8" s="62">
        <f t="shared" si="2"/>
        <v>3.97259969</v>
      </c>
      <c r="I8" s="62" t="str">
        <f t="shared" si="3"/>
        <v>0.000000000070</v>
      </c>
      <c r="J8" s="63">
        <f t="shared" si="4"/>
        <v>0</v>
      </c>
      <c r="K8" s="62" t="b">
        <f t="shared" si="5"/>
        <v>0</v>
      </c>
      <c r="L8" s="62" t="b">
        <f t="shared" si="6"/>
        <v>0</v>
      </c>
      <c r="M8" s="60" t="str">
        <f>IFERROR(__xludf.DUMMYFUNCTION("if(regexmatch(B8,""e(.*)$""),regexextract(B8,""e(.*)$""),"""")"),"")</f>
        <v/>
      </c>
    </row>
    <row r="9">
      <c r="A9" s="17" t="s">
        <v>341</v>
      </c>
      <c r="B9" s="17" t="s">
        <v>1436</v>
      </c>
      <c r="C9" s="17" t="s">
        <v>1437</v>
      </c>
      <c r="E9" s="60" t="str">
        <f>VLOOKUP($A9,nist_names_ids!A:B,2,false)</f>
        <v>aral</v>
      </c>
      <c r="F9" s="61">
        <f>countif(Constants!A:A,E9)</f>
        <v>1</v>
      </c>
      <c r="G9" s="62" t="str">
        <f t="shared" si="1"/>
        <v>4.001506179129</v>
      </c>
      <c r="H9" s="62">
        <f t="shared" si="2"/>
        <v>4.001506179</v>
      </c>
      <c r="I9" s="62" t="str">
        <f t="shared" si="3"/>
        <v>0.000000000062</v>
      </c>
      <c r="J9" s="63">
        <f t="shared" si="4"/>
        <v>0</v>
      </c>
      <c r="K9" s="62" t="b">
        <f t="shared" si="5"/>
        <v>0</v>
      </c>
      <c r="L9" s="62" t="b">
        <f t="shared" si="6"/>
        <v>0</v>
      </c>
      <c r="M9" s="60" t="str">
        <f>IFERROR(__xludf.DUMMYFUNCTION("if(regexmatch(B9,""e(.*)$""),regexextract(B9,""e(.*)$""),"""")"),"")</f>
        <v/>
      </c>
    </row>
    <row r="10">
      <c r="A10" s="17" t="s">
        <v>377</v>
      </c>
      <c r="B10" s="64" t="s">
        <v>1449</v>
      </c>
      <c r="C10" s="64" t="s">
        <v>1450</v>
      </c>
      <c r="D10" s="17" t="s">
        <v>381</v>
      </c>
      <c r="E10" s="60" t="str">
        <f>VLOOKUP($A10,nist_names_ids!A:B,2,false)</f>
        <v>ral</v>
      </c>
      <c r="F10" s="61">
        <f>countif(Constants!A:A,E10)</f>
        <v>1</v>
      </c>
      <c r="G10" s="62" t="str">
        <f t="shared" si="1"/>
        <v>1.6785e-15</v>
      </c>
      <c r="H10" s="62">
        <f t="shared" si="2"/>
        <v>0</v>
      </c>
      <c r="I10" s="62" t="str">
        <f t="shared" si="3"/>
        <v>0.0021e-15</v>
      </c>
      <c r="J10" s="63">
        <f t="shared" si="4"/>
        <v>0</v>
      </c>
      <c r="K10" s="62" t="b">
        <f t="shared" si="5"/>
        <v>0</v>
      </c>
      <c r="L10" s="62" t="b">
        <f t="shared" si="6"/>
        <v>0</v>
      </c>
      <c r="M10" s="60" t="str">
        <f>IFERROR(__xludf.DUMMYFUNCTION("if(regexmatch(B10,""e(.*)$""),regexextract(B10,""e(.*)$""),"""")"),"-15")</f>
        <v>-15</v>
      </c>
    </row>
    <row r="11">
      <c r="A11" s="17" t="s">
        <v>399</v>
      </c>
      <c r="B11" s="17" t="s">
        <v>1452</v>
      </c>
      <c r="C11" s="17" t="s">
        <v>1453</v>
      </c>
      <c r="D11" s="17" t="s">
        <v>381</v>
      </c>
      <c r="E11" s="60" t="str">
        <f>VLOOKUP($A11,nist_names_ids!A:B,2,false)</f>
        <v>angstar</v>
      </c>
      <c r="F11" s="61">
        <f>countif(Constants!A:A,E11)</f>
        <v>1</v>
      </c>
      <c r="G11" s="62" t="str">
        <f t="shared" si="1"/>
        <v>1.00001495e-10</v>
      </c>
      <c r="H11" s="62">
        <f t="shared" si="2"/>
        <v>0.000000000100001495</v>
      </c>
      <c r="I11" s="62" t="str">
        <f t="shared" si="3"/>
        <v>0.00000090e-10</v>
      </c>
      <c r="J11" s="63">
        <f t="shared" si="4"/>
        <v>0</v>
      </c>
      <c r="K11" s="62" t="b">
        <f t="shared" si="5"/>
        <v>0</v>
      </c>
      <c r="L11" s="62" t="b">
        <f t="shared" si="6"/>
        <v>0</v>
      </c>
      <c r="M11" s="60" t="str">
        <f>IFERROR(__xludf.DUMMYFUNCTION("if(regexmatch(B11,""e(.*)$""),regexextract(B11,""e(.*)$""),"""")"),"-10")</f>
        <v>-10</v>
      </c>
    </row>
    <row r="12">
      <c r="A12" s="17" t="s">
        <v>431</v>
      </c>
      <c r="B12" s="17" t="s">
        <v>1458</v>
      </c>
      <c r="C12" s="17" t="s">
        <v>1459</v>
      </c>
      <c r="D12" s="17" t="s">
        <v>98</v>
      </c>
      <c r="E12" s="60" t="str">
        <f>VLOOKUP($A12,nist_names_ids!A:B,2,false)</f>
        <v>u</v>
      </c>
      <c r="F12" s="61">
        <f>countif(Constants!A:A,E12)</f>
        <v>1</v>
      </c>
      <c r="G12" s="62" t="str">
        <f t="shared" si="1"/>
        <v>1.66053906892e-27</v>
      </c>
      <c r="H12" s="62">
        <f t="shared" si="2"/>
        <v>0</v>
      </c>
      <c r="I12" s="62" t="str">
        <f t="shared" si="3"/>
        <v>0.00000000052e-27</v>
      </c>
      <c r="J12" s="63">
        <f t="shared" si="4"/>
        <v>0</v>
      </c>
      <c r="K12" s="62" t="b">
        <f t="shared" si="5"/>
        <v>0</v>
      </c>
      <c r="L12" s="62" t="b">
        <f t="shared" si="6"/>
        <v>0</v>
      </c>
      <c r="M12" s="60" t="str">
        <f>IFERROR(__xludf.DUMMYFUNCTION("if(regexmatch(B12,""e(.*)$""),regexextract(B12,""e(.*)$""),"""")"),"-27")</f>
        <v>-27</v>
      </c>
    </row>
    <row r="13">
      <c r="A13" s="17" t="s">
        <v>619</v>
      </c>
      <c r="B13" s="17" t="s">
        <v>1461</v>
      </c>
      <c r="C13" s="17" t="s">
        <v>1462</v>
      </c>
      <c r="D13" s="17" t="s">
        <v>173</v>
      </c>
      <c r="E13" s="60" t="str">
        <f>VLOOKUP($A13,nist_names_ids!A:B,2,false)</f>
        <v>uj</v>
      </c>
      <c r="F13" s="61">
        <f>countif(Constants!A:A,E13)</f>
        <v>1</v>
      </c>
      <c r="G13" s="62" t="str">
        <f t="shared" si="1"/>
        <v>1.49241808768e-10</v>
      </c>
      <c r="H13" s="62">
        <f t="shared" si="2"/>
        <v>0.0000000001492418088</v>
      </c>
      <c r="I13" s="62" t="str">
        <f t="shared" si="3"/>
        <v>0.00000000046e-10</v>
      </c>
      <c r="J13" s="63">
        <f t="shared" si="4"/>
        <v>0</v>
      </c>
      <c r="K13" s="62" t="b">
        <f t="shared" si="5"/>
        <v>0</v>
      </c>
      <c r="L13" s="62" t="b">
        <f t="shared" si="6"/>
        <v>0</v>
      </c>
      <c r="M13" s="60" t="str">
        <f>IFERROR(__xludf.DUMMYFUNCTION("if(regexmatch(B13,""e(.*)$""),regexextract(B13,""e(.*)$""),"""")"),"-10")</f>
        <v>-10</v>
      </c>
    </row>
    <row r="14">
      <c r="A14" s="17" t="s">
        <v>453</v>
      </c>
      <c r="B14" s="17" t="s">
        <v>1464</v>
      </c>
      <c r="C14" s="17" t="s">
        <v>1465</v>
      </c>
      <c r="D14" s="17" t="s">
        <v>224</v>
      </c>
      <c r="E14" s="60" t="str">
        <f>VLOOKUP($A14,nist_names_ids!A:B,2,false)</f>
        <v>muc2mev</v>
      </c>
      <c r="F14" s="61">
        <f>countif(Constants!A:A,E14)</f>
        <v>1</v>
      </c>
      <c r="G14" s="62" t="str">
        <f t="shared" si="1"/>
        <v>931.49410372</v>
      </c>
      <c r="H14" s="62">
        <f t="shared" si="2"/>
        <v>931.4941037</v>
      </c>
      <c r="I14" s="62" t="str">
        <f t="shared" si="3"/>
        <v>0.00000029</v>
      </c>
      <c r="J14" s="63">
        <f t="shared" si="4"/>
        <v>0.00000029</v>
      </c>
      <c r="K14" s="62" t="b">
        <f t="shared" si="5"/>
        <v>0</v>
      </c>
      <c r="L14" s="62" t="b">
        <f t="shared" si="6"/>
        <v>0</v>
      </c>
      <c r="M14" s="60" t="str">
        <f>IFERROR(__xludf.DUMMYFUNCTION("if(regexmatch(B14,""e(.*)$""),regexextract(B14,""e(.*)$""),"""")"),"")</f>
        <v/>
      </c>
    </row>
    <row r="15">
      <c r="A15" s="17" t="s">
        <v>1242</v>
      </c>
      <c r="B15" s="17" t="s">
        <v>1467</v>
      </c>
      <c r="C15" s="17" t="s">
        <v>1468</v>
      </c>
      <c r="D15" s="17" t="s">
        <v>181</v>
      </c>
      <c r="E15" s="60" t="str">
        <f>VLOOKUP($A15,nist_names_ids!A:B,2,false)</f>
        <v>uev</v>
      </c>
      <c r="F15" s="61">
        <f>countif(Constants!A:A,E15)</f>
        <v>1</v>
      </c>
      <c r="G15" s="62" t="str">
        <f t="shared" si="1"/>
        <v>9.3149410372e8</v>
      </c>
      <c r="H15" s="62">
        <f t="shared" si="2"/>
        <v>931494103.7</v>
      </c>
      <c r="I15" s="62" t="str">
        <f t="shared" si="3"/>
        <v>0.0000000029e8</v>
      </c>
      <c r="J15" s="63">
        <f t="shared" si="4"/>
        <v>0.29</v>
      </c>
      <c r="K15" s="62" t="b">
        <f t="shared" si="5"/>
        <v>0</v>
      </c>
      <c r="L15" s="62" t="b">
        <f t="shared" si="6"/>
        <v>0</v>
      </c>
      <c r="M15" s="60" t="str">
        <f>IFERROR(__xludf.DUMMYFUNCTION("if(regexmatch(B15,""e(.*)$""),regexextract(B15,""e(.*)$""),"""")"),"8")</f>
        <v>8</v>
      </c>
    </row>
    <row r="16">
      <c r="A16" s="17" t="s">
        <v>1272</v>
      </c>
      <c r="B16" s="17" t="s">
        <v>1474</v>
      </c>
      <c r="C16" s="17" t="s">
        <v>1475</v>
      </c>
      <c r="D16" s="17" t="s">
        <v>170</v>
      </c>
      <c r="E16" s="60" t="str">
        <f>VLOOKUP($A16,nist_names_ids!A:B,2,false)</f>
        <v>uhr</v>
      </c>
      <c r="F16" s="61">
        <f>countif(Constants!A:A,E16)</f>
        <v>1</v>
      </c>
      <c r="G16" s="62" t="str">
        <f t="shared" si="1"/>
        <v>3.4231776922e7</v>
      </c>
      <c r="H16" s="62">
        <f t="shared" si="2"/>
        <v>34231776.92</v>
      </c>
      <c r="I16" s="62" t="str">
        <f t="shared" si="3"/>
        <v>0.0000000011e7</v>
      </c>
      <c r="J16" s="63">
        <f t="shared" si="4"/>
        <v>0.011</v>
      </c>
      <c r="K16" s="62" t="b">
        <f t="shared" si="5"/>
        <v>0</v>
      </c>
      <c r="L16" s="62" t="b">
        <f t="shared" si="6"/>
        <v>0</v>
      </c>
      <c r="M16" s="60" t="str">
        <f>IFERROR(__xludf.DUMMYFUNCTION("if(regexmatch(B16,""e(.*)$""),regexextract(B16,""e(.*)$""),"""")"),"7")</f>
        <v>7</v>
      </c>
    </row>
    <row r="17">
      <c r="A17" s="17" t="s">
        <v>1288</v>
      </c>
      <c r="B17" s="17" t="s">
        <v>1477</v>
      </c>
      <c r="C17" s="17" t="s">
        <v>1478</v>
      </c>
      <c r="D17" s="17" t="s">
        <v>257</v>
      </c>
      <c r="E17" s="60" t="str">
        <f>VLOOKUP($A17,nist_names_ids!A:B,2,false)</f>
        <v>uhz</v>
      </c>
      <c r="F17" s="61">
        <f>countif(Constants!A:A,E17)</f>
        <v>1</v>
      </c>
      <c r="G17" s="62" t="str">
        <f t="shared" si="1"/>
        <v>2.25234272185e23</v>
      </c>
      <c r="H17" s="62">
        <f t="shared" si="2"/>
        <v>2.25234E+23</v>
      </c>
      <c r="I17" s="62" t="str">
        <f t="shared" si="3"/>
        <v>0.00000000070e23</v>
      </c>
      <c r="J17" s="63">
        <f t="shared" si="4"/>
        <v>70000000000000</v>
      </c>
      <c r="K17" s="62" t="b">
        <f t="shared" si="5"/>
        <v>0</v>
      </c>
      <c r="L17" s="62" t="b">
        <f t="shared" si="6"/>
        <v>0</v>
      </c>
      <c r="M17" s="60" t="str">
        <f>IFERROR(__xludf.DUMMYFUNCTION("if(regexmatch(B17,""e(.*)$""),regexextract(B17,""e(.*)$""),"""")"),"23")</f>
        <v>23</v>
      </c>
    </row>
    <row r="18">
      <c r="A18" s="17" t="s">
        <v>1312</v>
      </c>
      <c r="B18" s="17" t="s">
        <v>1480</v>
      </c>
      <c r="C18" s="17" t="s">
        <v>1481</v>
      </c>
      <c r="D18" s="17" t="s">
        <v>561</v>
      </c>
      <c r="E18" s="60" t="str">
        <f>VLOOKUP($A18,nist_names_ids!A:B,2,false)</f>
        <v>uminv</v>
      </c>
      <c r="F18" s="61">
        <f>countif(Constants!A:A,E18)</f>
        <v>1</v>
      </c>
      <c r="G18" s="62" t="str">
        <f t="shared" si="1"/>
        <v>7.5130066209e14</v>
      </c>
      <c r="H18" s="62">
        <f t="shared" si="2"/>
        <v>751300662090000</v>
      </c>
      <c r="I18" s="62" t="str">
        <f t="shared" si="3"/>
        <v>0.0000000023e14</v>
      </c>
      <c r="J18" s="63">
        <f t="shared" si="4"/>
        <v>230000</v>
      </c>
      <c r="K18" s="62" t="b">
        <f t="shared" si="5"/>
        <v>0</v>
      </c>
      <c r="L18" s="62" t="b">
        <f t="shared" si="6"/>
        <v>0</v>
      </c>
      <c r="M18" s="60" t="str">
        <f>IFERROR(__xludf.DUMMYFUNCTION("if(regexmatch(B18,""e(.*)$""),regexextract(B18,""e(.*)$""),"""")"),"14")</f>
        <v>14</v>
      </c>
    </row>
    <row r="19">
      <c r="A19" s="17" t="s">
        <v>1324</v>
      </c>
      <c r="B19" s="17" t="s">
        <v>1461</v>
      </c>
      <c r="C19" s="17" t="s">
        <v>1462</v>
      </c>
      <c r="D19" s="17" t="s">
        <v>173</v>
      </c>
      <c r="E19" s="60" t="str">
        <f>VLOOKUP($A19,nist_names_ids!A:B,2,false)</f>
        <v>Ruj</v>
      </c>
      <c r="F19" s="61">
        <f>countif(Constants!A:A,E19)</f>
        <v>1</v>
      </c>
      <c r="G19" s="62" t="str">
        <f t="shared" si="1"/>
        <v>1.49241808768e-10</v>
      </c>
      <c r="H19" s="62">
        <f t="shared" si="2"/>
        <v>0.0000000001492418088</v>
      </c>
      <c r="I19" s="62" t="str">
        <f t="shared" si="3"/>
        <v>0.00000000046e-10</v>
      </c>
      <c r="J19" s="63">
        <f t="shared" si="4"/>
        <v>0</v>
      </c>
      <c r="K19" s="62" t="b">
        <f t="shared" si="5"/>
        <v>0</v>
      </c>
      <c r="L19" s="62" t="b">
        <f t="shared" si="6"/>
        <v>0</v>
      </c>
      <c r="M19" s="60" t="str">
        <f>IFERROR(__xludf.DUMMYFUNCTION("if(regexmatch(B19,""e(.*)$""),regexextract(B19,""e(.*)$""),"""")"),"-10")</f>
        <v>-10</v>
      </c>
    </row>
    <row r="20">
      <c r="A20" s="17" t="s">
        <v>1338</v>
      </c>
      <c r="B20" s="17" t="s">
        <v>1488</v>
      </c>
      <c r="C20" s="17" t="s">
        <v>1489</v>
      </c>
      <c r="D20" s="17" t="s">
        <v>345</v>
      </c>
      <c r="E20" s="60" t="str">
        <f>VLOOKUP($A20,nist_names_ids!A:B,2,false)</f>
        <v>uk</v>
      </c>
      <c r="F20" s="61">
        <f>countif(Constants!A:A,E20)</f>
        <v>1</v>
      </c>
      <c r="G20" s="62" t="str">
        <f t="shared" si="1"/>
        <v>1.08095402067e13</v>
      </c>
      <c r="H20" s="62">
        <f t="shared" si="2"/>
        <v>10809540206700</v>
      </c>
      <c r="I20" s="62" t="str">
        <f t="shared" si="3"/>
        <v>0.00000000034e13</v>
      </c>
      <c r="J20" s="63">
        <f t="shared" si="4"/>
        <v>3400</v>
      </c>
      <c r="K20" s="62" t="b">
        <f t="shared" si="5"/>
        <v>0</v>
      </c>
      <c r="L20" s="62" t="b">
        <f t="shared" si="6"/>
        <v>0</v>
      </c>
      <c r="M20" s="60" t="str">
        <f>IFERROR(__xludf.DUMMYFUNCTION("if(regexmatch(B20,""e(.*)$""),regexextract(B20,""e(.*)$""),"""")"),"13")</f>
        <v>13</v>
      </c>
    </row>
    <row r="21">
      <c r="A21" s="17" t="s">
        <v>1349</v>
      </c>
      <c r="B21" s="17" t="s">
        <v>1458</v>
      </c>
      <c r="C21" s="17" t="s">
        <v>1459</v>
      </c>
      <c r="D21" s="17" t="s">
        <v>98</v>
      </c>
      <c r="E21" s="60" t="str">
        <f>VLOOKUP($A21,nist_names_ids!A:B,2,false)</f>
        <v>Rukg</v>
      </c>
      <c r="F21" s="61">
        <f>countif(Constants!A:A,E21)</f>
        <v>1</v>
      </c>
      <c r="G21" s="62" t="str">
        <f t="shared" si="1"/>
        <v>1.66053906892e-27</v>
      </c>
      <c r="H21" s="62">
        <f t="shared" si="2"/>
        <v>0</v>
      </c>
      <c r="I21" s="62" t="str">
        <f t="shared" si="3"/>
        <v>0.00000000052e-27</v>
      </c>
      <c r="J21" s="63">
        <f t="shared" si="4"/>
        <v>0</v>
      </c>
      <c r="K21" s="62" t="b">
        <f t="shared" si="5"/>
        <v>0</v>
      </c>
      <c r="L21" s="62" t="b">
        <f t="shared" si="6"/>
        <v>0</v>
      </c>
      <c r="M21" s="60" t="str">
        <f>IFERROR(__xludf.DUMMYFUNCTION("if(regexmatch(B21,""e(.*)$""),regexextract(B21,""e(.*)$""),"""")"),"-27")</f>
        <v>-27</v>
      </c>
    </row>
    <row r="22">
      <c r="A22" s="17" t="s">
        <v>1364</v>
      </c>
      <c r="B22" s="17" t="s">
        <v>1494</v>
      </c>
      <c r="C22" s="17" t="s">
        <v>1495</v>
      </c>
      <c r="D22" s="17" t="s">
        <v>676</v>
      </c>
      <c r="E22" s="60" t="str">
        <f>VLOOKUP($A22,nist_names_ids!A:B,2,false)</f>
        <v>auhypol</v>
      </c>
      <c r="F22" s="61">
        <f>countif(Constants!A:A,E22)</f>
        <v>1</v>
      </c>
      <c r="G22" s="62" t="str">
        <f t="shared" si="1"/>
        <v>3.2063612996e-53</v>
      </c>
      <c r="H22" s="62">
        <f t="shared" si="2"/>
        <v>0</v>
      </c>
      <c r="I22" s="62" t="str">
        <f t="shared" si="3"/>
        <v>0.0000000015e-53</v>
      </c>
      <c r="J22" s="63">
        <f t="shared" si="4"/>
        <v>0</v>
      </c>
      <c r="K22" s="62" t="b">
        <f t="shared" si="5"/>
        <v>0</v>
      </c>
      <c r="L22" s="62" t="b">
        <f t="shared" si="6"/>
        <v>0</v>
      </c>
      <c r="M22" s="60" t="str">
        <f>IFERROR(__xludf.DUMMYFUNCTION("if(regexmatch(B22,""e(.*)$""),regexextract(B22,""e(.*)$""),"""")"),"-53")</f>
        <v>-53</v>
      </c>
    </row>
    <row r="23">
      <c r="A23" s="17" t="s">
        <v>1378</v>
      </c>
      <c r="B23" s="17" t="s">
        <v>1497</v>
      </c>
      <c r="C23" s="17" t="s">
        <v>1498</v>
      </c>
      <c r="D23" s="17" t="s">
        <v>698</v>
      </c>
      <c r="E23" s="60" t="str">
        <f>VLOOKUP($A23,nist_names_ids!A:B,2,false)</f>
        <v>au2hypol</v>
      </c>
      <c r="F23" s="61">
        <f>countif(Constants!A:A,E23)</f>
        <v>1</v>
      </c>
      <c r="G23" s="62" t="str">
        <f t="shared" si="1"/>
        <v>6.2353799735e-65</v>
      </c>
      <c r="H23" s="62">
        <f t="shared" si="2"/>
        <v>0</v>
      </c>
      <c r="I23" s="62" t="str">
        <f t="shared" si="3"/>
        <v>0.0000000039e-65</v>
      </c>
      <c r="J23" s="63">
        <f t="shared" si="4"/>
        <v>0</v>
      </c>
      <c r="K23" s="62" t="b">
        <f t="shared" si="5"/>
        <v>0</v>
      </c>
      <c r="L23" s="62" t="b">
        <f t="shared" si="6"/>
        <v>0</v>
      </c>
      <c r="M23" s="60" t="str">
        <f>IFERROR(__xludf.DUMMYFUNCTION("if(regexmatch(B23,""e(.*)$""),regexextract(B23,""e(.*)$""),"""")"),"-65")</f>
        <v>-65</v>
      </c>
    </row>
    <row r="24">
      <c r="A24" s="17" t="s">
        <v>712</v>
      </c>
      <c r="B24" s="17" t="s">
        <v>1500</v>
      </c>
      <c r="C24" s="17" t="s">
        <v>1501</v>
      </c>
      <c r="D24" s="17" t="s">
        <v>714</v>
      </c>
      <c r="E24" s="60" t="str">
        <f>VLOOKUP($A24,nist_names_ids!A:B,2,false)</f>
        <v>tthbar</v>
      </c>
      <c r="F24" s="61">
        <f>countif(Constants!A:A,E24)</f>
        <v>1</v>
      </c>
      <c r="G24" s="62" t="str">
        <f t="shared" si="1"/>
        <v>1.054571817e-34</v>
      </c>
      <c r="H24" s="62">
        <f t="shared" si="2"/>
        <v>0</v>
      </c>
      <c r="I24" s="62" t="str">
        <f t="shared" si="3"/>
        <v>(exact)</v>
      </c>
      <c r="J24" s="63" t="str">
        <f t="shared" si="4"/>
        <v/>
      </c>
      <c r="K24" s="62" t="b">
        <f t="shared" si="5"/>
        <v>1</v>
      </c>
      <c r="L24" s="62" t="b">
        <f t="shared" si="6"/>
        <v>0</v>
      </c>
      <c r="M24" s="60" t="str">
        <f>IFERROR(__xludf.DUMMYFUNCTION("if(regexmatch(B24,""e(.*)$""),regexextract(B24,""e(.*)$""),"""")"),"-34")</f>
        <v>-34</v>
      </c>
    </row>
    <row r="25">
      <c r="A25" s="17" t="s">
        <v>729</v>
      </c>
      <c r="B25" s="17" t="s">
        <v>1505</v>
      </c>
      <c r="C25" s="17" t="s">
        <v>1501</v>
      </c>
      <c r="D25" s="17" t="s">
        <v>81</v>
      </c>
      <c r="E25" s="60" t="str">
        <f>VLOOKUP($A25,nist_names_ids!A:B,2,false)</f>
        <v>Ae</v>
      </c>
      <c r="F25" s="61">
        <f>countif(Constants!A:A,E25)</f>
        <v>2</v>
      </c>
      <c r="G25" s="62" t="str">
        <f t="shared" si="1"/>
        <v>1.602176634e-19</v>
      </c>
      <c r="H25" s="62">
        <f t="shared" si="2"/>
        <v>0</v>
      </c>
      <c r="I25" s="62" t="str">
        <f t="shared" si="3"/>
        <v>(exact)</v>
      </c>
      <c r="J25" s="63" t="str">
        <f t="shared" si="4"/>
        <v/>
      </c>
      <c r="K25" s="62" t="b">
        <f t="shared" si="5"/>
        <v>1</v>
      </c>
      <c r="L25" s="62" t="b">
        <f t="shared" si="6"/>
        <v>0</v>
      </c>
      <c r="M25" s="60" t="str">
        <f>IFERROR(__xludf.DUMMYFUNCTION("if(regexmatch(B25,""e(.*)$""),regexextract(B25,""e(.*)$""),"""")"),"-19")</f>
        <v>-19</v>
      </c>
    </row>
    <row r="26">
      <c r="A26" s="17" t="s">
        <v>742</v>
      </c>
      <c r="B26" s="17" t="s">
        <v>1508</v>
      </c>
      <c r="C26" s="17" t="s">
        <v>1509</v>
      </c>
      <c r="D26" s="17" t="s">
        <v>744</v>
      </c>
      <c r="E26" s="60" t="str">
        <f>VLOOKUP($A26,nist_names_ids!A:B,2,false)</f>
        <v>aucd</v>
      </c>
      <c r="F26" s="61">
        <f>countif(Constants!A:A,E26)</f>
        <v>1</v>
      </c>
      <c r="G26" s="62" t="str">
        <f t="shared" si="1"/>
        <v>1.08120238677e12</v>
      </c>
      <c r="H26" s="62">
        <f t="shared" si="2"/>
        <v>1081202386770</v>
      </c>
      <c r="I26" s="62" t="str">
        <f t="shared" si="3"/>
        <v>0.00000000051e12</v>
      </c>
      <c r="J26" s="63">
        <f t="shared" si="4"/>
        <v>510</v>
      </c>
      <c r="K26" s="62" t="b">
        <f t="shared" si="5"/>
        <v>0</v>
      </c>
      <c r="L26" s="62" t="b">
        <f t="shared" si="6"/>
        <v>0</v>
      </c>
      <c r="M26" s="60" t="str">
        <f>IFERROR(__xludf.DUMMYFUNCTION("if(regexmatch(B26,""e(.*)$""),regexextract(B26,""e(.*)$""),"""")"),"12")</f>
        <v>12</v>
      </c>
    </row>
    <row r="27">
      <c r="A27" s="17" t="s">
        <v>756</v>
      </c>
      <c r="B27" s="17" t="s">
        <v>1511</v>
      </c>
      <c r="C27" s="17" t="s">
        <v>1512</v>
      </c>
      <c r="D27" s="17" t="s">
        <v>55</v>
      </c>
      <c r="E27" s="60" t="str">
        <f>VLOOKUP($A27,nist_names_ids!A:B,2,false)</f>
        <v>aucur</v>
      </c>
      <c r="F27" s="61">
        <f>countif(Constants!A:A,E27)</f>
        <v>1</v>
      </c>
      <c r="G27" s="62" t="str">
        <f t="shared" si="1"/>
        <v>6.6236182375082e-3</v>
      </c>
      <c r="H27" s="62">
        <f t="shared" si="2"/>
        <v>0.006623618238</v>
      </c>
      <c r="I27" s="62" t="str">
        <f t="shared" si="3"/>
        <v>0.0000000000072e-3</v>
      </c>
      <c r="J27" s="63">
        <f t="shared" si="4"/>
        <v>0</v>
      </c>
      <c r="K27" s="62" t="b">
        <f t="shared" si="5"/>
        <v>0</v>
      </c>
      <c r="L27" s="62" t="b">
        <f t="shared" si="6"/>
        <v>0</v>
      </c>
      <c r="M27" s="60" t="str">
        <f>IFERROR(__xludf.DUMMYFUNCTION("if(regexmatch(B27,""e(.*)$""),regexextract(B27,""e(.*)$""),"""")"),"-3")</f>
        <v>-3</v>
      </c>
    </row>
    <row r="28">
      <c r="A28" s="17" t="s">
        <v>1420</v>
      </c>
      <c r="B28" s="17" t="s">
        <v>1513</v>
      </c>
      <c r="C28" s="17" t="s">
        <v>1514</v>
      </c>
      <c r="D28" s="17" t="s">
        <v>772</v>
      </c>
      <c r="E28" s="60" t="str">
        <f>VLOOKUP($A28,nist_names_ids!A:B,2,false)</f>
        <v>auedm</v>
      </c>
      <c r="F28" s="61">
        <f>countif(Constants!A:A,E28)</f>
        <v>1</v>
      </c>
      <c r="G28" s="62" t="str">
        <f t="shared" si="1"/>
        <v>8.4783536198e-30</v>
      </c>
      <c r="H28" s="62">
        <f t="shared" si="2"/>
        <v>0</v>
      </c>
      <c r="I28" s="62" t="str">
        <f t="shared" si="3"/>
        <v>0.0000000013e-30</v>
      </c>
      <c r="J28" s="63">
        <f t="shared" si="4"/>
        <v>0</v>
      </c>
      <c r="K28" s="62" t="b">
        <f t="shared" si="5"/>
        <v>0</v>
      </c>
      <c r="L28" s="62" t="b">
        <f t="shared" si="6"/>
        <v>0</v>
      </c>
      <c r="M28" s="60" t="str">
        <f>IFERROR(__xludf.DUMMYFUNCTION("if(regexmatch(B28,""e(.*)$""),regexextract(B28,""e(.*)$""),"""")"),"-30")</f>
        <v>-30</v>
      </c>
    </row>
    <row r="29">
      <c r="A29" s="17" t="s">
        <v>787</v>
      </c>
      <c r="B29" s="17" t="s">
        <v>1521</v>
      </c>
      <c r="C29" s="17" t="s">
        <v>1522</v>
      </c>
      <c r="D29" s="17" t="s">
        <v>789</v>
      </c>
      <c r="E29" s="60" t="str">
        <f>VLOOKUP($A29,nist_names_ids!A:B,2,false)</f>
        <v>auefld</v>
      </c>
      <c r="F29" s="61">
        <f>countif(Constants!A:A,E29)</f>
        <v>1</v>
      </c>
      <c r="G29" s="62" t="str">
        <f t="shared" si="1"/>
        <v>5.14220675112e11</v>
      </c>
      <c r="H29" s="62">
        <f t="shared" si="2"/>
        <v>514220675112</v>
      </c>
      <c r="I29" s="62" t="str">
        <f t="shared" si="3"/>
        <v>0.00000000080e11</v>
      </c>
      <c r="J29" s="63">
        <f t="shared" si="4"/>
        <v>80</v>
      </c>
      <c r="K29" s="62" t="b">
        <f t="shared" si="5"/>
        <v>0</v>
      </c>
      <c r="L29" s="62" t="b">
        <f t="shared" si="6"/>
        <v>0</v>
      </c>
      <c r="M29" s="60" t="str">
        <f>IFERROR(__xludf.DUMMYFUNCTION("if(regexmatch(B29,""e(.*)$""),regexextract(B29,""e(.*)$""),"""")"),"11")</f>
        <v>11</v>
      </c>
    </row>
    <row r="30">
      <c r="A30" s="17" t="s">
        <v>810</v>
      </c>
      <c r="B30" s="17" t="s">
        <v>1524</v>
      </c>
      <c r="C30" s="17" t="s">
        <v>1526</v>
      </c>
      <c r="D30" s="17" t="s">
        <v>812</v>
      </c>
      <c r="E30" s="60" t="str">
        <f>VLOOKUP($A30,nist_names_ids!A:B,2,false)</f>
        <v>auefg</v>
      </c>
      <c r="F30" s="61">
        <f>countif(Constants!A:A,E30)</f>
        <v>1</v>
      </c>
      <c r="G30" s="62" t="str">
        <f t="shared" si="1"/>
        <v>9.7173624424e21</v>
      </c>
      <c r="H30" s="62">
        <f t="shared" si="2"/>
        <v>9.71736E+21</v>
      </c>
      <c r="I30" s="62" t="str">
        <f t="shared" si="3"/>
        <v>0.0000000030e21</v>
      </c>
      <c r="J30" s="63">
        <f t="shared" si="4"/>
        <v>3000000000000</v>
      </c>
      <c r="K30" s="62" t="b">
        <f t="shared" si="5"/>
        <v>0</v>
      </c>
      <c r="L30" s="62" t="b">
        <f t="shared" si="6"/>
        <v>0</v>
      </c>
      <c r="M30" s="60" t="str">
        <f>IFERROR(__xludf.DUMMYFUNCTION("if(regexmatch(B30,""e(.*)$""),regexextract(B30,""e(.*)$""),"""")"),"21")</f>
        <v>21</v>
      </c>
    </row>
    <row r="31">
      <c r="A31" s="17" t="s">
        <v>833</v>
      </c>
      <c r="B31" s="17" t="s">
        <v>1532</v>
      </c>
      <c r="C31" s="17" t="s">
        <v>1533</v>
      </c>
      <c r="D31" s="17" t="s">
        <v>835</v>
      </c>
      <c r="E31" s="60" t="str">
        <f>VLOOKUP($A31,nist_names_ids!A:B,2,false)</f>
        <v>auepol</v>
      </c>
      <c r="F31" s="61">
        <f>countif(Constants!A:A,E31)</f>
        <v>1</v>
      </c>
      <c r="G31" s="62" t="str">
        <f t="shared" si="1"/>
        <v>1.64877727212e-41</v>
      </c>
      <c r="H31" s="62">
        <f t="shared" si="2"/>
        <v>0</v>
      </c>
      <c r="I31" s="62" t="str">
        <f t="shared" si="3"/>
        <v>0.00000000051e-41</v>
      </c>
      <c r="J31" s="63">
        <f t="shared" si="4"/>
        <v>0</v>
      </c>
      <c r="K31" s="62" t="b">
        <f t="shared" si="5"/>
        <v>0</v>
      </c>
      <c r="L31" s="62" t="b">
        <f t="shared" si="6"/>
        <v>0</v>
      </c>
      <c r="M31" s="60" t="str">
        <f>IFERROR(__xludf.DUMMYFUNCTION("if(regexmatch(B31,""e(.*)$""),regexextract(B31,""e(.*)$""),"""")"),"-41")</f>
        <v>-41</v>
      </c>
    </row>
    <row r="32">
      <c r="A32" s="17" t="s">
        <v>858</v>
      </c>
      <c r="B32" s="17" t="s">
        <v>1534</v>
      </c>
      <c r="C32" s="17" t="s">
        <v>1535</v>
      </c>
      <c r="D32" s="17" t="s">
        <v>546</v>
      </c>
      <c r="E32" s="60" t="str">
        <f>VLOOKUP($A32,nist_names_ids!A:B,2,false)</f>
        <v>auep</v>
      </c>
      <c r="F32" s="61">
        <f>countif(Constants!A:A,E32)</f>
        <v>1</v>
      </c>
      <c r="G32" s="62" t="str">
        <f t="shared" si="1"/>
        <v>27.211386245981</v>
      </c>
      <c r="H32" s="62">
        <f t="shared" si="2"/>
        <v>27.21138625</v>
      </c>
      <c r="I32" s="62" t="str">
        <f t="shared" si="3"/>
        <v>0.000000000030</v>
      </c>
      <c r="J32" s="63">
        <f t="shared" si="4"/>
        <v>0</v>
      </c>
      <c r="K32" s="62" t="b">
        <f t="shared" si="5"/>
        <v>0</v>
      </c>
      <c r="L32" s="62" t="b">
        <f t="shared" si="6"/>
        <v>0</v>
      </c>
      <c r="M32" s="60" t="str">
        <f>IFERROR(__xludf.DUMMYFUNCTION("if(regexmatch(B32,""e(.*)$""),regexextract(B32,""e(.*)$""),"""")"),"")</f>
        <v/>
      </c>
    </row>
    <row r="33">
      <c r="A33" s="17" t="s">
        <v>1470</v>
      </c>
      <c r="B33" s="17" t="s">
        <v>1536</v>
      </c>
      <c r="C33" s="17" t="s">
        <v>1537</v>
      </c>
      <c r="D33" s="17" t="s">
        <v>884</v>
      </c>
      <c r="E33" s="60" t="str">
        <f>VLOOKUP($A33,nist_names_ids!A:B,2,false)</f>
        <v>aueqm</v>
      </c>
      <c r="F33" s="61">
        <f>countif(Constants!A:A,E33)</f>
        <v>1</v>
      </c>
      <c r="G33" s="62" t="str">
        <f t="shared" si="1"/>
        <v>4.4865515185e-40</v>
      </c>
      <c r="H33" s="62">
        <f t="shared" si="2"/>
        <v>0</v>
      </c>
      <c r="I33" s="62" t="str">
        <f t="shared" si="3"/>
        <v>0.0000000014e-40</v>
      </c>
      <c r="J33" s="63">
        <f t="shared" si="4"/>
        <v>0</v>
      </c>
      <c r="K33" s="62" t="b">
        <f t="shared" si="5"/>
        <v>0</v>
      </c>
      <c r="L33" s="62" t="b">
        <f t="shared" si="6"/>
        <v>0</v>
      </c>
      <c r="M33" s="60" t="str">
        <f>IFERROR(__xludf.DUMMYFUNCTION("if(regexmatch(B33,""e(.*)$""),regexextract(B33,""e(.*)$""),"""")"),"-40")</f>
        <v>-40</v>
      </c>
    </row>
    <row r="34">
      <c r="A34" s="17" t="s">
        <v>901</v>
      </c>
      <c r="B34" s="17" t="s">
        <v>1538</v>
      </c>
      <c r="C34" s="17" t="s">
        <v>1539</v>
      </c>
      <c r="D34" s="17" t="s">
        <v>173</v>
      </c>
      <c r="E34" s="60" t="str">
        <f>VLOOKUP($A34,nist_names_ids!A:B,2,false)</f>
        <v>thr</v>
      </c>
      <c r="F34" s="61">
        <f>countif(Constants!A:A,E34)</f>
        <v>1</v>
      </c>
      <c r="G34" s="62" t="str">
        <f t="shared" si="1"/>
        <v>4.3597447222060e-18</v>
      </c>
      <c r="H34" s="62">
        <f t="shared" si="2"/>
        <v>0</v>
      </c>
      <c r="I34" s="62" t="str">
        <f t="shared" si="3"/>
        <v>0.0000000000048e-18</v>
      </c>
      <c r="J34" s="63">
        <f t="shared" si="4"/>
        <v>0</v>
      </c>
      <c r="K34" s="62" t="b">
        <f t="shared" si="5"/>
        <v>0</v>
      </c>
      <c r="L34" s="62" t="b">
        <f t="shared" si="6"/>
        <v>0</v>
      </c>
      <c r="M34" s="60" t="str">
        <f>IFERROR(__xludf.DUMMYFUNCTION("if(regexmatch(B34,""e(.*)$""),regexextract(B34,""e(.*)$""),"""")"),"-18")</f>
        <v>-18</v>
      </c>
    </row>
    <row r="35">
      <c r="A35" s="17" t="s">
        <v>921</v>
      </c>
      <c r="B35" s="17" t="s">
        <v>1540</v>
      </c>
      <c r="C35" s="17" t="s">
        <v>1541</v>
      </c>
      <c r="D35" s="17" t="s">
        <v>486</v>
      </c>
      <c r="E35" s="60" t="str">
        <f>VLOOKUP($A35,nist_names_ids!A:B,2,false)</f>
        <v>auforce</v>
      </c>
      <c r="F35" s="61">
        <f>countif(Constants!A:A,E35)</f>
        <v>1</v>
      </c>
      <c r="G35" s="62" t="str">
        <f t="shared" si="1"/>
        <v>8.2387235038e-8</v>
      </c>
      <c r="H35" s="62">
        <f t="shared" si="2"/>
        <v>0.00000008238723504</v>
      </c>
      <c r="I35" s="62" t="str">
        <f t="shared" si="3"/>
        <v>0.0000000013e-8</v>
      </c>
      <c r="J35" s="63">
        <f t="shared" si="4"/>
        <v>0</v>
      </c>
      <c r="K35" s="62" t="b">
        <f t="shared" si="5"/>
        <v>0</v>
      </c>
      <c r="L35" s="62" t="b">
        <f t="shared" si="6"/>
        <v>0</v>
      </c>
      <c r="M35" s="60" t="str">
        <f>IFERROR(__xludf.DUMMYFUNCTION("if(regexmatch(B35,""e(.*)$""),regexextract(B35,""e(.*)$""),"""")"),"-8")</f>
        <v>-8</v>
      </c>
    </row>
    <row r="36">
      <c r="A36" s="17" t="s">
        <v>940</v>
      </c>
      <c r="B36" s="17" t="s">
        <v>1542</v>
      </c>
      <c r="C36" s="17" t="s">
        <v>1543</v>
      </c>
      <c r="D36" s="17" t="s">
        <v>381</v>
      </c>
      <c r="E36" s="60" t="str">
        <f>VLOOKUP($A36,nist_names_ids!A:B,2,false)</f>
        <v>tbohrrada0</v>
      </c>
      <c r="F36" s="61">
        <f>countif(Constants!A:A,E36)</f>
        <v>1</v>
      </c>
      <c r="G36" s="62" t="str">
        <f t="shared" si="1"/>
        <v>5.29177210544e-11</v>
      </c>
      <c r="H36" s="62">
        <f t="shared" si="2"/>
        <v>0</v>
      </c>
      <c r="I36" s="62" t="str">
        <f t="shared" si="3"/>
        <v>0.00000000082e-11</v>
      </c>
      <c r="J36" s="63">
        <f t="shared" si="4"/>
        <v>0</v>
      </c>
      <c r="K36" s="62" t="b">
        <f t="shared" si="5"/>
        <v>0</v>
      </c>
      <c r="L36" s="62" t="b">
        <f t="shared" si="6"/>
        <v>0</v>
      </c>
      <c r="M36" s="60" t="str">
        <f>IFERROR(__xludf.DUMMYFUNCTION("if(regexmatch(B36,""e(.*)$""),regexextract(B36,""e(.*)$""),"""")"),"-11")</f>
        <v>-11</v>
      </c>
    </row>
    <row r="37">
      <c r="A37" s="17" t="s">
        <v>1517</v>
      </c>
      <c r="B37" s="17" t="s">
        <v>1544</v>
      </c>
      <c r="C37" s="17" t="s">
        <v>1545</v>
      </c>
      <c r="D37" s="17" t="s">
        <v>964</v>
      </c>
      <c r="E37" s="60" t="str">
        <f>VLOOKUP($A37,nist_names_ids!A:B,2,false)</f>
        <v>aumdm</v>
      </c>
      <c r="F37" s="61">
        <f>countif(Constants!A:A,E37)</f>
        <v>1</v>
      </c>
      <c r="G37" s="62" t="str">
        <f t="shared" si="1"/>
        <v>1.85480201315e-23</v>
      </c>
      <c r="H37" s="62">
        <f t="shared" si="2"/>
        <v>0</v>
      </c>
      <c r="I37" s="62" t="str">
        <f t="shared" si="3"/>
        <v>0.00000000058e-23</v>
      </c>
      <c r="J37" s="63">
        <f t="shared" si="4"/>
        <v>0</v>
      </c>
      <c r="K37" s="62" t="b">
        <f t="shared" si="5"/>
        <v>0</v>
      </c>
      <c r="L37" s="62" t="b">
        <f t="shared" si="6"/>
        <v>0</v>
      </c>
      <c r="M37" s="60" t="str">
        <f>IFERROR(__xludf.DUMMYFUNCTION("if(regexmatch(B37,""e(.*)$""),regexextract(B37,""e(.*)$""),"""")"),"-23")</f>
        <v>-23</v>
      </c>
    </row>
    <row r="38">
      <c r="A38" s="17" t="s">
        <v>979</v>
      </c>
      <c r="B38" s="17" t="s">
        <v>1548</v>
      </c>
      <c r="C38" s="17" t="s">
        <v>1549</v>
      </c>
      <c r="D38" s="17" t="s">
        <v>535</v>
      </c>
      <c r="E38" s="60" t="str">
        <f>VLOOKUP($A38,nist_names_ids!A:B,2,false)</f>
        <v>aumfd</v>
      </c>
      <c r="F38" s="61">
        <f>countif(Constants!A:A,E38)</f>
        <v>1</v>
      </c>
      <c r="G38" s="62" t="str">
        <f t="shared" si="1"/>
        <v>2.35051757077e5</v>
      </c>
      <c r="H38" s="62">
        <f t="shared" si="2"/>
        <v>235051.7571</v>
      </c>
      <c r="I38" s="62" t="str">
        <f t="shared" si="3"/>
        <v>0.00000000073e5</v>
      </c>
      <c r="J38" s="63">
        <f t="shared" si="4"/>
        <v>0.000073</v>
      </c>
      <c r="K38" s="62" t="b">
        <f t="shared" si="5"/>
        <v>0</v>
      </c>
      <c r="L38" s="62" t="b">
        <f t="shared" si="6"/>
        <v>0</v>
      </c>
      <c r="M38" s="60" t="str">
        <f>IFERROR(__xludf.DUMMYFUNCTION("if(regexmatch(B38,""e(.*)$""),regexextract(B38,""e(.*)$""),"""")"),"5")</f>
        <v>5</v>
      </c>
    </row>
    <row r="39">
      <c r="A39" s="17" t="s">
        <v>997</v>
      </c>
      <c r="B39" s="17" t="s">
        <v>1556</v>
      </c>
      <c r="C39" s="17" t="s">
        <v>1558</v>
      </c>
      <c r="D39" s="17" t="s">
        <v>999</v>
      </c>
      <c r="E39" s="60" t="str">
        <f>VLOOKUP($A39,nist_names_ids!A:B,2,false)</f>
        <v>aumag</v>
      </c>
      <c r="F39" s="61">
        <f>countif(Constants!A:A,E39)</f>
        <v>1</v>
      </c>
      <c r="G39" s="62" t="str">
        <f t="shared" si="1"/>
        <v>7.8910365794e-29</v>
      </c>
      <c r="H39" s="62">
        <f t="shared" si="2"/>
        <v>0</v>
      </c>
      <c r="I39" s="62" t="str">
        <f t="shared" si="3"/>
        <v>0.0000000049e-29</v>
      </c>
      <c r="J39" s="63">
        <f t="shared" si="4"/>
        <v>0</v>
      </c>
      <c r="K39" s="62" t="b">
        <f t="shared" si="5"/>
        <v>0</v>
      </c>
      <c r="L39" s="62" t="b">
        <f t="shared" si="6"/>
        <v>0</v>
      </c>
      <c r="M39" s="60" t="str">
        <f>IFERROR(__xludf.DUMMYFUNCTION("if(regexmatch(B39,""e(.*)$""),regexextract(B39,""e(.*)$""),"""")"),"-29")</f>
        <v>-29</v>
      </c>
    </row>
    <row r="40">
      <c r="A40" s="17" t="s">
        <v>1015</v>
      </c>
      <c r="B40" s="17" t="s">
        <v>1559</v>
      </c>
      <c r="C40" s="17" t="s">
        <v>1560</v>
      </c>
      <c r="D40" s="17" t="s">
        <v>98</v>
      </c>
      <c r="E40" s="60" t="str">
        <f>VLOOKUP($A40,nist_names_ids!A:B,2,false)</f>
        <v>ttme</v>
      </c>
      <c r="F40" s="61">
        <f>countif(Constants!A:A,E40)</f>
        <v>1</v>
      </c>
      <c r="G40" s="62" t="str">
        <f t="shared" si="1"/>
        <v>9.1093837139e-31</v>
      </c>
      <c r="H40" s="62">
        <f t="shared" si="2"/>
        <v>0</v>
      </c>
      <c r="I40" s="62" t="str">
        <f t="shared" si="3"/>
        <v>0.0000000028e-31</v>
      </c>
      <c r="J40" s="63">
        <f t="shared" si="4"/>
        <v>0</v>
      </c>
      <c r="K40" s="62" t="b">
        <f t="shared" si="5"/>
        <v>0</v>
      </c>
      <c r="L40" s="62" t="b">
        <f t="shared" si="6"/>
        <v>0</v>
      </c>
      <c r="M40" s="60" t="str">
        <f>IFERROR(__xludf.DUMMYFUNCTION("if(regexmatch(B40,""e(.*)$""),regexextract(B40,""e(.*)$""),"""")"),"-31")</f>
        <v>-31</v>
      </c>
    </row>
    <row r="41">
      <c r="A41" s="17" t="s">
        <v>1053</v>
      </c>
      <c r="B41" s="17" t="s">
        <v>1561</v>
      </c>
      <c r="C41" s="17" t="s">
        <v>1562</v>
      </c>
      <c r="D41" s="17" t="s">
        <v>1058</v>
      </c>
      <c r="E41" s="60" t="str">
        <f>VLOOKUP($A41,nist_names_ids!A:B,2,false)</f>
        <v>aumom</v>
      </c>
      <c r="F41" s="61">
        <f>countif(Constants!A:A,E41)</f>
        <v>1</v>
      </c>
      <c r="G41" s="62" t="str">
        <f t="shared" si="1"/>
        <v>1.99285191545e-24</v>
      </c>
      <c r="H41" s="62">
        <f t="shared" si="2"/>
        <v>0</v>
      </c>
      <c r="I41" s="62" t="str">
        <f t="shared" si="3"/>
        <v>0.00000000031e-24</v>
      </c>
      <c r="J41" s="63">
        <f t="shared" si="4"/>
        <v>0</v>
      </c>
      <c r="K41" s="62" t="b">
        <f t="shared" si="5"/>
        <v>0</v>
      </c>
      <c r="L41" s="62" t="b">
        <f t="shared" si="6"/>
        <v>0</v>
      </c>
      <c r="M41" s="60" t="str">
        <f>IFERROR(__xludf.DUMMYFUNCTION("if(regexmatch(B41,""e(.*)$""),regexextract(B41,""e(.*)$""),"""")"),"-24")</f>
        <v>-24</v>
      </c>
    </row>
    <row r="42">
      <c r="A42" s="17" t="s">
        <v>1076</v>
      </c>
      <c r="B42" s="17" t="s">
        <v>1563</v>
      </c>
      <c r="C42" s="17" t="s">
        <v>1564</v>
      </c>
      <c r="D42" s="17" t="s">
        <v>1078</v>
      </c>
      <c r="E42" s="60" t="str">
        <f>VLOOKUP($A42,nist_names_ids!A:B,2,false)</f>
        <v>auperm</v>
      </c>
      <c r="F42" s="61">
        <f>countif(Constants!A:A,E42)</f>
        <v>1</v>
      </c>
      <c r="G42" s="62" t="str">
        <f t="shared" si="1"/>
        <v>1.11265005620e-10</v>
      </c>
      <c r="H42" s="62">
        <f t="shared" si="2"/>
        <v>0.0000000001112650056</v>
      </c>
      <c r="I42" s="62" t="str">
        <f t="shared" si="3"/>
        <v>0.00000000017e-10</v>
      </c>
      <c r="J42" s="63">
        <f t="shared" si="4"/>
        <v>0</v>
      </c>
      <c r="K42" s="62" t="b">
        <f t="shared" si="5"/>
        <v>0</v>
      </c>
      <c r="L42" s="62" t="b">
        <f t="shared" si="6"/>
        <v>0</v>
      </c>
      <c r="M42" s="60" t="str">
        <f>IFERROR(__xludf.DUMMYFUNCTION("if(regexmatch(B42,""e(.*)$""),regexextract(B42,""e(.*)$""),"""")"),"-10")</f>
        <v>-10</v>
      </c>
    </row>
    <row r="43">
      <c r="A43" s="17" t="s">
        <v>1090</v>
      </c>
      <c r="B43" s="17" t="s">
        <v>1567</v>
      </c>
      <c r="C43" s="17" t="s">
        <v>1568</v>
      </c>
      <c r="D43" s="17" t="s">
        <v>520</v>
      </c>
      <c r="E43" s="60" t="str">
        <f>VLOOKUP($A43,nist_names_ids!A:B,2,false)</f>
        <v>aut</v>
      </c>
      <c r="F43" s="61">
        <f>countif(Constants!A:A,E43)</f>
        <v>1</v>
      </c>
      <c r="G43" s="62" t="str">
        <f t="shared" si="1"/>
        <v>2.4188843265864e-17</v>
      </c>
      <c r="H43" s="62">
        <f t="shared" si="2"/>
        <v>0</v>
      </c>
      <c r="I43" s="62" t="str">
        <f t="shared" si="3"/>
        <v>0.0000000000026e-17</v>
      </c>
      <c r="J43" s="63">
        <f t="shared" si="4"/>
        <v>0</v>
      </c>
      <c r="K43" s="62" t="b">
        <f t="shared" si="5"/>
        <v>0</v>
      </c>
      <c r="L43" s="62" t="b">
        <f t="shared" si="6"/>
        <v>0</v>
      </c>
      <c r="M43" s="60" t="str">
        <f>IFERROR(__xludf.DUMMYFUNCTION("if(regexmatch(B43,""e(.*)$""),regexextract(B43,""e(.*)$""),"""")"),"-17")</f>
        <v>-17</v>
      </c>
    </row>
    <row r="44">
      <c r="A44" s="17" t="s">
        <v>1107</v>
      </c>
      <c r="B44" s="17" t="s">
        <v>1575</v>
      </c>
      <c r="C44" s="17" t="s">
        <v>1576</v>
      </c>
      <c r="D44" s="17" t="s">
        <v>1109</v>
      </c>
      <c r="E44" s="60" t="str">
        <f>VLOOKUP($A44,nist_names_ids!A:B,2,false)</f>
        <v>auvel</v>
      </c>
      <c r="F44" s="61">
        <f>countif(Constants!A:A,E44)</f>
        <v>1</v>
      </c>
      <c r="G44" s="62" t="str">
        <f t="shared" si="1"/>
        <v>2.18769126216e6</v>
      </c>
      <c r="H44" s="62">
        <f t="shared" si="2"/>
        <v>2187691.262</v>
      </c>
      <c r="I44" s="62" t="str">
        <f t="shared" si="3"/>
        <v>0.00000000034e6</v>
      </c>
      <c r="J44" s="63">
        <f t="shared" si="4"/>
        <v>0.00034</v>
      </c>
      <c r="K44" s="62" t="b">
        <f t="shared" si="5"/>
        <v>0</v>
      </c>
      <c r="L44" s="62" t="b">
        <f t="shared" si="6"/>
        <v>0</v>
      </c>
      <c r="M44" s="60" t="str">
        <f>IFERROR(__xludf.DUMMYFUNCTION("if(regexmatch(B44,""e(.*)$""),regexextract(B44,""e(.*)$""),"""")"),"6")</f>
        <v>6</v>
      </c>
    </row>
    <row r="45">
      <c r="A45" s="17" t="s">
        <v>1125</v>
      </c>
      <c r="B45" s="17" t="s">
        <v>1578</v>
      </c>
      <c r="C45" s="17" t="s">
        <v>1501</v>
      </c>
      <c r="D45" s="17" t="s">
        <v>1127</v>
      </c>
      <c r="E45" s="60" t="str">
        <f>VLOOKUP($A45,nist_names_ids!A:B,2,false)</f>
        <v>na</v>
      </c>
      <c r="F45" s="61">
        <f>countif(Constants!A:A,E45)</f>
        <v>1</v>
      </c>
      <c r="G45" s="62" t="str">
        <f t="shared" si="1"/>
        <v>6.02214076e23</v>
      </c>
      <c r="H45" s="62">
        <f t="shared" si="2"/>
        <v>6.02214E+23</v>
      </c>
      <c r="I45" s="62" t="str">
        <f t="shared" si="3"/>
        <v>(exact)</v>
      </c>
      <c r="J45" s="63" t="str">
        <f t="shared" si="4"/>
        <v/>
      </c>
      <c r="K45" s="62" t="b">
        <f t="shared" si="5"/>
        <v>1</v>
      </c>
      <c r="L45" s="62" t="b">
        <f t="shared" si="6"/>
        <v>0</v>
      </c>
      <c r="M45" s="60" t="str">
        <f>IFERROR(__xludf.DUMMYFUNCTION("if(regexmatch(B45,""e(.*)$""),regexextract(B45,""e(.*)$""),"""")"),"23")</f>
        <v>23</v>
      </c>
    </row>
    <row r="46">
      <c r="A46" s="17" t="s">
        <v>1146</v>
      </c>
      <c r="B46" s="17" t="s">
        <v>1583</v>
      </c>
      <c r="C46" s="17" t="s">
        <v>1584</v>
      </c>
      <c r="D46" s="17" t="s">
        <v>964</v>
      </c>
      <c r="E46" s="60" t="str">
        <f>VLOOKUP($A46,nist_names_ids!A:B,2,false)</f>
        <v>mub</v>
      </c>
      <c r="F46" s="61">
        <f>countif(Constants!A:A,E46)</f>
        <v>1</v>
      </c>
      <c r="G46" s="62" t="str">
        <f t="shared" si="1"/>
        <v>9.2740100657e-24</v>
      </c>
      <c r="H46" s="62">
        <f t="shared" si="2"/>
        <v>0</v>
      </c>
      <c r="I46" s="62" t="str">
        <f t="shared" si="3"/>
        <v>0.0000000029e-24</v>
      </c>
      <c r="J46" s="63">
        <f t="shared" si="4"/>
        <v>0</v>
      </c>
      <c r="K46" s="62" t="b">
        <f t="shared" si="5"/>
        <v>0</v>
      </c>
      <c r="L46" s="62" t="b">
        <f t="shared" si="6"/>
        <v>0</v>
      </c>
      <c r="M46" s="60" t="str">
        <f>IFERROR(__xludf.DUMMYFUNCTION("if(regexmatch(B46,""e(.*)$""),regexextract(B46,""e(.*)$""),"""")"),"-24")</f>
        <v>-24</v>
      </c>
    </row>
    <row r="47">
      <c r="A47" s="17" t="s">
        <v>1162</v>
      </c>
      <c r="B47" s="17" t="s">
        <v>1590</v>
      </c>
      <c r="C47" s="17" t="s">
        <v>1591</v>
      </c>
      <c r="D47" s="17" t="s">
        <v>1165</v>
      </c>
      <c r="E47" s="60" t="str">
        <f>VLOOKUP($A47,nist_names_ids!A:B,2,false)</f>
        <v>mubev</v>
      </c>
      <c r="F47" s="61">
        <f>countif(Constants!A:A,E47)</f>
        <v>1</v>
      </c>
      <c r="G47" s="62" t="str">
        <f t="shared" si="1"/>
        <v>5.7883817982e-5</v>
      </c>
      <c r="H47" s="62">
        <f t="shared" si="2"/>
        <v>0.00005788381798</v>
      </c>
      <c r="I47" s="62" t="str">
        <f t="shared" si="3"/>
        <v>0.0000000018e-5</v>
      </c>
      <c r="J47" s="63">
        <f t="shared" si="4"/>
        <v>0</v>
      </c>
      <c r="K47" s="62" t="b">
        <f t="shared" si="5"/>
        <v>0</v>
      </c>
      <c r="L47" s="62" t="b">
        <f t="shared" si="6"/>
        <v>0</v>
      </c>
      <c r="M47" s="60" t="str">
        <f>IFERROR(__xludf.DUMMYFUNCTION("if(regexmatch(B47,""e(.*)$""),regexextract(B47,""e(.*)$""),"""")"),"-5")</f>
        <v>-5</v>
      </c>
    </row>
    <row r="48">
      <c r="A48" s="17" t="s">
        <v>1184</v>
      </c>
      <c r="B48" s="17" t="s">
        <v>1594</v>
      </c>
      <c r="C48" s="17" t="s">
        <v>1595</v>
      </c>
      <c r="D48" s="17" t="s">
        <v>1186</v>
      </c>
      <c r="E48" s="60" t="str">
        <f>VLOOKUP($A48,nist_names_ids!A:B,2,false)</f>
        <v>mubshhz</v>
      </c>
      <c r="F48" s="61">
        <f>countif(Constants!A:A,E48)</f>
        <v>1</v>
      </c>
      <c r="G48" s="62" t="str">
        <f t="shared" si="1"/>
        <v>1.39962449171e10</v>
      </c>
      <c r="H48" s="62">
        <f t="shared" si="2"/>
        <v>13996244917</v>
      </c>
      <c r="I48" s="62" t="str">
        <f t="shared" si="3"/>
        <v>0.00000000044e10</v>
      </c>
      <c r="J48" s="63">
        <f t="shared" si="4"/>
        <v>4.4</v>
      </c>
      <c r="K48" s="62" t="b">
        <f t="shared" si="5"/>
        <v>0</v>
      </c>
      <c r="L48" s="62" t="b">
        <f t="shared" si="6"/>
        <v>0</v>
      </c>
      <c r="M48" s="60" t="str">
        <f>IFERROR(__xludf.DUMMYFUNCTION("if(regexmatch(B48,""e(.*)$""),regexextract(B48,""e(.*)$""),"""")"),"10")</f>
        <v>10</v>
      </c>
    </row>
    <row r="49">
      <c r="A49" s="17" t="s">
        <v>1203</v>
      </c>
      <c r="B49" s="17" t="s">
        <v>1596</v>
      </c>
      <c r="C49" s="17" t="s">
        <v>1597</v>
      </c>
      <c r="D49" s="17" t="s">
        <v>1205</v>
      </c>
      <c r="E49" s="60" t="str">
        <f>VLOOKUP($A49,nist_names_ids!A:B,2,false)</f>
        <v>mubshcminv</v>
      </c>
      <c r="F49" s="61">
        <f>countif(Constants!A:A,E49)</f>
        <v>1</v>
      </c>
      <c r="G49" s="62" t="str">
        <f t="shared" si="1"/>
        <v>46.686447719</v>
      </c>
      <c r="H49" s="62">
        <f t="shared" si="2"/>
        <v>46.68644772</v>
      </c>
      <c r="I49" s="62" t="str">
        <f t="shared" si="3"/>
        <v>0.000000015</v>
      </c>
      <c r="J49" s="63">
        <f t="shared" si="4"/>
        <v>0.000000015</v>
      </c>
      <c r="K49" s="62" t="b">
        <f t="shared" si="5"/>
        <v>0</v>
      </c>
      <c r="L49" s="62" t="b">
        <f t="shared" si="6"/>
        <v>0</v>
      </c>
      <c r="M49" s="60" t="str">
        <f>IFERROR(__xludf.DUMMYFUNCTION("if(regexmatch(B49,""e(.*)$""),regexextract(B49,""e(.*)$""),"""")"),"")</f>
        <v/>
      </c>
    </row>
    <row r="50">
      <c r="A50" s="17" t="s">
        <v>1224</v>
      </c>
      <c r="B50" s="17" t="s">
        <v>1602</v>
      </c>
      <c r="C50" s="17" t="s">
        <v>1604</v>
      </c>
      <c r="D50" s="17" t="s">
        <v>1226</v>
      </c>
      <c r="E50" s="60" t="str">
        <f>VLOOKUP($A50,nist_names_ids!A:B,2,false)</f>
        <v>mubskk</v>
      </c>
      <c r="F50" s="61">
        <f>countif(Constants!A:A,E50)</f>
        <v>1</v>
      </c>
      <c r="G50" s="62" t="str">
        <f t="shared" si="1"/>
        <v>0.67171381472</v>
      </c>
      <c r="H50" s="62">
        <f t="shared" si="2"/>
        <v>0.6717138147</v>
      </c>
      <c r="I50" s="62" t="str">
        <f t="shared" si="3"/>
        <v>0.00000000021</v>
      </c>
      <c r="J50" s="63">
        <f t="shared" si="4"/>
        <v>0.00000000021</v>
      </c>
      <c r="K50" s="62" t="b">
        <f t="shared" si="5"/>
        <v>0</v>
      </c>
      <c r="L50" s="62" t="b">
        <f t="shared" si="6"/>
        <v>0</v>
      </c>
      <c r="M50" s="60" t="str">
        <f>IFERROR(__xludf.DUMMYFUNCTION("if(regexmatch(B50,""e(.*)$""),regexextract(B50,""e(.*)$""),"""")"),"")</f>
        <v/>
      </c>
    </row>
    <row r="51">
      <c r="A51" s="17" t="s">
        <v>1240</v>
      </c>
      <c r="B51" s="17" t="s">
        <v>1542</v>
      </c>
      <c r="C51" s="17" t="s">
        <v>1543</v>
      </c>
      <c r="D51" s="17" t="s">
        <v>381</v>
      </c>
      <c r="E51" s="60" t="str">
        <f>VLOOKUP($A51,nist_names_ids!A:B,2,false)</f>
        <v>bohrrada0</v>
      </c>
      <c r="F51" s="61">
        <f>countif(Constants!A:A,E51)</f>
        <v>1</v>
      </c>
      <c r="G51" s="62" t="str">
        <f t="shared" si="1"/>
        <v>5.29177210544e-11</v>
      </c>
      <c r="H51" s="62">
        <f t="shared" si="2"/>
        <v>0</v>
      </c>
      <c r="I51" s="62" t="str">
        <f t="shared" si="3"/>
        <v>0.00000000082e-11</v>
      </c>
      <c r="J51" s="63">
        <f t="shared" si="4"/>
        <v>0</v>
      </c>
      <c r="K51" s="62" t="b">
        <f t="shared" si="5"/>
        <v>0</v>
      </c>
      <c r="L51" s="62" t="b">
        <f t="shared" si="6"/>
        <v>0</v>
      </c>
      <c r="M51" s="60" t="str">
        <f>IFERROR(__xludf.DUMMYFUNCTION("if(regexmatch(B51,""e(.*)$""),regexextract(B51,""e(.*)$""),"""")"),"-11")</f>
        <v>-11</v>
      </c>
    </row>
    <row r="52">
      <c r="A52" s="17" t="s">
        <v>1258</v>
      </c>
      <c r="B52" s="17" t="s">
        <v>1611</v>
      </c>
      <c r="C52" s="17" t="s">
        <v>1501</v>
      </c>
      <c r="D52" s="17" t="s">
        <v>1260</v>
      </c>
      <c r="E52" s="60" t="str">
        <f>VLOOKUP($A52,nist_names_ids!A:B,2,false)</f>
        <v>k</v>
      </c>
      <c r="F52" s="61">
        <f>countif(Constants!A:A,E52)</f>
        <v>1</v>
      </c>
      <c r="G52" s="62" t="str">
        <f t="shared" si="1"/>
        <v>1.380649e-23</v>
      </c>
      <c r="H52" s="62">
        <f t="shared" si="2"/>
        <v>0</v>
      </c>
      <c r="I52" s="62" t="str">
        <f t="shared" si="3"/>
        <v>(exact)</v>
      </c>
      <c r="J52" s="63" t="str">
        <f t="shared" si="4"/>
        <v/>
      </c>
      <c r="K52" s="62" t="b">
        <f t="shared" si="5"/>
        <v>1</v>
      </c>
      <c r="L52" s="62" t="b">
        <f t="shared" si="6"/>
        <v>0</v>
      </c>
      <c r="M52" s="60" t="str">
        <f>IFERROR(__xludf.DUMMYFUNCTION("if(regexmatch(B52,""e(.*)$""),regexextract(B52,""e(.*)$""),"""")"),"-23")</f>
        <v>-23</v>
      </c>
    </row>
    <row r="53">
      <c r="A53" s="17" t="s">
        <v>1279</v>
      </c>
      <c r="B53" s="17" t="s">
        <v>1613</v>
      </c>
      <c r="C53" s="17" t="s">
        <v>1501</v>
      </c>
      <c r="D53" s="17" t="s">
        <v>1283</v>
      </c>
      <c r="E53" s="60" t="str">
        <f>VLOOKUP($A53,nist_names_ids!A:B,2,false)</f>
        <v>tkev</v>
      </c>
      <c r="F53" s="61">
        <f>countif(Constants!A:A,E53)</f>
        <v>1</v>
      </c>
      <c r="G53" s="62" t="str">
        <f t="shared" si="1"/>
        <v>8.617333262e-5</v>
      </c>
      <c r="H53" s="62">
        <f t="shared" si="2"/>
        <v>0.00008617333262</v>
      </c>
      <c r="I53" s="62" t="str">
        <f t="shared" si="3"/>
        <v>(exact)</v>
      </c>
      <c r="J53" s="63" t="str">
        <f t="shared" si="4"/>
        <v/>
      </c>
      <c r="K53" s="62" t="b">
        <f t="shared" si="5"/>
        <v>1</v>
      </c>
      <c r="L53" s="62" t="b">
        <f t="shared" si="6"/>
        <v>0</v>
      </c>
      <c r="M53" s="60" t="str">
        <f>IFERROR(__xludf.DUMMYFUNCTION("if(regexmatch(B53,""e(.*)$""),regexextract(B53,""e(.*)$""),"""")"),"-5")</f>
        <v>-5</v>
      </c>
    </row>
    <row r="54">
      <c r="A54" s="17" t="s">
        <v>1301</v>
      </c>
      <c r="B54" s="17" t="s">
        <v>1619</v>
      </c>
      <c r="C54" s="17" t="s">
        <v>1501</v>
      </c>
      <c r="D54" s="17" t="s">
        <v>1303</v>
      </c>
      <c r="E54" s="60" t="str">
        <f>VLOOKUP($A54,nist_names_ids!A:B,2,false)</f>
        <v>kshhz</v>
      </c>
      <c r="F54" s="61">
        <f>countif(Constants!A:A,E54)</f>
        <v>1</v>
      </c>
      <c r="G54" s="62" t="str">
        <f t="shared" si="1"/>
        <v>2.083661912e10</v>
      </c>
      <c r="H54" s="62">
        <f t="shared" si="2"/>
        <v>20836619120</v>
      </c>
      <c r="I54" s="62" t="str">
        <f t="shared" si="3"/>
        <v>(exact)</v>
      </c>
      <c r="J54" s="63" t="str">
        <f t="shared" si="4"/>
        <v/>
      </c>
      <c r="K54" s="62" t="b">
        <f t="shared" si="5"/>
        <v>1</v>
      </c>
      <c r="L54" s="62" t="b">
        <f t="shared" si="6"/>
        <v>0</v>
      </c>
      <c r="M54" s="60" t="str">
        <f>IFERROR(__xludf.DUMMYFUNCTION("if(regexmatch(B54,""e(.*)$""),regexextract(B54,""e(.*)$""),"""")"),"10")</f>
        <v>10</v>
      </c>
    </row>
    <row r="55">
      <c r="A55" s="17" t="s">
        <v>1319</v>
      </c>
      <c r="B55" s="17" t="s">
        <v>1621</v>
      </c>
      <c r="C55" s="17" t="s">
        <v>1501</v>
      </c>
      <c r="D55" s="17" t="s">
        <v>1321</v>
      </c>
      <c r="E55" s="60" t="str">
        <f>VLOOKUP($A55,nist_names_ids!A:B,2,false)</f>
        <v>kshcminv</v>
      </c>
      <c r="F55" s="61">
        <f>countif(Constants!A:A,E55)</f>
        <v>1</v>
      </c>
      <c r="G55" s="62" t="str">
        <f t="shared" si="1"/>
        <v>69.50348004</v>
      </c>
      <c r="H55" s="62">
        <f t="shared" si="2"/>
        <v>69.50348004</v>
      </c>
      <c r="I55" s="62" t="str">
        <f t="shared" si="3"/>
        <v>(exact)</v>
      </c>
      <c r="J55" s="63" t="str">
        <f t="shared" si="4"/>
        <v/>
      </c>
      <c r="K55" s="62" t="b">
        <f t="shared" si="5"/>
        <v>1</v>
      </c>
      <c r="L55" s="62" t="b">
        <f t="shared" si="6"/>
        <v>0</v>
      </c>
      <c r="M55" s="60" t="str">
        <f>IFERROR(__xludf.DUMMYFUNCTION("if(regexmatch(B55,""e(.*)$""),regexextract(B55,""e(.*)$""),"""")"),"")</f>
        <v/>
      </c>
    </row>
    <row r="56">
      <c r="A56" s="17" t="s">
        <v>1335</v>
      </c>
      <c r="B56" s="17" t="s">
        <v>1622</v>
      </c>
      <c r="C56" s="17" t="s">
        <v>1623</v>
      </c>
      <c r="D56" s="17" t="s">
        <v>500</v>
      </c>
      <c r="E56" s="60" t="str">
        <f>VLOOKUP($A56,nist_names_ids!A:B,2,false)</f>
        <v>z0</v>
      </c>
      <c r="F56" s="61">
        <f>countif(Constants!A:A,E56)</f>
        <v>1</v>
      </c>
      <c r="G56" s="62" t="str">
        <f t="shared" si="1"/>
        <v>376.730313412</v>
      </c>
      <c r="H56" s="62">
        <f t="shared" si="2"/>
        <v>376.7303134</v>
      </c>
      <c r="I56" s="62" t="str">
        <f t="shared" si="3"/>
        <v>0.000000059</v>
      </c>
      <c r="J56" s="63">
        <f t="shared" si="4"/>
        <v>0.000000059</v>
      </c>
      <c r="K56" s="62" t="b">
        <f t="shared" si="5"/>
        <v>0</v>
      </c>
      <c r="L56" s="62" t="b">
        <f t="shared" si="6"/>
        <v>0</v>
      </c>
      <c r="M56" s="60" t="str">
        <f>IFERROR(__xludf.DUMMYFUNCTION("if(regexmatch(B56,""e(.*)$""),regexextract(B56,""e(.*)$""),"""")"),"")</f>
        <v/>
      </c>
    </row>
    <row r="57">
      <c r="A57" s="17" t="s">
        <v>1351</v>
      </c>
      <c r="B57" s="17" t="s">
        <v>1636</v>
      </c>
      <c r="C57" s="17" t="s">
        <v>1637</v>
      </c>
      <c r="D57" s="17" t="s">
        <v>381</v>
      </c>
      <c r="E57" s="60" t="str">
        <f>VLOOKUP($A57,nist_names_ids!A:B,2,false)</f>
        <v>re</v>
      </c>
      <c r="F57" s="61">
        <f>countif(Constants!A:A,E57)</f>
        <v>1</v>
      </c>
      <c r="G57" s="62" t="str">
        <f t="shared" si="1"/>
        <v>2.8179403205e-15</v>
      </c>
      <c r="H57" s="62">
        <f t="shared" si="2"/>
        <v>0</v>
      </c>
      <c r="I57" s="62" t="str">
        <f t="shared" si="3"/>
        <v>0.0000000013e-15</v>
      </c>
      <c r="J57" s="63">
        <f t="shared" si="4"/>
        <v>0</v>
      </c>
      <c r="K57" s="62" t="b">
        <f t="shared" si="5"/>
        <v>0</v>
      </c>
      <c r="L57" s="62" t="b">
        <f t="shared" si="6"/>
        <v>0</v>
      </c>
      <c r="M57" s="60" t="str">
        <f>IFERROR(__xludf.DUMMYFUNCTION("if(regexmatch(B57,""e(.*)$""),regexextract(B57,""e(.*)$""),"""")"),"-15")</f>
        <v>-15</v>
      </c>
    </row>
    <row r="58">
      <c r="A58" s="17" t="s">
        <v>1371</v>
      </c>
      <c r="B58" s="17" t="s">
        <v>1641</v>
      </c>
      <c r="C58" s="17" t="s">
        <v>1642</v>
      </c>
      <c r="D58" s="17" t="s">
        <v>381</v>
      </c>
      <c r="E58" s="60" t="str">
        <f>VLOOKUP($A58,nist_names_ids!A:B,2,false)</f>
        <v>ecomwl</v>
      </c>
      <c r="F58" s="61">
        <f>countif(Constants!A:A,E58)</f>
        <v>1</v>
      </c>
      <c r="G58" s="62" t="str">
        <f t="shared" si="1"/>
        <v>2.42631023538e-12</v>
      </c>
      <c r="H58" s="62">
        <f t="shared" si="2"/>
        <v>0</v>
      </c>
      <c r="I58" s="62" t="str">
        <f t="shared" si="3"/>
        <v>0.00000000076e-12</v>
      </c>
      <c r="J58" s="63">
        <f t="shared" si="4"/>
        <v>0</v>
      </c>
      <c r="K58" s="62" t="b">
        <f t="shared" si="5"/>
        <v>0</v>
      </c>
      <c r="L58" s="62" t="b">
        <f t="shared" si="6"/>
        <v>0</v>
      </c>
      <c r="M58" s="60" t="str">
        <f>IFERROR(__xludf.DUMMYFUNCTION("if(regexmatch(B58,""e(.*)$""),regexextract(B58,""e(.*)$""),"""")"),"-12")</f>
        <v>-12</v>
      </c>
    </row>
    <row r="59">
      <c r="A59" s="17" t="s">
        <v>1388</v>
      </c>
      <c r="B59" s="17" t="s">
        <v>1646</v>
      </c>
      <c r="C59" s="17" t="s">
        <v>1501</v>
      </c>
      <c r="D59" s="17" t="s">
        <v>526</v>
      </c>
      <c r="E59" s="60" t="str">
        <f>VLOOKUP($A59,nist_names_ids!A:B,2,false)</f>
        <v>conqu2e2sh</v>
      </c>
      <c r="F59" s="61">
        <f>countif(Constants!A:A,E59)</f>
        <v>1</v>
      </c>
      <c r="G59" s="62" t="str">
        <f t="shared" si="1"/>
        <v>7.748091729e-5</v>
      </c>
      <c r="H59" s="62">
        <f t="shared" si="2"/>
        <v>0.00007748091729</v>
      </c>
      <c r="I59" s="62" t="str">
        <f t="shared" si="3"/>
        <v>(exact)</v>
      </c>
      <c r="J59" s="63" t="str">
        <f t="shared" si="4"/>
        <v/>
      </c>
      <c r="K59" s="62" t="b">
        <f t="shared" si="5"/>
        <v>1</v>
      </c>
      <c r="L59" s="62" t="b">
        <f t="shared" si="6"/>
        <v>0</v>
      </c>
      <c r="M59" s="60" t="str">
        <f>IFERROR(__xludf.DUMMYFUNCTION("if(regexmatch(B59,""e(.*)$""),regexextract(B59,""e(.*)$""),"""")"),"-5")</f>
        <v>-5</v>
      </c>
    </row>
    <row r="60">
      <c r="A60" s="17" t="s">
        <v>1401</v>
      </c>
      <c r="B60" s="17" t="s">
        <v>1648</v>
      </c>
      <c r="C60" s="17" t="s">
        <v>1501</v>
      </c>
      <c r="D60" s="17" t="s">
        <v>55</v>
      </c>
      <c r="E60" s="60" t="str">
        <f>VLOOKUP($A60,nist_names_ids!A:B,2,false)</f>
        <v>ampere90</v>
      </c>
      <c r="F60" s="61">
        <f>countif(Constants!A:A,E60)</f>
        <v>1</v>
      </c>
      <c r="G60" s="62" t="str">
        <f t="shared" si="1"/>
        <v>1.00000008887</v>
      </c>
      <c r="H60" s="62">
        <f t="shared" si="2"/>
        <v>1.000000089</v>
      </c>
      <c r="I60" s="62" t="str">
        <f t="shared" si="3"/>
        <v>(exact)</v>
      </c>
      <c r="J60" s="63" t="str">
        <f t="shared" si="4"/>
        <v/>
      </c>
      <c r="K60" s="62" t="b">
        <f t="shared" si="5"/>
        <v>1</v>
      </c>
      <c r="L60" s="62" t="b">
        <f t="shared" si="6"/>
        <v>0</v>
      </c>
      <c r="M60" s="60" t="str">
        <f>IFERROR(__xludf.DUMMYFUNCTION("if(regexmatch(B60,""e(.*)$""),regexextract(B60,""e(.*)$""),"""")"),"")</f>
        <v/>
      </c>
    </row>
    <row r="61">
      <c r="A61" s="17" t="s">
        <v>1404</v>
      </c>
      <c r="B61" s="17" t="s">
        <v>1648</v>
      </c>
      <c r="C61" s="17" t="s">
        <v>1501</v>
      </c>
      <c r="D61" s="17" t="s">
        <v>81</v>
      </c>
      <c r="E61" s="60" t="str">
        <f>VLOOKUP($A61,nist_names_ids!A:B,2,false)</f>
        <v>charge90</v>
      </c>
      <c r="F61" s="61">
        <f>countif(Constants!A:A,E61)</f>
        <v>1</v>
      </c>
      <c r="G61" s="62" t="str">
        <f t="shared" si="1"/>
        <v>1.00000008887</v>
      </c>
      <c r="H61" s="62">
        <f t="shared" si="2"/>
        <v>1.000000089</v>
      </c>
      <c r="I61" s="62" t="str">
        <f t="shared" si="3"/>
        <v>(exact)</v>
      </c>
      <c r="J61" s="63" t="str">
        <f t="shared" si="4"/>
        <v/>
      </c>
      <c r="K61" s="62" t="b">
        <f t="shared" si="5"/>
        <v>1</v>
      </c>
      <c r="L61" s="62" t="b">
        <f t="shared" si="6"/>
        <v>0</v>
      </c>
      <c r="M61" s="60" t="str">
        <f>IFERROR(__xludf.DUMMYFUNCTION("if(regexmatch(B61,""e(.*)$""),regexextract(B61,""e(.*)$""),"""")"),"")</f>
        <v/>
      </c>
    </row>
    <row r="62">
      <c r="A62" s="17" t="s">
        <v>1422</v>
      </c>
      <c r="B62" s="17" t="s">
        <v>1654</v>
      </c>
      <c r="C62" s="17" t="s">
        <v>1501</v>
      </c>
      <c r="D62" s="17" t="s">
        <v>205</v>
      </c>
      <c r="E62" s="60" t="str">
        <f>VLOOKUP($A62,nist_names_ids!A:B,2,false)</f>
        <v>capacitance90</v>
      </c>
      <c r="F62" s="61">
        <f>countif(Constants!A:A,E62)</f>
        <v>1</v>
      </c>
      <c r="G62" s="62" t="str">
        <f t="shared" si="1"/>
        <v>0.99999998220</v>
      </c>
      <c r="H62" s="62">
        <f t="shared" si="2"/>
        <v>0.9999999822</v>
      </c>
      <c r="I62" s="62" t="str">
        <f t="shared" si="3"/>
        <v>(exact)</v>
      </c>
      <c r="J62" s="63" t="str">
        <f t="shared" si="4"/>
        <v/>
      </c>
      <c r="K62" s="62" t="b">
        <f t="shared" si="5"/>
        <v>1</v>
      </c>
      <c r="L62" s="62" t="b">
        <f t="shared" si="6"/>
        <v>0</v>
      </c>
      <c r="M62" s="60" t="str">
        <f>IFERROR(__xludf.DUMMYFUNCTION("if(regexmatch(B62,""e(.*)$""),regexextract(B62,""e(.*)$""),"""")"),"")</f>
        <v/>
      </c>
    </row>
    <row r="63">
      <c r="A63" s="17" t="s">
        <v>1431</v>
      </c>
      <c r="B63" s="17" t="s">
        <v>1655</v>
      </c>
      <c r="C63" s="17" t="s">
        <v>1501</v>
      </c>
      <c r="D63" s="17" t="s">
        <v>248</v>
      </c>
      <c r="E63" s="60" t="str">
        <f>VLOOKUP($A63,nist_names_ids!A:B,2,false)</f>
        <v>inductance90</v>
      </c>
      <c r="F63" s="61">
        <f>countif(Constants!A:A,E63)</f>
        <v>1</v>
      </c>
      <c r="G63" s="62" t="str">
        <f t="shared" si="1"/>
        <v>1.00000001779</v>
      </c>
      <c r="H63" s="62">
        <f t="shared" si="2"/>
        <v>1.000000018</v>
      </c>
      <c r="I63" s="62" t="str">
        <f t="shared" si="3"/>
        <v>(exact)</v>
      </c>
      <c r="J63" s="63" t="str">
        <f t="shared" si="4"/>
        <v/>
      </c>
      <c r="K63" s="62" t="b">
        <f t="shared" si="5"/>
        <v>1</v>
      </c>
      <c r="L63" s="62" t="b">
        <f t="shared" si="6"/>
        <v>0</v>
      </c>
      <c r="M63" s="60" t="str">
        <f>IFERROR(__xludf.DUMMYFUNCTION("if(regexmatch(B63,""e(.*)$""),regexextract(B63,""e(.*)$""),"""")"),"")</f>
        <v/>
      </c>
    </row>
    <row r="64">
      <c r="A64" s="17" t="s">
        <v>1445</v>
      </c>
      <c r="B64" s="17" t="s">
        <v>1718</v>
      </c>
      <c r="C64" s="17" t="s">
        <v>1501</v>
      </c>
      <c r="D64" s="17" t="s">
        <v>1447</v>
      </c>
      <c r="E64" s="60" t="str">
        <f>VLOOKUP($A64,nist_names_ids!A:B,2,false)</f>
        <v>kj90</v>
      </c>
      <c r="F64" s="61">
        <f>countif(Constants!A:A,E64)</f>
        <v>1</v>
      </c>
      <c r="G64" s="62" t="str">
        <f t="shared" si="1"/>
        <v>483597.9e9</v>
      </c>
      <c r="H64" s="62">
        <f t="shared" si="2"/>
        <v>483597900000000</v>
      </c>
      <c r="I64" s="62" t="str">
        <f t="shared" si="3"/>
        <v>(exact)</v>
      </c>
      <c r="J64" s="63" t="str">
        <f t="shared" si="4"/>
        <v/>
      </c>
      <c r="K64" s="62" t="b">
        <f t="shared" si="5"/>
        <v>1</v>
      </c>
      <c r="L64" s="62" t="b">
        <f t="shared" si="6"/>
        <v>0</v>
      </c>
      <c r="M64" s="60" t="str">
        <f>IFERROR(__xludf.DUMMYFUNCTION("if(regexmatch(B64,""e(.*)$""),regexextract(B64,""e(.*)$""),"""")"),"9")</f>
        <v>9</v>
      </c>
    </row>
    <row r="65">
      <c r="A65" s="17" t="s">
        <v>1455</v>
      </c>
      <c r="B65" s="17" t="s">
        <v>1655</v>
      </c>
      <c r="C65" s="17" t="s">
        <v>1501</v>
      </c>
      <c r="D65" s="17" t="s">
        <v>500</v>
      </c>
      <c r="E65" s="60" t="str">
        <f>VLOOKUP($A65,nist_names_ids!A:B,2,false)</f>
        <v>ohm90</v>
      </c>
      <c r="F65" s="61">
        <f>countif(Constants!A:A,E65)</f>
        <v>1</v>
      </c>
      <c r="G65" s="62" t="str">
        <f t="shared" si="1"/>
        <v>1.00000001779</v>
      </c>
      <c r="H65" s="62">
        <f t="shared" si="2"/>
        <v>1.000000018</v>
      </c>
      <c r="I65" s="62" t="str">
        <f t="shared" si="3"/>
        <v>(exact)</v>
      </c>
      <c r="J65" s="63" t="str">
        <f t="shared" si="4"/>
        <v/>
      </c>
      <c r="K65" s="62" t="b">
        <f t="shared" si="5"/>
        <v>1</v>
      </c>
      <c r="L65" s="62" t="b">
        <f t="shared" si="6"/>
        <v>0</v>
      </c>
      <c r="M65" s="60" t="str">
        <f>IFERROR(__xludf.DUMMYFUNCTION("if(regexmatch(B65,""e(.*)$""),regexextract(B65,""e(.*)$""),"""")"),"")</f>
        <v/>
      </c>
    </row>
    <row r="66">
      <c r="A66" s="17" t="s">
        <v>1471</v>
      </c>
      <c r="B66" s="17" t="s">
        <v>1720</v>
      </c>
      <c r="C66" s="17" t="s">
        <v>1501</v>
      </c>
      <c r="D66" s="17" t="s">
        <v>546</v>
      </c>
      <c r="E66" s="60" t="str">
        <f>VLOOKUP($A66,nist_names_ids!A:B,2,false)</f>
        <v>volt90</v>
      </c>
      <c r="F66" s="61">
        <f>countif(Constants!A:A,E66)</f>
        <v>1</v>
      </c>
      <c r="G66" s="62" t="str">
        <f t="shared" si="1"/>
        <v>1.00000010666</v>
      </c>
      <c r="H66" s="62">
        <f t="shared" si="2"/>
        <v>1.000000107</v>
      </c>
      <c r="I66" s="62" t="str">
        <f t="shared" si="3"/>
        <v>(exact)</v>
      </c>
      <c r="J66" s="63" t="str">
        <f t="shared" si="4"/>
        <v/>
      </c>
      <c r="K66" s="62" t="b">
        <f t="shared" si="5"/>
        <v>1</v>
      </c>
      <c r="L66" s="62" t="b">
        <f t="shared" si="6"/>
        <v>0</v>
      </c>
      <c r="M66" s="60" t="str">
        <f>IFERROR(__xludf.DUMMYFUNCTION("if(regexmatch(B66,""e(.*)$""),regexextract(B66,""e(.*)$""),"""")"),"")</f>
        <v/>
      </c>
    </row>
    <row r="67">
      <c r="A67" s="17" t="s">
        <v>1722</v>
      </c>
      <c r="B67" s="17" t="s">
        <v>1723</v>
      </c>
      <c r="C67" s="17" t="s">
        <v>1501</v>
      </c>
      <c r="D67" s="17" t="s">
        <v>500</v>
      </c>
      <c r="E67" s="60" t="str">
        <f>VLOOKUP($A67,nist_names_ids!A:B,2,false)</f>
        <v>rk90</v>
      </c>
      <c r="F67" s="61">
        <f>countif(Constants!A:A,E67)</f>
        <v>1</v>
      </c>
      <c r="G67" s="62" t="str">
        <f t="shared" si="1"/>
        <v>25812.807</v>
      </c>
      <c r="H67" s="62">
        <f t="shared" si="2"/>
        <v>25812.807</v>
      </c>
      <c r="I67" s="62" t="str">
        <f t="shared" si="3"/>
        <v>(exact)</v>
      </c>
      <c r="J67" s="63" t="str">
        <f t="shared" si="4"/>
        <v/>
      </c>
      <c r="K67" s="62" t="b">
        <f t="shared" si="5"/>
        <v>1</v>
      </c>
      <c r="L67" s="62" t="b">
        <f t="shared" si="6"/>
        <v>0</v>
      </c>
      <c r="M67" s="60" t="str">
        <f>IFERROR(__xludf.DUMMYFUNCTION("if(regexmatch(B67,""e(.*)$""),regexextract(B67,""e(.*)$""),"""")"),"")</f>
        <v/>
      </c>
    </row>
    <row r="68">
      <c r="A68" s="17" t="s">
        <v>1492</v>
      </c>
      <c r="B68" s="17" t="s">
        <v>1724</v>
      </c>
      <c r="C68" s="17" t="s">
        <v>1501</v>
      </c>
      <c r="D68" s="17" t="s">
        <v>577</v>
      </c>
      <c r="E68" s="60" t="str">
        <f>VLOOKUP($A68,nist_names_ids!A:B,2,false)</f>
        <v>power90</v>
      </c>
      <c r="F68" s="61">
        <f>countif(Constants!A:A,E68)</f>
        <v>1</v>
      </c>
      <c r="G68" s="62" t="str">
        <f t="shared" si="1"/>
        <v>1.00000019553</v>
      </c>
      <c r="H68" s="62">
        <f t="shared" si="2"/>
        <v>1.000000196</v>
      </c>
      <c r="I68" s="62" t="str">
        <f t="shared" si="3"/>
        <v>(exact)</v>
      </c>
      <c r="J68" s="63" t="str">
        <f t="shared" si="4"/>
        <v/>
      </c>
      <c r="K68" s="62" t="b">
        <f t="shared" si="5"/>
        <v>1</v>
      </c>
      <c r="L68" s="62" t="b">
        <f t="shared" si="6"/>
        <v>0</v>
      </c>
      <c r="M68" s="60" t="str">
        <f>IFERROR(__xludf.DUMMYFUNCTION("if(regexmatch(B68,""e(.*)$""),regexextract(B68,""e(.*)$""),"""")"),"")</f>
        <v/>
      </c>
    </row>
    <row r="69">
      <c r="A69" s="17" t="s">
        <v>1504</v>
      </c>
      <c r="B69" s="17" t="s">
        <v>1726</v>
      </c>
      <c r="C69" s="17" t="s">
        <v>1727</v>
      </c>
      <c r="D69" s="17" t="s">
        <v>381</v>
      </c>
      <c r="E69" s="60" t="str">
        <f>VLOOKUP($A69,nist_names_ids!A:B,2,false)</f>
        <v>xucukalph1</v>
      </c>
      <c r="F69" s="61">
        <f>countif(Constants!A:A,E69)</f>
        <v>1</v>
      </c>
      <c r="G69" s="62" t="str">
        <f t="shared" si="1"/>
        <v>1.00207697e-13</v>
      </c>
      <c r="H69" s="62">
        <f t="shared" si="2"/>
        <v>0</v>
      </c>
      <c r="I69" s="62" t="str">
        <f t="shared" si="3"/>
        <v>0.00000028e-13</v>
      </c>
      <c r="J69" s="63">
        <f t="shared" si="4"/>
        <v>0</v>
      </c>
      <c r="K69" s="62" t="b">
        <f t="shared" si="5"/>
        <v>0</v>
      </c>
      <c r="L69" s="62" t="b">
        <f t="shared" si="6"/>
        <v>0</v>
      </c>
      <c r="M69" s="60" t="str">
        <f>IFERROR(__xludf.DUMMYFUNCTION("if(regexmatch(B69,""e(.*)$""),regexextract(B69,""e(.*)$""),"""")"),"-13")</f>
        <v>-13</v>
      </c>
    </row>
    <row r="70">
      <c r="A70" s="17" t="s">
        <v>1734</v>
      </c>
      <c r="B70" s="17" t="s">
        <v>1735</v>
      </c>
      <c r="C70" s="17" t="s">
        <v>1736</v>
      </c>
      <c r="E70" s="60" t="str">
        <f>VLOOKUP($A70,nist_names_ids!A:B,2,false)</f>
        <v>mudsmuem</v>
      </c>
      <c r="F70" s="61">
        <f>countif(Constants!A:A,E70)</f>
        <v>1</v>
      </c>
      <c r="G70" s="62" t="str">
        <f t="shared" si="1"/>
        <v>-4.664345550e-4</v>
      </c>
      <c r="H70" s="62">
        <f t="shared" si="2"/>
        <v>-0.000466434555</v>
      </c>
      <c r="I70" s="62" t="str">
        <f t="shared" si="3"/>
        <v>0.000000012e-4</v>
      </c>
      <c r="J70" s="63">
        <f t="shared" si="4"/>
        <v>0</v>
      </c>
      <c r="K70" s="62" t="b">
        <f t="shared" si="5"/>
        <v>0</v>
      </c>
      <c r="L70" s="62" t="b">
        <f t="shared" si="6"/>
        <v>0</v>
      </c>
      <c r="M70" s="60" t="str">
        <f>IFERROR(__xludf.DUMMYFUNCTION("if(regexmatch(B70,""e(.*)$""),regexextract(B70,""e(.*)$""),"""")"),"-4")</f>
        <v>-4</v>
      </c>
    </row>
    <row r="71">
      <c r="A71" s="17" t="s">
        <v>1738</v>
      </c>
      <c r="B71" s="17" t="s">
        <v>1739</v>
      </c>
      <c r="C71" s="17" t="s">
        <v>1740</v>
      </c>
      <c r="E71" s="60" t="str">
        <f>VLOOKUP($A71,nist_names_ids!A:B,2,false)</f>
        <v>mdsme</v>
      </c>
      <c r="F71" s="61">
        <f>countif(Constants!A:A,E71)</f>
        <v>1</v>
      </c>
      <c r="G71" s="62" t="str">
        <f t="shared" si="1"/>
        <v>3670.482967655</v>
      </c>
      <c r="H71" s="62">
        <f t="shared" si="2"/>
        <v>3670.482968</v>
      </c>
      <c r="I71" s="62" t="str">
        <f t="shared" si="3"/>
        <v>0.000000063</v>
      </c>
      <c r="J71" s="63">
        <f t="shared" si="4"/>
        <v>0.000000063</v>
      </c>
      <c r="K71" s="62" t="b">
        <f t="shared" si="5"/>
        <v>0</v>
      </c>
      <c r="L71" s="62" t="b">
        <f t="shared" si="6"/>
        <v>0</v>
      </c>
      <c r="M71" s="60" t="str">
        <f>IFERROR(__xludf.DUMMYFUNCTION("if(regexmatch(B71,""e(.*)$""),regexextract(B71,""e(.*)$""),"""")"),"")</f>
        <v/>
      </c>
    </row>
    <row r="72">
      <c r="A72" s="17" t="s">
        <v>1551</v>
      </c>
      <c r="B72" s="17" t="s">
        <v>1742</v>
      </c>
      <c r="C72" s="17" t="s">
        <v>1743</v>
      </c>
      <c r="E72" s="60" t="str">
        <f>VLOOKUP($A72,nist_names_ids!A:B,2,false)</f>
        <v>gdn</v>
      </c>
      <c r="F72" s="61">
        <f>countif(Constants!A:A,E72)</f>
        <v>1</v>
      </c>
      <c r="G72" s="62" t="str">
        <f t="shared" si="1"/>
        <v>0.8574382335</v>
      </c>
      <c r="H72" s="62">
        <f t="shared" si="2"/>
        <v>0.8574382335</v>
      </c>
      <c r="I72" s="62" t="str">
        <f t="shared" si="3"/>
        <v>0.0000000022</v>
      </c>
      <c r="J72" s="63">
        <f t="shared" si="4"/>
        <v>0.0000000022</v>
      </c>
      <c r="K72" s="62" t="b">
        <f t="shared" si="5"/>
        <v>0</v>
      </c>
      <c r="L72" s="62" t="b">
        <f t="shared" si="6"/>
        <v>0</v>
      </c>
      <c r="M72" s="60" t="str">
        <f>IFERROR(__xludf.DUMMYFUNCTION("if(regexmatch(B72,""e(.*)$""),regexextract(B72,""e(.*)$""),"""")"),"")</f>
        <v/>
      </c>
    </row>
    <row r="73">
      <c r="A73" s="17" t="s">
        <v>1745</v>
      </c>
      <c r="B73" s="17" t="s">
        <v>1746</v>
      </c>
      <c r="C73" s="17" t="s">
        <v>1747</v>
      </c>
      <c r="D73" s="17" t="s">
        <v>964</v>
      </c>
      <c r="E73" s="60" t="str">
        <f>VLOOKUP($A73,nist_names_ids!A:B,2,false)</f>
        <v>mud</v>
      </c>
      <c r="F73" s="61">
        <f>countif(Constants!A:A,E73)</f>
        <v>1</v>
      </c>
      <c r="G73" s="62" t="str">
        <f t="shared" si="1"/>
        <v>4.330735087e-27</v>
      </c>
      <c r="H73" s="62">
        <f t="shared" si="2"/>
        <v>0</v>
      </c>
      <c r="I73" s="62" t="str">
        <f t="shared" si="3"/>
        <v>0.000000011e-27</v>
      </c>
      <c r="J73" s="63">
        <f t="shared" si="4"/>
        <v>0</v>
      </c>
      <c r="K73" s="62" t="b">
        <f t="shared" si="5"/>
        <v>0</v>
      </c>
      <c r="L73" s="62" t="b">
        <f t="shared" si="6"/>
        <v>0</v>
      </c>
      <c r="M73" s="60" t="str">
        <f>IFERROR(__xludf.DUMMYFUNCTION("if(regexmatch(B73,""e(.*)$""),regexextract(B73,""e(.*)$""),"""")"),"-27")</f>
        <v>-27</v>
      </c>
    </row>
    <row r="74">
      <c r="A74" s="17" t="s">
        <v>1749</v>
      </c>
      <c r="B74" s="17" t="s">
        <v>1750</v>
      </c>
      <c r="C74" s="17" t="s">
        <v>1736</v>
      </c>
      <c r="E74" s="60" t="str">
        <f>VLOOKUP($A74,nist_names_ids!A:B,2,false)</f>
        <v>mudsmub</v>
      </c>
      <c r="F74" s="61">
        <f>countif(Constants!A:A,E74)</f>
        <v>1</v>
      </c>
      <c r="G74" s="62" t="str">
        <f t="shared" si="1"/>
        <v>4.669754568e-4</v>
      </c>
      <c r="H74" s="62">
        <f t="shared" si="2"/>
        <v>0.0004669754568</v>
      </c>
      <c r="I74" s="62" t="str">
        <f t="shared" si="3"/>
        <v>0.000000012e-4</v>
      </c>
      <c r="J74" s="63">
        <f t="shared" si="4"/>
        <v>0</v>
      </c>
      <c r="K74" s="62" t="b">
        <f t="shared" si="5"/>
        <v>0</v>
      </c>
      <c r="L74" s="62" t="b">
        <f t="shared" si="6"/>
        <v>0</v>
      </c>
      <c r="M74" s="60" t="str">
        <f>IFERROR(__xludf.DUMMYFUNCTION("if(regexmatch(B74,""e(.*)$""),regexextract(B74,""e(.*)$""),"""")"),"-4")</f>
        <v>-4</v>
      </c>
    </row>
    <row r="75">
      <c r="A75" s="17" t="s">
        <v>1755</v>
      </c>
      <c r="B75" s="17" t="s">
        <v>1742</v>
      </c>
      <c r="C75" s="17" t="s">
        <v>1743</v>
      </c>
      <c r="E75" s="60" t="str">
        <f>VLOOKUP($A75,nist_names_ids!A:B,2,false)</f>
        <v>mudsmun</v>
      </c>
      <c r="F75" s="61">
        <f>countif(Constants!A:A,E75)</f>
        <v>1</v>
      </c>
      <c r="G75" s="62" t="str">
        <f t="shared" si="1"/>
        <v>0.8574382335</v>
      </c>
      <c r="H75" s="62">
        <f t="shared" si="2"/>
        <v>0.8574382335</v>
      </c>
      <c r="I75" s="62" t="str">
        <f t="shared" si="3"/>
        <v>0.0000000022</v>
      </c>
      <c r="J75" s="63">
        <f t="shared" si="4"/>
        <v>0.0000000022</v>
      </c>
      <c r="K75" s="62" t="b">
        <f t="shared" si="5"/>
        <v>0</v>
      </c>
      <c r="L75" s="62" t="b">
        <f t="shared" si="6"/>
        <v>0</v>
      </c>
      <c r="M75" s="60" t="str">
        <f>IFERROR(__xludf.DUMMYFUNCTION("if(regexmatch(B75,""e(.*)$""),regexextract(B75,""e(.*)$""),"""")"),"")</f>
        <v/>
      </c>
    </row>
    <row r="76">
      <c r="A76" s="17" t="s">
        <v>1609</v>
      </c>
      <c r="B76" s="17" t="s">
        <v>1757</v>
      </c>
      <c r="C76" s="17" t="s">
        <v>1758</v>
      </c>
      <c r="D76" s="17" t="s">
        <v>98</v>
      </c>
      <c r="E76" s="60" t="str">
        <f>VLOOKUP($A76,nist_names_ids!A:B,2,false)</f>
        <v>md</v>
      </c>
      <c r="F76" s="61">
        <f>countif(Constants!A:A,E76)</f>
        <v>1</v>
      </c>
      <c r="G76" s="62" t="str">
        <f t="shared" si="1"/>
        <v>3.3435837768e-27</v>
      </c>
      <c r="H76" s="62">
        <f t="shared" si="2"/>
        <v>0</v>
      </c>
      <c r="I76" s="62" t="str">
        <f t="shared" si="3"/>
        <v>0.0000000010e-27</v>
      </c>
      <c r="J76" s="63">
        <f t="shared" si="4"/>
        <v>0</v>
      </c>
      <c r="K76" s="62" t="b">
        <f t="shared" si="5"/>
        <v>0</v>
      </c>
      <c r="L76" s="62" t="b">
        <f t="shared" si="6"/>
        <v>0</v>
      </c>
      <c r="M76" s="60" t="str">
        <f>IFERROR(__xludf.DUMMYFUNCTION("if(regexmatch(B76,""e(.*)$""),regexextract(B76,""e(.*)$""),"""")"),"-27")</f>
        <v>-27</v>
      </c>
    </row>
    <row r="77">
      <c r="A77" s="17" t="s">
        <v>1617</v>
      </c>
      <c r="B77" s="17" t="s">
        <v>1760</v>
      </c>
      <c r="C77" s="17" t="s">
        <v>1762</v>
      </c>
      <c r="D77" s="17" t="s">
        <v>173</v>
      </c>
      <c r="E77" s="60" t="str">
        <f>VLOOKUP($A77,nist_names_ids!A:B,2,false)</f>
        <v>mdc2</v>
      </c>
      <c r="F77" s="61">
        <f>countif(Constants!A:A,E77)</f>
        <v>1</v>
      </c>
      <c r="G77" s="62" t="str">
        <f t="shared" si="1"/>
        <v>3.00506323491e-10</v>
      </c>
      <c r="H77" s="62">
        <f t="shared" si="2"/>
        <v>0.0000000003005063235</v>
      </c>
      <c r="I77" s="62" t="str">
        <f t="shared" si="3"/>
        <v>0.00000000094e-10</v>
      </c>
      <c r="J77" s="63">
        <f t="shared" si="4"/>
        <v>0</v>
      </c>
      <c r="K77" s="62" t="b">
        <f t="shared" si="5"/>
        <v>0</v>
      </c>
      <c r="L77" s="62" t="b">
        <f t="shared" si="6"/>
        <v>0</v>
      </c>
      <c r="M77" s="60" t="str">
        <f>IFERROR(__xludf.DUMMYFUNCTION("if(regexmatch(B77,""e(.*)$""),regexextract(B77,""e(.*)$""),"""")"),"-10")</f>
        <v>-10</v>
      </c>
    </row>
    <row r="78">
      <c r="A78" s="17" t="s">
        <v>1632</v>
      </c>
      <c r="B78" s="17" t="s">
        <v>1767</v>
      </c>
      <c r="C78" s="17" t="s">
        <v>1768</v>
      </c>
      <c r="D78" s="17" t="s">
        <v>224</v>
      </c>
      <c r="E78" s="60" t="str">
        <f>VLOOKUP($A78,nist_names_ids!A:B,2,false)</f>
        <v>mdc2mev</v>
      </c>
      <c r="F78" s="61">
        <f>countif(Constants!A:A,E78)</f>
        <v>1</v>
      </c>
      <c r="G78" s="62" t="str">
        <f t="shared" si="1"/>
        <v>1875.61294500</v>
      </c>
      <c r="H78" s="62">
        <f t="shared" si="2"/>
        <v>1875.612945</v>
      </c>
      <c r="I78" s="62" t="str">
        <f t="shared" si="3"/>
        <v>0.00000058</v>
      </c>
      <c r="J78" s="63">
        <f t="shared" si="4"/>
        <v>0.00000058</v>
      </c>
      <c r="K78" s="62" t="b">
        <f t="shared" si="5"/>
        <v>0</v>
      </c>
      <c r="L78" s="62" t="b">
        <f t="shared" si="6"/>
        <v>0</v>
      </c>
      <c r="M78" s="60" t="str">
        <f>IFERROR(__xludf.DUMMYFUNCTION("if(regexmatch(B78,""e(.*)$""),regexextract(B78,""e(.*)$""),"""")"),"")</f>
        <v/>
      </c>
    </row>
    <row r="79">
      <c r="A79" s="17" t="s">
        <v>1643</v>
      </c>
      <c r="B79" s="17" t="s">
        <v>1769</v>
      </c>
      <c r="C79" s="17" t="s">
        <v>1770</v>
      </c>
      <c r="D79" s="17" t="s">
        <v>249</v>
      </c>
      <c r="E79" s="60" t="str">
        <f>VLOOKUP($A79,nist_names_ids!A:B,2,false)</f>
        <v>mdu</v>
      </c>
      <c r="F79" s="61">
        <f>countif(Constants!A:A,E79)</f>
        <v>1</v>
      </c>
      <c r="G79" s="62" t="str">
        <f t="shared" si="1"/>
        <v>2.013553212544</v>
      </c>
      <c r="H79" s="62">
        <f t="shared" si="2"/>
        <v>2.013553213</v>
      </c>
      <c r="I79" s="62" t="str">
        <f t="shared" si="3"/>
        <v>0.000000000015</v>
      </c>
      <c r="J79" s="63">
        <f t="shared" si="4"/>
        <v>0</v>
      </c>
      <c r="K79" s="62" t="b">
        <f t="shared" si="5"/>
        <v>0</v>
      </c>
      <c r="L79" s="62" t="b">
        <f t="shared" si="6"/>
        <v>0</v>
      </c>
      <c r="M79" s="60" t="str">
        <f>IFERROR(__xludf.DUMMYFUNCTION("if(regexmatch(B79,""e(.*)$""),regexextract(B79,""e(.*)$""),"""")"),"")</f>
        <v/>
      </c>
    </row>
    <row r="80">
      <c r="A80" s="17" t="s">
        <v>1651</v>
      </c>
      <c r="B80" s="17" t="s">
        <v>1775</v>
      </c>
      <c r="C80" s="17" t="s">
        <v>1776</v>
      </c>
      <c r="D80" s="17" t="s">
        <v>286</v>
      </c>
      <c r="E80" s="60" t="str">
        <f>VLOOKUP($A80,nist_names_ids!A:B,2,false)</f>
        <v>mmd</v>
      </c>
      <c r="F80" s="61">
        <f>countif(Constants!A:A,E80)</f>
        <v>1</v>
      </c>
      <c r="G80" s="62" t="str">
        <f t="shared" si="1"/>
        <v>2.01355321466e-3</v>
      </c>
      <c r="H80" s="62">
        <f t="shared" si="2"/>
        <v>0.002013553215</v>
      </c>
      <c r="I80" s="62" t="str">
        <f t="shared" si="3"/>
        <v>0.00000000063e-3</v>
      </c>
      <c r="J80" s="63">
        <f t="shared" si="4"/>
        <v>0</v>
      </c>
      <c r="K80" s="62" t="b">
        <f t="shared" si="5"/>
        <v>0</v>
      </c>
      <c r="L80" s="62" t="b">
        <f t="shared" si="6"/>
        <v>0</v>
      </c>
      <c r="M80" s="60" t="str">
        <f>IFERROR(__xludf.DUMMYFUNCTION("if(regexmatch(B80,""e(.*)$""),regexextract(B80,""e(.*)$""),"""")"),"-3")</f>
        <v>-3</v>
      </c>
    </row>
    <row r="81">
      <c r="A81" s="17" t="s">
        <v>1777</v>
      </c>
      <c r="B81" s="17" t="s">
        <v>1778</v>
      </c>
      <c r="C81" s="17" t="s">
        <v>1779</v>
      </c>
      <c r="E81" s="60" t="str">
        <f>VLOOKUP($A81,nist_names_ids!A:B,2,false)</f>
        <v>mudsmunn</v>
      </c>
      <c r="F81" s="61">
        <f>countif(Constants!A:A,E81)</f>
        <v>1</v>
      </c>
      <c r="G81" s="62" t="str">
        <f t="shared" si="1"/>
        <v>-0.44820652</v>
      </c>
      <c r="H81" s="62">
        <f t="shared" si="2"/>
        <v>-0.44820652</v>
      </c>
      <c r="I81" s="62" t="str">
        <f t="shared" si="3"/>
        <v>0.00000011</v>
      </c>
      <c r="J81" s="63">
        <f t="shared" si="4"/>
        <v>0.00000011</v>
      </c>
      <c r="K81" s="62" t="b">
        <f t="shared" si="5"/>
        <v>0</v>
      </c>
      <c r="L81" s="62" t="b">
        <f t="shared" si="6"/>
        <v>0</v>
      </c>
      <c r="M81" s="60" t="str">
        <f>IFERROR(__xludf.DUMMYFUNCTION("if(regexmatch(B81,""e(.*)$""),regexextract(B81,""e(.*)$""),"""")"),"")</f>
        <v/>
      </c>
    </row>
    <row r="82">
      <c r="A82" s="17" t="s">
        <v>1781</v>
      </c>
      <c r="B82" s="17" t="s">
        <v>1782</v>
      </c>
      <c r="C82" s="17" t="s">
        <v>1783</v>
      </c>
      <c r="E82" s="60" t="str">
        <f>VLOOKUP($A82,nist_names_ids!A:B,2,false)</f>
        <v>mudsmup</v>
      </c>
      <c r="F82" s="61">
        <f>countif(Constants!A:A,E82)</f>
        <v>1</v>
      </c>
      <c r="G82" s="62" t="str">
        <f t="shared" si="1"/>
        <v>0.30701220930</v>
      </c>
      <c r="H82" s="62">
        <f t="shared" si="2"/>
        <v>0.3070122093</v>
      </c>
      <c r="I82" s="62" t="str">
        <f t="shared" si="3"/>
        <v>0.00000000079</v>
      </c>
      <c r="J82" s="63">
        <f t="shared" si="4"/>
        <v>0.00000000079</v>
      </c>
      <c r="K82" s="62" t="b">
        <f t="shared" si="5"/>
        <v>0</v>
      </c>
      <c r="L82" s="62" t="b">
        <f t="shared" si="6"/>
        <v>0</v>
      </c>
      <c r="M82" s="60" t="str">
        <f>IFERROR(__xludf.DUMMYFUNCTION("if(regexmatch(B82,""e(.*)$""),regexextract(B82,""e(.*)$""),"""")"),"")</f>
        <v/>
      </c>
    </row>
    <row r="83">
      <c r="A83" s="17" t="s">
        <v>1785</v>
      </c>
      <c r="B83" s="17" t="s">
        <v>1786</v>
      </c>
      <c r="C83" s="17" t="s">
        <v>1787</v>
      </c>
      <c r="E83" s="60" t="str">
        <f>VLOOKUP($A83,nist_names_ids!A:B,2,false)</f>
        <v>mdsmp</v>
      </c>
      <c r="F83" s="61">
        <f>countif(Constants!A:A,E83)</f>
        <v>1</v>
      </c>
      <c r="G83" s="62" t="str">
        <f t="shared" si="1"/>
        <v>1.9990075012699</v>
      </c>
      <c r="H83" s="62">
        <f t="shared" si="2"/>
        <v>1.999007501</v>
      </c>
      <c r="I83" s="62" t="str">
        <f t="shared" si="3"/>
        <v>0.0000000000084</v>
      </c>
      <c r="J83" s="63">
        <f t="shared" si="4"/>
        <v>0</v>
      </c>
      <c r="K83" s="62" t="b">
        <f t="shared" si="5"/>
        <v>0</v>
      </c>
      <c r="L83" s="62" t="b">
        <f t="shared" si="6"/>
        <v>0</v>
      </c>
      <c r="M83" s="60" t="str">
        <f>IFERROR(__xludf.DUMMYFUNCTION("if(regexmatch(B83,""e(.*)$""),regexextract(B83,""e(.*)$""),"""")"),"")</f>
        <v/>
      </c>
    </row>
    <row r="84">
      <c r="A84" s="17" t="s">
        <v>1677</v>
      </c>
      <c r="B84" s="17" t="s">
        <v>1769</v>
      </c>
      <c r="C84" s="17" t="s">
        <v>1770</v>
      </c>
      <c r="E84" s="60" t="str">
        <f>VLOOKUP($A84,nist_names_ids!A:B,2,false)</f>
        <v>ard</v>
      </c>
      <c r="F84" s="61">
        <f>countif(Constants!A:A,E84)</f>
        <v>1</v>
      </c>
      <c r="G84" s="62" t="str">
        <f t="shared" si="1"/>
        <v>2.013553212544</v>
      </c>
      <c r="H84" s="62">
        <f t="shared" si="2"/>
        <v>2.013553213</v>
      </c>
      <c r="I84" s="62" t="str">
        <f t="shared" si="3"/>
        <v>0.000000000015</v>
      </c>
      <c r="J84" s="63">
        <f t="shared" si="4"/>
        <v>0</v>
      </c>
      <c r="K84" s="62" t="b">
        <f t="shared" si="5"/>
        <v>0</v>
      </c>
      <c r="L84" s="62" t="b">
        <f t="shared" si="6"/>
        <v>0</v>
      </c>
      <c r="M84" s="60" t="str">
        <f>IFERROR(__xludf.DUMMYFUNCTION("if(regexmatch(B84,""e(.*)$""),regexextract(B84,""e(.*)$""),"""")"),"")</f>
        <v/>
      </c>
    </row>
    <row r="85">
      <c r="A85" s="17" t="s">
        <v>1681</v>
      </c>
      <c r="B85" s="17" t="s">
        <v>1794</v>
      </c>
      <c r="C85" s="17" t="s">
        <v>1795</v>
      </c>
      <c r="D85" s="17" t="s">
        <v>381</v>
      </c>
      <c r="E85" s="60" t="str">
        <f>VLOOKUP($A85,nist_names_ids!A:B,2,false)</f>
        <v>rd</v>
      </c>
      <c r="F85" s="61">
        <f>countif(Constants!A:A,E85)</f>
        <v>1</v>
      </c>
      <c r="G85" s="62" t="str">
        <f t="shared" si="1"/>
        <v>2.12778e-15</v>
      </c>
      <c r="H85" s="62">
        <f t="shared" si="2"/>
        <v>0</v>
      </c>
      <c r="I85" s="62" t="str">
        <f t="shared" si="3"/>
        <v>0.00027e-15</v>
      </c>
      <c r="J85" s="63">
        <f t="shared" si="4"/>
        <v>0</v>
      </c>
      <c r="K85" s="62" t="b">
        <f t="shared" si="5"/>
        <v>0</v>
      </c>
      <c r="L85" s="62" t="b">
        <f t="shared" si="6"/>
        <v>0</v>
      </c>
      <c r="M85" s="60" t="str">
        <f>IFERROR(__xludf.DUMMYFUNCTION("if(regexmatch(B85,""e(.*)$""),regexextract(B85,""e(.*)$""),"""")"),"-15")</f>
        <v>-15</v>
      </c>
    </row>
    <row r="86">
      <c r="A86" s="17" t="s">
        <v>1687</v>
      </c>
      <c r="B86" s="17" t="s">
        <v>1797</v>
      </c>
      <c r="C86" s="17" t="s">
        <v>1798</v>
      </c>
      <c r="D86" s="17" t="s">
        <v>1689</v>
      </c>
      <c r="E86" s="60" t="str">
        <f>VLOOKUP($A86,nist_names_ids!A:B,2,false)</f>
        <v>esme</v>
      </c>
      <c r="F86" s="61">
        <f>countif(Constants!A:A,E86)</f>
        <v>1</v>
      </c>
      <c r="G86" s="62" t="str">
        <f t="shared" si="1"/>
        <v>-1.75882000838e11</v>
      </c>
      <c r="H86" s="62">
        <f t="shared" si="2"/>
        <v>-175882000838</v>
      </c>
      <c r="I86" s="62" t="str">
        <f t="shared" si="3"/>
        <v>0.00000000055e11</v>
      </c>
      <c r="J86" s="63">
        <f t="shared" si="4"/>
        <v>55</v>
      </c>
      <c r="K86" s="62" t="b">
        <f t="shared" si="5"/>
        <v>0</v>
      </c>
      <c r="L86" s="62" t="b">
        <f t="shared" si="6"/>
        <v>0</v>
      </c>
      <c r="M86" s="60" t="str">
        <f>IFERROR(__xludf.DUMMYFUNCTION("if(regexmatch(B86,""e(.*)$""),regexextract(B86,""e(.*)$""),"""")"),"11")</f>
        <v>11</v>
      </c>
    </row>
    <row r="87">
      <c r="A87" s="17" t="s">
        <v>1802</v>
      </c>
      <c r="B87" s="17" t="s">
        <v>1803</v>
      </c>
      <c r="C87" s="17" t="s">
        <v>1804</v>
      </c>
      <c r="E87" s="60" t="str">
        <f>VLOOKUP($A87,nist_names_ids!A:B,2,false)</f>
        <v>muemsmud</v>
      </c>
      <c r="F87" s="61">
        <f>countif(Constants!A:A,E87)</f>
        <v>1</v>
      </c>
      <c r="G87" s="62" t="str">
        <f t="shared" si="1"/>
        <v>-2143.9234921</v>
      </c>
      <c r="H87" s="62">
        <f t="shared" si="2"/>
        <v>-2143.923492</v>
      </c>
      <c r="I87" s="62" t="str">
        <f t="shared" si="3"/>
        <v>0.0000056</v>
      </c>
      <c r="J87" s="63">
        <f t="shared" si="4"/>
        <v>0.0000056</v>
      </c>
      <c r="K87" s="62" t="b">
        <f t="shared" si="5"/>
        <v>0</v>
      </c>
      <c r="L87" s="62" t="b">
        <f t="shared" si="6"/>
        <v>0</v>
      </c>
      <c r="M87" s="60" t="str">
        <f>IFERROR(__xludf.DUMMYFUNCTION("if(regexmatch(B87,""e(.*)$""),regexextract(B87,""e(.*)$""),"""")"),"")</f>
        <v/>
      </c>
    </row>
    <row r="88">
      <c r="A88" s="17" t="s">
        <v>1806</v>
      </c>
      <c r="B88" s="17" t="s">
        <v>1807</v>
      </c>
      <c r="C88" s="17" t="s">
        <v>1808</v>
      </c>
      <c r="E88" s="60" t="str">
        <f>VLOOKUP($A88,nist_names_ids!A:B,2,false)</f>
        <v>mesmd</v>
      </c>
      <c r="F88" s="61">
        <f>countif(Constants!A:A,E88)</f>
        <v>1</v>
      </c>
      <c r="G88" s="62" t="str">
        <f t="shared" si="1"/>
        <v>2.724437107629e-4</v>
      </c>
      <c r="H88" s="62">
        <f t="shared" si="2"/>
        <v>0.0002724437108</v>
      </c>
      <c r="I88" s="62" t="str">
        <f t="shared" si="3"/>
        <v>0.000000000047e-4</v>
      </c>
      <c r="J88" s="63">
        <f t="shared" si="4"/>
        <v>0</v>
      </c>
      <c r="K88" s="62" t="b">
        <f t="shared" si="5"/>
        <v>0</v>
      </c>
      <c r="L88" s="62" t="b">
        <f t="shared" si="6"/>
        <v>0</v>
      </c>
      <c r="M88" s="60" t="str">
        <f>IFERROR(__xludf.DUMMYFUNCTION("if(regexmatch(B88,""e(.*)$""),regexextract(B88,""e(.*)$""),"""")"),"-4")</f>
        <v>-4</v>
      </c>
    </row>
    <row r="89">
      <c r="A89" s="17" t="s">
        <v>1706</v>
      </c>
      <c r="B89" s="17" t="s">
        <v>1810</v>
      </c>
      <c r="C89" s="17" t="s">
        <v>1811</v>
      </c>
      <c r="E89" s="60" t="str">
        <f>VLOOKUP($A89,nist_names_ids!A:B,2,false)</f>
        <v>gem</v>
      </c>
      <c r="F89" s="61">
        <f>countif(Constants!A:A,E89)</f>
        <v>1</v>
      </c>
      <c r="G89" s="62" t="str">
        <f t="shared" si="1"/>
        <v>-2.00231930436092</v>
      </c>
      <c r="H89" s="62">
        <f t="shared" si="2"/>
        <v>-2.002319304</v>
      </c>
      <c r="I89" s="62" t="str">
        <f t="shared" si="3"/>
        <v>0.00000000000036</v>
      </c>
      <c r="J89" s="63">
        <f t="shared" si="4"/>
        <v>0</v>
      </c>
      <c r="K89" s="62" t="b">
        <f t="shared" si="5"/>
        <v>0</v>
      </c>
      <c r="L89" s="62" t="b">
        <f t="shared" si="6"/>
        <v>0</v>
      </c>
      <c r="M89" s="60" t="str">
        <f>IFERROR(__xludf.DUMMYFUNCTION("if(regexmatch(B89,""e(.*)$""),regexextract(B89,""e(.*)$""),"""")"),"")</f>
        <v/>
      </c>
    </row>
    <row r="90">
      <c r="A90" s="17" t="s">
        <v>1812</v>
      </c>
      <c r="B90" s="17" t="s">
        <v>1813</v>
      </c>
      <c r="C90" s="17" t="s">
        <v>1798</v>
      </c>
      <c r="D90" s="17" t="s">
        <v>1717</v>
      </c>
      <c r="E90" s="60" t="str">
        <f>VLOOKUP($A90,nist_names_ids!A:B,2,false)</f>
        <v>gammae</v>
      </c>
      <c r="F90" s="61">
        <f>countif(Constants!A:A,E90)</f>
        <v>1</v>
      </c>
      <c r="G90" s="62" t="str">
        <f t="shared" si="1"/>
        <v>1.76085962784e11</v>
      </c>
      <c r="H90" s="62">
        <f t="shared" si="2"/>
        <v>176085962784</v>
      </c>
      <c r="I90" s="62" t="str">
        <f t="shared" si="3"/>
        <v>0.00000000055e11</v>
      </c>
      <c r="J90" s="63">
        <f t="shared" si="4"/>
        <v>55</v>
      </c>
      <c r="K90" s="62" t="b">
        <f t="shared" si="5"/>
        <v>0</v>
      </c>
      <c r="L90" s="62" t="b">
        <f t="shared" si="6"/>
        <v>0</v>
      </c>
      <c r="M90" s="60" t="str">
        <f>IFERROR(__xludf.DUMMYFUNCTION("if(regexmatch(B90,""e(.*)$""),regexextract(B90,""e(.*)$""),"""")"),"11")</f>
        <v>11</v>
      </c>
    </row>
    <row r="91">
      <c r="A91" s="17" t="s">
        <v>1815</v>
      </c>
      <c r="B91" s="17" t="s">
        <v>1816</v>
      </c>
      <c r="C91" s="17" t="s">
        <v>1817</v>
      </c>
      <c r="D91" s="17" t="s">
        <v>1733</v>
      </c>
      <c r="E91" s="60" t="str">
        <f>VLOOKUP($A91,nist_names_ids!A:B,2,false)</f>
        <v>gammaebar</v>
      </c>
      <c r="F91" s="61">
        <f>countif(Constants!A:A,E91)</f>
        <v>1</v>
      </c>
      <c r="G91" s="62" t="str">
        <f t="shared" si="1"/>
        <v>28024.9513861</v>
      </c>
      <c r="H91" s="62">
        <f t="shared" si="2"/>
        <v>28024.95139</v>
      </c>
      <c r="I91" s="62" t="str">
        <f t="shared" si="3"/>
        <v>0.0000087</v>
      </c>
      <c r="J91" s="63">
        <f t="shared" si="4"/>
        <v>0.0000087</v>
      </c>
      <c r="K91" s="62" t="b">
        <f t="shared" si="5"/>
        <v>0</v>
      </c>
      <c r="L91" s="62" t="b">
        <f t="shared" si="6"/>
        <v>0</v>
      </c>
      <c r="M91" s="60" t="str">
        <f>IFERROR(__xludf.DUMMYFUNCTION("if(regexmatch(B91,""e(.*)$""),regexextract(B91,""e(.*)$""),"""")"),"")</f>
        <v/>
      </c>
    </row>
    <row r="92">
      <c r="A92" s="17" t="s">
        <v>1820</v>
      </c>
      <c r="B92" s="17" t="s">
        <v>1821</v>
      </c>
      <c r="C92" s="17" t="s">
        <v>1822</v>
      </c>
      <c r="E92" s="60" t="str">
        <f>VLOOKUP($A92,nist_names_ids!A:B,2,false)</f>
        <v>mesmh</v>
      </c>
      <c r="F92" s="61">
        <f>countif(Constants!A:A,E92)</f>
        <v>1</v>
      </c>
      <c r="G92" s="62" t="str">
        <f t="shared" si="1"/>
        <v>1.819543074649e-4</v>
      </c>
      <c r="H92" s="62">
        <f t="shared" si="2"/>
        <v>0.0001819543075</v>
      </c>
      <c r="I92" s="62" t="str">
        <f t="shared" si="3"/>
        <v>0.000000000053e-4</v>
      </c>
      <c r="J92" s="63">
        <f t="shared" si="4"/>
        <v>0</v>
      </c>
      <c r="K92" s="62" t="b">
        <f t="shared" si="5"/>
        <v>0</v>
      </c>
      <c r="L92" s="62" t="b">
        <f t="shared" si="6"/>
        <v>0</v>
      </c>
      <c r="M92" s="60" t="str">
        <f>IFERROR(__xludf.DUMMYFUNCTION("if(regexmatch(B92,""e(.*)$""),regexextract(B92,""e(.*)$""),"""")"),"-4")</f>
        <v>-4</v>
      </c>
    </row>
    <row r="93">
      <c r="A93" s="17" t="s">
        <v>1825</v>
      </c>
      <c r="B93" s="17" t="s">
        <v>1826</v>
      </c>
      <c r="C93" s="17" t="s">
        <v>1584</v>
      </c>
      <c r="D93" s="17" t="s">
        <v>964</v>
      </c>
      <c r="E93" s="60" t="str">
        <f>VLOOKUP($A93,nist_names_ids!A:B,2,false)</f>
        <v>muem</v>
      </c>
      <c r="F93" s="61">
        <f>countif(Constants!A:A,E93)</f>
        <v>1</v>
      </c>
      <c r="G93" s="62" t="str">
        <f t="shared" si="1"/>
        <v>-9.2847646917e-24</v>
      </c>
      <c r="H93" s="62">
        <f t="shared" si="2"/>
        <v>0</v>
      </c>
      <c r="I93" s="62" t="str">
        <f t="shared" si="3"/>
        <v>0.0000000029e-24</v>
      </c>
      <c r="J93" s="63">
        <f t="shared" si="4"/>
        <v>0</v>
      </c>
      <c r="K93" s="62" t="b">
        <f t="shared" si="5"/>
        <v>0</v>
      </c>
      <c r="L93" s="62" t="b">
        <f t="shared" si="6"/>
        <v>0</v>
      </c>
      <c r="M93" s="60" t="str">
        <f>IFERROR(__xludf.DUMMYFUNCTION("if(regexmatch(B93,""e(.*)$""),regexextract(B93,""e(.*)$""),"""")"),"-24")</f>
        <v>-24</v>
      </c>
    </row>
    <row r="94">
      <c r="A94" s="17" t="s">
        <v>1827</v>
      </c>
      <c r="B94" s="17" t="s">
        <v>1828</v>
      </c>
      <c r="C94" s="17" t="s">
        <v>1829</v>
      </c>
      <c r="E94" s="60" t="str">
        <f>VLOOKUP($A94,nist_names_ids!A:B,2,false)</f>
        <v>ae</v>
      </c>
      <c r="F94" s="61">
        <f>countif(Constants!A:A,E94)</f>
        <v>2</v>
      </c>
      <c r="G94" s="62" t="str">
        <f t="shared" si="1"/>
        <v>1.15965218046e-3</v>
      </c>
      <c r="H94" s="62">
        <f t="shared" si="2"/>
        <v>0.00115965218</v>
      </c>
      <c r="I94" s="62" t="str">
        <f t="shared" si="3"/>
        <v>0.00000000018e-3</v>
      </c>
      <c r="J94" s="63">
        <f t="shared" si="4"/>
        <v>0</v>
      </c>
      <c r="K94" s="62" t="b">
        <f t="shared" si="5"/>
        <v>0</v>
      </c>
      <c r="L94" s="62" t="b">
        <f t="shared" si="6"/>
        <v>0</v>
      </c>
      <c r="M94" s="60" t="str">
        <f>IFERROR(__xludf.DUMMYFUNCTION("if(regexmatch(B94,""e(.*)$""),regexextract(B94,""e(.*)$""),"""")"),"-3")</f>
        <v>-3</v>
      </c>
    </row>
    <row r="95">
      <c r="A95" s="17" t="s">
        <v>1833</v>
      </c>
      <c r="B95" s="17" t="s">
        <v>1834</v>
      </c>
      <c r="C95" s="17" t="s">
        <v>1835</v>
      </c>
      <c r="E95" s="60" t="str">
        <f>VLOOKUP($A95,nist_names_ids!A:B,2,false)</f>
        <v>muemsmub</v>
      </c>
      <c r="F95" s="61">
        <f>countif(Constants!A:A,E95)</f>
        <v>1</v>
      </c>
      <c r="G95" s="62" t="str">
        <f t="shared" si="1"/>
        <v>-1.00115965218046</v>
      </c>
      <c r="H95" s="62">
        <f t="shared" si="2"/>
        <v>-1.001159652</v>
      </c>
      <c r="I95" s="62" t="str">
        <f t="shared" si="3"/>
        <v>0.00000000000018</v>
      </c>
      <c r="J95" s="63">
        <f t="shared" si="4"/>
        <v>0</v>
      </c>
      <c r="K95" s="62" t="b">
        <f t="shared" si="5"/>
        <v>0</v>
      </c>
      <c r="L95" s="62" t="b">
        <f t="shared" si="6"/>
        <v>0</v>
      </c>
      <c r="M95" s="60" t="str">
        <f>IFERROR(__xludf.DUMMYFUNCTION("if(regexmatch(B95,""e(.*)$""),regexextract(B95,""e(.*)$""),"""")"),"")</f>
        <v/>
      </c>
    </row>
    <row r="96">
      <c r="A96" s="17" t="s">
        <v>1837</v>
      </c>
      <c r="B96" s="17" t="s">
        <v>1838</v>
      </c>
      <c r="C96" s="17" t="s">
        <v>1839</v>
      </c>
      <c r="E96" s="60" t="str">
        <f>VLOOKUP($A96,nist_names_ids!A:B,2,false)</f>
        <v>muemsmun</v>
      </c>
      <c r="F96" s="61">
        <f>countif(Constants!A:A,E96)</f>
        <v>1</v>
      </c>
      <c r="G96" s="62" t="str">
        <f t="shared" si="1"/>
        <v>-1838.281971877</v>
      </c>
      <c r="H96" s="62">
        <f t="shared" si="2"/>
        <v>-1838.281972</v>
      </c>
      <c r="I96" s="62" t="str">
        <f t="shared" si="3"/>
        <v>0.000000032</v>
      </c>
      <c r="J96" s="63">
        <f t="shared" si="4"/>
        <v>0.000000032</v>
      </c>
      <c r="K96" s="62" t="b">
        <f t="shared" si="5"/>
        <v>0</v>
      </c>
      <c r="L96" s="62" t="b">
        <f t="shared" si="6"/>
        <v>0</v>
      </c>
      <c r="M96" s="60" t="str">
        <f>IFERROR(__xludf.DUMMYFUNCTION("if(regexmatch(B96,""e(.*)$""),regexextract(B96,""e(.*)$""),"""")"),"")</f>
        <v/>
      </c>
    </row>
    <row r="97">
      <c r="A97" s="17" t="s">
        <v>1818</v>
      </c>
      <c r="B97" s="17" t="s">
        <v>1559</v>
      </c>
      <c r="C97" s="17" t="s">
        <v>1560</v>
      </c>
      <c r="D97" s="17" t="s">
        <v>98</v>
      </c>
      <c r="E97" s="60" t="str">
        <f>VLOOKUP($A97,nist_names_ids!A:B,2,false)</f>
        <v>me</v>
      </c>
      <c r="F97" s="61">
        <f>countif(Constants!A:A,E97)</f>
        <v>1</v>
      </c>
      <c r="G97" s="62" t="str">
        <f t="shared" si="1"/>
        <v>9.1093837139e-31</v>
      </c>
      <c r="H97" s="62">
        <f t="shared" si="2"/>
        <v>0</v>
      </c>
      <c r="I97" s="62" t="str">
        <f t="shared" si="3"/>
        <v>0.0000000028e-31</v>
      </c>
      <c r="J97" s="63">
        <f t="shared" si="4"/>
        <v>0</v>
      </c>
      <c r="K97" s="62" t="b">
        <f t="shared" si="5"/>
        <v>0</v>
      </c>
      <c r="L97" s="62" t="b">
        <f t="shared" si="6"/>
        <v>0</v>
      </c>
      <c r="M97" s="60" t="str">
        <f>IFERROR(__xludf.DUMMYFUNCTION("if(regexmatch(B97,""e(.*)$""),regexextract(B97,""e(.*)$""),"""")"),"-31")</f>
        <v>-31</v>
      </c>
    </row>
    <row r="98">
      <c r="A98" s="17" t="s">
        <v>1831</v>
      </c>
      <c r="B98" s="17" t="s">
        <v>1847</v>
      </c>
      <c r="C98" s="17" t="s">
        <v>1848</v>
      </c>
      <c r="D98" s="17" t="s">
        <v>173</v>
      </c>
      <c r="E98" s="60" t="str">
        <f>VLOOKUP($A98,nist_names_ids!A:B,2,false)</f>
        <v>mec2</v>
      </c>
      <c r="F98" s="61">
        <f>countif(Constants!A:A,E98)</f>
        <v>1</v>
      </c>
      <c r="G98" s="62" t="str">
        <f t="shared" si="1"/>
        <v>8.1871057880e-14</v>
      </c>
      <c r="H98" s="62">
        <f t="shared" si="2"/>
        <v>0</v>
      </c>
      <c r="I98" s="62" t="str">
        <f t="shared" si="3"/>
        <v>0.0000000026e-14</v>
      </c>
      <c r="J98" s="63">
        <f t="shared" si="4"/>
        <v>0</v>
      </c>
      <c r="K98" s="62" t="b">
        <f t="shared" si="5"/>
        <v>0</v>
      </c>
      <c r="L98" s="62" t="b">
        <f t="shared" si="6"/>
        <v>0</v>
      </c>
      <c r="M98" s="60" t="str">
        <f>IFERROR(__xludf.DUMMYFUNCTION("if(regexmatch(B98,""e(.*)$""),regexextract(B98,""e(.*)$""),"""")"),"-14")</f>
        <v>-14</v>
      </c>
    </row>
    <row r="99">
      <c r="A99" s="17" t="s">
        <v>1845</v>
      </c>
      <c r="B99" s="17" t="s">
        <v>1850</v>
      </c>
      <c r="C99" s="17" t="s">
        <v>1851</v>
      </c>
      <c r="D99" s="17" t="s">
        <v>224</v>
      </c>
      <c r="E99" s="60" t="str">
        <f>VLOOKUP($A99,nist_names_ids!A:B,2,false)</f>
        <v>mec2mev</v>
      </c>
      <c r="F99" s="61">
        <f>countif(Constants!A:A,E99)</f>
        <v>1</v>
      </c>
      <c r="G99" s="62" t="str">
        <f t="shared" si="1"/>
        <v>0.51099895069</v>
      </c>
      <c r="H99" s="62">
        <f t="shared" si="2"/>
        <v>0.5109989507</v>
      </c>
      <c r="I99" s="62" t="str">
        <f t="shared" si="3"/>
        <v>0.00000000016</v>
      </c>
      <c r="J99" s="63">
        <f t="shared" si="4"/>
        <v>0.00000000016</v>
      </c>
      <c r="K99" s="62" t="b">
        <f t="shared" si="5"/>
        <v>0</v>
      </c>
      <c r="L99" s="62" t="b">
        <f t="shared" si="6"/>
        <v>0</v>
      </c>
      <c r="M99" s="60" t="str">
        <f>IFERROR(__xludf.DUMMYFUNCTION("if(regexmatch(B99,""e(.*)$""),regexextract(B99,""e(.*)$""),"""")"),"")</f>
        <v/>
      </c>
    </row>
    <row r="100">
      <c r="A100" s="17" t="s">
        <v>1853</v>
      </c>
      <c r="B100" s="17" t="s">
        <v>1854</v>
      </c>
      <c r="C100" s="17" t="s">
        <v>1855</v>
      </c>
      <c r="D100" s="17" t="s">
        <v>249</v>
      </c>
      <c r="E100" s="60" t="str">
        <f>VLOOKUP($A100,nist_names_ids!A:B,2,false)</f>
        <v>meu</v>
      </c>
      <c r="F100" s="61">
        <f>countif(Constants!A:A,E100)</f>
        <v>1</v>
      </c>
      <c r="G100" s="62" t="str">
        <f t="shared" si="1"/>
        <v>5.485799090441e-4</v>
      </c>
      <c r="H100" s="62">
        <f t="shared" si="2"/>
        <v>0.000548579909</v>
      </c>
      <c r="I100" s="62" t="str">
        <f t="shared" si="3"/>
        <v>0.000000000097e-4</v>
      </c>
      <c r="J100" s="63">
        <f t="shared" si="4"/>
        <v>0</v>
      </c>
      <c r="K100" s="62" t="b">
        <f t="shared" si="5"/>
        <v>0</v>
      </c>
      <c r="L100" s="62" t="b">
        <f t="shared" si="6"/>
        <v>0</v>
      </c>
      <c r="M100" s="60" t="str">
        <f>IFERROR(__xludf.DUMMYFUNCTION("if(regexmatch(B100,""e(.*)$""),regexextract(B100,""e(.*)$""),"""")"),"-4")</f>
        <v>-4</v>
      </c>
    </row>
    <row r="101">
      <c r="A101" s="17" t="s">
        <v>1860</v>
      </c>
      <c r="B101" s="17" t="s">
        <v>1861</v>
      </c>
      <c r="C101" s="17" t="s">
        <v>1862</v>
      </c>
      <c r="D101" s="17" t="s">
        <v>286</v>
      </c>
      <c r="E101" s="60" t="str">
        <f>VLOOKUP($A101,nist_names_ids!A:B,2,false)</f>
        <v>mme</v>
      </c>
      <c r="F101" s="61">
        <f>countif(Constants!A:A,E101)</f>
        <v>1</v>
      </c>
      <c r="G101" s="62" t="str">
        <f t="shared" si="1"/>
        <v>5.4857990962e-7</v>
      </c>
      <c r="H101" s="62">
        <f t="shared" si="2"/>
        <v>0.0000005485799096</v>
      </c>
      <c r="I101" s="62" t="str">
        <f t="shared" si="3"/>
        <v>0.0000000017e-7</v>
      </c>
      <c r="J101" s="63">
        <f t="shared" si="4"/>
        <v>0</v>
      </c>
      <c r="K101" s="62" t="b">
        <f t="shared" si="5"/>
        <v>0</v>
      </c>
      <c r="L101" s="62" t="b">
        <f t="shared" si="6"/>
        <v>0</v>
      </c>
      <c r="M101" s="60" t="str">
        <f>IFERROR(__xludf.DUMMYFUNCTION("if(regexmatch(B101,""e(.*)$""),regexextract(B101,""e(.*)$""),"""")"),"-7")</f>
        <v>-7</v>
      </c>
    </row>
    <row r="102">
      <c r="A102" s="17" t="s">
        <v>1864</v>
      </c>
      <c r="B102" s="17" t="s">
        <v>1865</v>
      </c>
      <c r="C102" s="17" t="s">
        <v>1866</v>
      </c>
      <c r="E102" s="60" t="str">
        <f>VLOOKUP($A102,nist_names_ids!A:B,2,false)</f>
        <v>muemsmumum</v>
      </c>
      <c r="F102" s="61">
        <f>countif(Constants!A:A,E102)</f>
        <v>1</v>
      </c>
      <c r="G102" s="62" t="str">
        <f t="shared" si="1"/>
        <v>206.7669881</v>
      </c>
      <c r="H102" s="62">
        <f t="shared" si="2"/>
        <v>206.7669881</v>
      </c>
      <c r="I102" s="62" t="str">
        <f t="shared" si="3"/>
        <v>0.0000046</v>
      </c>
      <c r="J102" s="63">
        <f t="shared" si="4"/>
        <v>0.0000046</v>
      </c>
      <c r="K102" s="62" t="b">
        <f t="shared" si="5"/>
        <v>0</v>
      </c>
      <c r="L102" s="62" t="b">
        <f t="shared" si="6"/>
        <v>0</v>
      </c>
      <c r="M102" s="60" t="str">
        <f>IFERROR(__xludf.DUMMYFUNCTION("if(regexmatch(B102,""e(.*)$""),regexextract(B102,""e(.*)$""),"""")"),"")</f>
        <v/>
      </c>
    </row>
    <row r="103">
      <c r="A103" s="17" t="s">
        <v>1868</v>
      </c>
      <c r="B103" s="17" t="s">
        <v>1869</v>
      </c>
      <c r="C103" s="17" t="s">
        <v>1870</v>
      </c>
      <c r="E103" s="60" t="str">
        <f>VLOOKUP($A103,nist_names_ids!A:B,2,false)</f>
        <v>mesmmu</v>
      </c>
      <c r="F103" s="61">
        <f>countif(Constants!A:A,E103)</f>
        <v>1</v>
      </c>
      <c r="G103" s="62" t="str">
        <f t="shared" si="1"/>
        <v>4.83633170e-3</v>
      </c>
      <c r="H103" s="62">
        <f t="shared" si="2"/>
        <v>0.0048363317</v>
      </c>
      <c r="I103" s="62" t="str">
        <f t="shared" si="3"/>
        <v>0.00000011e-3</v>
      </c>
      <c r="J103" s="63">
        <f t="shared" si="4"/>
        <v>0.00000000011</v>
      </c>
      <c r="K103" s="62" t="b">
        <f t="shared" si="5"/>
        <v>0</v>
      </c>
      <c r="L103" s="62" t="b">
        <f t="shared" si="6"/>
        <v>0</v>
      </c>
      <c r="M103" s="60" t="str">
        <f>IFERROR(__xludf.DUMMYFUNCTION("if(regexmatch(B103,""e(.*)$""),regexextract(B103,""e(.*)$""),"""")"),"-3")</f>
        <v>-3</v>
      </c>
    </row>
    <row r="104">
      <c r="A104" s="17" t="s">
        <v>1872</v>
      </c>
      <c r="B104" s="17" t="s">
        <v>1873</v>
      </c>
      <c r="C104" s="17" t="s">
        <v>1874</v>
      </c>
      <c r="E104" s="60" t="str">
        <f>VLOOKUP($A104,nist_names_ids!A:B,2,false)</f>
        <v>muemsmunn</v>
      </c>
      <c r="F104" s="61">
        <f>countif(Constants!A:A,E104)</f>
        <v>1</v>
      </c>
      <c r="G104" s="62" t="str">
        <f t="shared" si="1"/>
        <v>960.92048</v>
      </c>
      <c r="H104" s="62">
        <f t="shared" si="2"/>
        <v>960.92048</v>
      </c>
      <c r="I104" s="62" t="str">
        <f t="shared" si="3"/>
        <v>0.00023</v>
      </c>
      <c r="J104" s="63">
        <f t="shared" si="4"/>
        <v>0.00023</v>
      </c>
      <c r="K104" s="62" t="b">
        <f t="shared" si="5"/>
        <v>0</v>
      </c>
      <c r="L104" s="62" t="b">
        <f t="shared" si="6"/>
        <v>0</v>
      </c>
      <c r="M104" s="60" t="str">
        <f>IFERROR(__xludf.DUMMYFUNCTION("if(regexmatch(B104,""e(.*)$""),regexextract(B104,""e(.*)$""),"""")"),"")</f>
        <v/>
      </c>
    </row>
    <row r="105">
      <c r="A105" s="17" t="s">
        <v>1878</v>
      </c>
      <c r="B105" s="17" t="s">
        <v>1879</v>
      </c>
      <c r="C105" s="17" t="s">
        <v>1880</v>
      </c>
      <c r="E105" s="60" t="str">
        <f>VLOOKUP($A105,nist_names_ids!A:B,2,false)</f>
        <v>mesmn</v>
      </c>
      <c r="F105" s="61">
        <f>countif(Constants!A:A,E105)</f>
        <v>1</v>
      </c>
      <c r="G105" s="62" t="str">
        <f t="shared" si="1"/>
        <v>5.4386734416e-4</v>
      </c>
      <c r="H105" s="62">
        <f t="shared" si="2"/>
        <v>0.0005438673442</v>
      </c>
      <c r="I105" s="62" t="str">
        <f t="shared" si="3"/>
        <v>0.0000000022e-4</v>
      </c>
      <c r="J105" s="63">
        <f t="shared" si="4"/>
        <v>0</v>
      </c>
      <c r="K105" s="62" t="b">
        <f t="shared" si="5"/>
        <v>0</v>
      </c>
      <c r="L105" s="62" t="b">
        <f t="shared" si="6"/>
        <v>0</v>
      </c>
      <c r="M105" s="60" t="str">
        <f>IFERROR(__xludf.DUMMYFUNCTION("if(regexmatch(B105,""e(.*)$""),regexextract(B105,""e(.*)$""),"""")"),"-4")</f>
        <v>-4</v>
      </c>
    </row>
    <row r="106">
      <c r="A106" s="17" t="s">
        <v>1882</v>
      </c>
      <c r="B106" s="17" t="s">
        <v>1883</v>
      </c>
      <c r="C106" s="17" t="s">
        <v>1884</v>
      </c>
      <c r="E106" s="60" t="str">
        <f>VLOOKUP($A106,nist_names_ids!A:B,2,false)</f>
        <v>muemsmup</v>
      </c>
      <c r="F106" s="61">
        <f>countif(Constants!A:A,E106)</f>
        <v>1</v>
      </c>
      <c r="G106" s="62" t="str">
        <f t="shared" si="1"/>
        <v>-658.21068789</v>
      </c>
      <c r="H106" s="62">
        <f t="shared" si="2"/>
        <v>-658.2106879</v>
      </c>
      <c r="I106" s="62" t="str">
        <f t="shared" si="3"/>
        <v>0.00000019</v>
      </c>
      <c r="J106" s="63">
        <f t="shared" si="4"/>
        <v>0.00000019</v>
      </c>
      <c r="K106" s="62" t="b">
        <f t="shared" si="5"/>
        <v>0</v>
      </c>
      <c r="L106" s="62" t="b">
        <f t="shared" si="6"/>
        <v>0</v>
      </c>
      <c r="M106" s="60" t="str">
        <f>IFERROR(__xludf.DUMMYFUNCTION("if(regexmatch(B106,""e(.*)$""),regexextract(B106,""e(.*)$""),"""")"),"")</f>
        <v/>
      </c>
    </row>
    <row r="107">
      <c r="A107" s="17" t="s">
        <v>1886</v>
      </c>
      <c r="B107" s="17" t="s">
        <v>1887</v>
      </c>
      <c r="C107" s="17" t="s">
        <v>1888</v>
      </c>
      <c r="E107" s="60" t="str">
        <f>VLOOKUP($A107,nist_names_ids!A:B,2,false)</f>
        <v>mesmp</v>
      </c>
      <c r="F107" s="61">
        <f>countif(Constants!A:A,E107)</f>
        <v>1</v>
      </c>
      <c r="G107" s="62" t="str">
        <f t="shared" si="1"/>
        <v>5.446170214889e-4</v>
      </c>
      <c r="H107" s="62">
        <f t="shared" si="2"/>
        <v>0.0005446170215</v>
      </c>
      <c r="I107" s="62" t="str">
        <f t="shared" si="3"/>
        <v>0.000000000094e-4</v>
      </c>
      <c r="J107" s="63">
        <f t="shared" si="4"/>
        <v>0</v>
      </c>
      <c r="K107" s="62" t="b">
        <f t="shared" si="5"/>
        <v>0</v>
      </c>
      <c r="L107" s="62" t="b">
        <f t="shared" si="6"/>
        <v>0</v>
      </c>
      <c r="M107" s="60" t="str">
        <f>IFERROR(__xludf.DUMMYFUNCTION("if(regexmatch(B107,""e(.*)$""),regexextract(B107,""e(.*)$""),"""")"),"-4")</f>
        <v>-4</v>
      </c>
    </row>
    <row r="108">
      <c r="A108" s="17" t="s">
        <v>1893</v>
      </c>
      <c r="B108" s="17" t="s">
        <v>1854</v>
      </c>
      <c r="C108" s="17" t="s">
        <v>1855</v>
      </c>
      <c r="E108" s="60" t="str">
        <f>VLOOKUP($A108,nist_names_ids!A:B,2,false)</f>
        <v>are</v>
      </c>
      <c r="F108" s="61">
        <f>countif(Constants!A:A,E108)</f>
        <v>1</v>
      </c>
      <c r="G108" s="62" t="str">
        <f t="shared" si="1"/>
        <v>5.485799090441e-4</v>
      </c>
      <c r="H108" s="62">
        <f t="shared" si="2"/>
        <v>0.000548579909</v>
      </c>
      <c r="I108" s="62" t="str">
        <f t="shared" si="3"/>
        <v>0.000000000097e-4</v>
      </c>
      <c r="J108" s="63">
        <f t="shared" si="4"/>
        <v>0</v>
      </c>
      <c r="K108" s="62" t="b">
        <f t="shared" si="5"/>
        <v>0</v>
      </c>
      <c r="L108" s="62" t="b">
        <f t="shared" si="6"/>
        <v>0</v>
      </c>
      <c r="M108" s="60" t="str">
        <f>IFERROR(__xludf.DUMMYFUNCTION("if(regexmatch(B108,""e(.*)$""),regexextract(B108,""e(.*)$""),"""")"),"-4")</f>
        <v>-4</v>
      </c>
    </row>
    <row r="109">
      <c r="A109" s="17" t="s">
        <v>1896</v>
      </c>
      <c r="B109" s="17" t="s">
        <v>1897</v>
      </c>
      <c r="C109" s="17" t="s">
        <v>1898</v>
      </c>
      <c r="E109" s="60" t="str">
        <f>VLOOKUP($A109,nist_names_ids!A:B,2,false)</f>
        <v>mesmtau</v>
      </c>
      <c r="F109" s="61">
        <f>countif(Constants!A:A,E109)</f>
        <v>1</v>
      </c>
      <c r="G109" s="62" t="str">
        <f t="shared" si="1"/>
        <v>2.87585e-4</v>
      </c>
      <c r="H109" s="62">
        <f t="shared" si="2"/>
        <v>0.000287585</v>
      </c>
      <c r="I109" s="62" t="str">
        <f t="shared" si="3"/>
        <v>0.00019e-4</v>
      </c>
      <c r="J109" s="63">
        <f t="shared" si="4"/>
        <v>0.000000019</v>
      </c>
      <c r="K109" s="62" t="b">
        <f t="shared" si="5"/>
        <v>0</v>
      </c>
      <c r="L109" s="62" t="b">
        <f t="shared" si="6"/>
        <v>0</v>
      </c>
      <c r="M109" s="60" t="str">
        <f>IFERROR(__xludf.DUMMYFUNCTION("if(regexmatch(B109,""e(.*)$""),regexextract(B109,""e(.*)$""),"""")"),"-4")</f>
        <v>-4</v>
      </c>
    </row>
    <row r="110">
      <c r="A110" s="17" t="s">
        <v>1900</v>
      </c>
      <c r="B110" s="17" t="s">
        <v>1901</v>
      </c>
      <c r="C110" s="17" t="s">
        <v>1902</v>
      </c>
      <c r="E110" s="60" t="str">
        <f>VLOOKUP($A110,nist_names_ids!A:B,2,false)</f>
        <v>mesmalpha</v>
      </c>
      <c r="F110" s="61">
        <f>countif(Constants!A:A,E110)</f>
        <v>1</v>
      </c>
      <c r="G110" s="62" t="str">
        <f t="shared" si="1"/>
        <v>1.370933554733e-4</v>
      </c>
      <c r="H110" s="62">
        <f t="shared" si="2"/>
        <v>0.0001370933555</v>
      </c>
      <c r="I110" s="62" t="str">
        <f t="shared" si="3"/>
        <v>0.000000000032e-4</v>
      </c>
      <c r="J110" s="63">
        <f t="shared" si="4"/>
        <v>0</v>
      </c>
      <c r="K110" s="62" t="b">
        <f t="shared" si="5"/>
        <v>0</v>
      </c>
      <c r="L110" s="62" t="b">
        <f t="shared" si="6"/>
        <v>0</v>
      </c>
      <c r="M110" s="60" t="str">
        <f>IFERROR(__xludf.DUMMYFUNCTION("if(regexmatch(B110,""e(.*)$""),regexextract(B110,""e(.*)$""),"""")"),"-4")</f>
        <v>-4</v>
      </c>
    </row>
    <row r="111">
      <c r="A111" s="17" t="s">
        <v>1904</v>
      </c>
      <c r="B111" s="17" t="s">
        <v>1905</v>
      </c>
      <c r="C111" s="17" t="s">
        <v>1907</v>
      </c>
      <c r="E111" s="60" t="str">
        <f>VLOOKUP($A111,nist_names_ids!A:B,2,false)</f>
        <v>muemsmuhp</v>
      </c>
      <c r="F111" s="61">
        <f>countif(Constants!A:A,E111)</f>
        <v>1</v>
      </c>
      <c r="G111" s="62" t="str">
        <f t="shared" si="1"/>
        <v>864.05823986</v>
      </c>
      <c r="H111" s="62">
        <f t="shared" si="2"/>
        <v>864.0582399</v>
      </c>
      <c r="I111" s="62" t="str">
        <f t="shared" si="3"/>
        <v>0.00000070</v>
      </c>
      <c r="J111" s="63">
        <f t="shared" si="4"/>
        <v>0.0000007</v>
      </c>
      <c r="K111" s="62" t="b">
        <f t="shared" si="5"/>
        <v>0</v>
      </c>
      <c r="L111" s="62" t="b">
        <f t="shared" si="6"/>
        <v>0</v>
      </c>
      <c r="M111" s="60" t="str">
        <f>IFERROR(__xludf.DUMMYFUNCTION("if(regexmatch(B111,""e(.*)$""),regexextract(B111,""e(.*)$""),"""")"),"")</f>
        <v/>
      </c>
    </row>
    <row r="112">
      <c r="A112" s="17" t="s">
        <v>1910</v>
      </c>
      <c r="B112" s="17" t="s">
        <v>1911</v>
      </c>
      <c r="C112" s="17" t="s">
        <v>1912</v>
      </c>
      <c r="E112" s="60" t="str">
        <f>VLOOKUP($A112,nist_names_ids!A:B,2,false)</f>
        <v>muemsmupp</v>
      </c>
      <c r="F112" s="61">
        <f>countif(Constants!A:A,E112)</f>
        <v>1</v>
      </c>
      <c r="G112" s="62" t="str">
        <f t="shared" si="1"/>
        <v>-658.2275856</v>
      </c>
      <c r="H112" s="62">
        <f t="shared" si="2"/>
        <v>-658.2275856</v>
      </c>
      <c r="I112" s="62" t="str">
        <f t="shared" si="3"/>
        <v>0.0000027</v>
      </c>
      <c r="J112" s="63">
        <f t="shared" si="4"/>
        <v>0.0000027</v>
      </c>
      <c r="K112" s="62" t="b">
        <f t="shared" si="5"/>
        <v>0</v>
      </c>
      <c r="L112" s="62" t="b">
        <f t="shared" si="6"/>
        <v>0</v>
      </c>
      <c r="M112" s="60" t="str">
        <f>IFERROR(__xludf.DUMMYFUNCTION("if(regexmatch(B112,""e(.*)$""),regexextract(B112,""e(.*)$""),"""")"),"")</f>
        <v/>
      </c>
    </row>
    <row r="113">
      <c r="A113" s="17" t="s">
        <v>1916</v>
      </c>
      <c r="B113" s="17" t="s">
        <v>1917</v>
      </c>
      <c r="C113" s="17" t="s">
        <v>1918</v>
      </c>
      <c r="E113" s="60" t="str">
        <f>VLOOKUP($A113,nist_names_ids!A:B,2,false)</f>
        <v>mesmt</v>
      </c>
      <c r="F113" s="61">
        <f>countif(Constants!A:A,E113)</f>
        <v>1</v>
      </c>
      <c r="G113" s="62" t="str">
        <f t="shared" si="1"/>
        <v>1.819200062327e-4</v>
      </c>
      <c r="H113" s="62">
        <f t="shared" si="2"/>
        <v>0.0001819200062</v>
      </c>
      <c r="I113" s="62" t="str">
        <f t="shared" si="3"/>
        <v>0.000000000068e-4</v>
      </c>
      <c r="J113" s="63">
        <f t="shared" si="4"/>
        <v>0</v>
      </c>
      <c r="K113" s="62" t="b">
        <f t="shared" si="5"/>
        <v>0</v>
      </c>
      <c r="L113" s="62" t="b">
        <f t="shared" si="6"/>
        <v>0</v>
      </c>
      <c r="M113" s="60" t="str">
        <f>IFERROR(__xludf.DUMMYFUNCTION("if(regexmatch(B113,""e(.*)$""),regexextract(B113,""e(.*)$""),"""")"),"-4")</f>
        <v>-4</v>
      </c>
    </row>
    <row r="114">
      <c r="A114" s="17" t="s">
        <v>1919</v>
      </c>
      <c r="B114" s="17" t="s">
        <v>1505</v>
      </c>
      <c r="C114" s="17" t="s">
        <v>1501</v>
      </c>
      <c r="D114" s="17" t="s">
        <v>173</v>
      </c>
      <c r="E114" s="60" t="str">
        <f>VLOOKUP($A114,nist_names_ids!A:B,2,false)</f>
        <v>tevj</v>
      </c>
      <c r="F114" s="61">
        <f>countif(Constants!A:A,E114)</f>
        <v>1</v>
      </c>
      <c r="G114" s="62" t="str">
        <f t="shared" si="1"/>
        <v>1.602176634e-19</v>
      </c>
      <c r="H114" s="62">
        <f t="shared" si="2"/>
        <v>0</v>
      </c>
      <c r="I114" s="62" t="str">
        <f t="shared" si="3"/>
        <v>(exact)</v>
      </c>
      <c r="J114" s="63" t="str">
        <f t="shared" si="4"/>
        <v/>
      </c>
      <c r="K114" s="62" t="b">
        <f t="shared" si="5"/>
        <v>1</v>
      </c>
      <c r="L114" s="62" t="b">
        <f t="shared" si="6"/>
        <v>0</v>
      </c>
      <c r="M114" s="60" t="str">
        <f>IFERROR(__xludf.DUMMYFUNCTION("if(regexmatch(B114,""e(.*)$""),regexextract(B114,""e(.*)$""),"""")"),"-19")</f>
        <v>-19</v>
      </c>
    </row>
    <row r="115">
      <c r="A115" s="17" t="s">
        <v>1920</v>
      </c>
      <c r="B115" s="17" t="s">
        <v>1921</v>
      </c>
      <c r="C115" s="17" t="s">
        <v>1922</v>
      </c>
      <c r="D115" s="17" t="s">
        <v>249</v>
      </c>
      <c r="E115" s="60" t="str">
        <f>VLOOKUP($A115,nist_names_ids!A:B,2,false)</f>
        <v>evu</v>
      </c>
      <c r="F115" s="61">
        <f>countif(Constants!A:A,E115)</f>
        <v>1</v>
      </c>
      <c r="G115" s="62" t="str">
        <f t="shared" si="1"/>
        <v>1.07354410083e-9</v>
      </c>
      <c r="H115" s="62">
        <f t="shared" si="2"/>
        <v>0.000000001073544101</v>
      </c>
      <c r="I115" s="62" t="str">
        <f t="shared" si="3"/>
        <v>0.00000000033e-9</v>
      </c>
      <c r="J115" s="63">
        <f t="shared" si="4"/>
        <v>0</v>
      </c>
      <c r="K115" s="62" t="b">
        <f t="shared" si="5"/>
        <v>0</v>
      </c>
      <c r="L115" s="62" t="b">
        <f t="shared" si="6"/>
        <v>0</v>
      </c>
      <c r="M115" s="60" t="str">
        <f>IFERROR(__xludf.DUMMYFUNCTION("if(regexmatch(B115,""e(.*)$""),regexextract(B115,""e(.*)$""),"""")"),"-9")</f>
        <v>-9</v>
      </c>
    </row>
    <row r="116">
      <c r="A116" s="17" t="s">
        <v>1923</v>
      </c>
      <c r="B116" s="17" t="s">
        <v>1924</v>
      </c>
      <c r="C116" s="17" t="s">
        <v>1925</v>
      </c>
      <c r="D116" s="17" t="s">
        <v>170</v>
      </c>
      <c r="E116" s="60" t="str">
        <f>VLOOKUP($A116,nist_names_ids!A:B,2,false)</f>
        <v>evhr</v>
      </c>
      <c r="F116" s="61">
        <f>countif(Constants!A:A,E116)</f>
        <v>1</v>
      </c>
      <c r="G116" s="62" t="str">
        <f t="shared" si="1"/>
        <v>3.6749322175665e-2</v>
      </c>
      <c r="H116" s="62">
        <f t="shared" si="2"/>
        <v>0.03674932218</v>
      </c>
      <c r="I116" s="62" t="str">
        <f t="shared" si="3"/>
        <v>0.0000000000040e-2</v>
      </c>
      <c r="J116" s="63">
        <f t="shared" si="4"/>
        <v>0</v>
      </c>
      <c r="K116" s="62" t="b">
        <f t="shared" si="5"/>
        <v>0</v>
      </c>
      <c r="L116" s="62" t="b">
        <f t="shared" si="6"/>
        <v>0</v>
      </c>
      <c r="M116" s="60" t="str">
        <f>IFERROR(__xludf.DUMMYFUNCTION("if(regexmatch(B116,""e(.*)$""),regexextract(B116,""e(.*)$""),"""")"),"-2")</f>
        <v>-2</v>
      </c>
    </row>
    <row r="117">
      <c r="A117" s="17" t="s">
        <v>1931</v>
      </c>
      <c r="B117" s="17" t="s">
        <v>1932</v>
      </c>
      <c r="C117" s="17" t="s">
        <v>1501</v>
      </c>
      <c r="D117" s="17" t="s">
        <v>257</v>
      </c>
      <c r="E117" s="60" t="str">
        <f>VLOOKUP($A117,nist_names_ids!A:B,2,false)</f>
        <v>evhz</v>
      </c>
      <c r="F117" s="61">
        <f>countif(Constants!A:A,E117)</f>
        <v>1</v>
      </c>
      <c r="G117" s="62" t="str">
        <f t="shared" si="1"/>
        <v>2.417989242e14</v>
      </c>
      <c r="H117" s="62">
        <f t="shared" si="2"/>
        <v>241798924200000</v>
      </c>
      <c r="I117" s="62" t="str">
        <f t="shared" si="3"/>
        <v>(exact)</v>
      </c>
      <c r="J117" s="63" t="str">
        <f t="shared" si="4"/>
        <v/>
      </c>
      <c r="K117" s="62" t="b">
        <f t="shared" si="5"/>
        <v>1</v>
      </c>
      <c r="L117" s="62" t="b">
        <f t="shared" si="6"/>
        <v>0</v>
      </c>
      <c r="M117" s="60" t="str">
        <f>IFERROR(__xludf.DUMMYFUNCTION("if(regexmatch(B117,""e(.*)$""),regexextract(B117,""e(.*)$""),"""")"),"14")</f>
        <v>14</v>
      </c>
    </row>
    <row r="118">
      <c r="A118" s="17" t="s">
        <v>1934</v>
      </c>
      <c r="B118" s="17" t="s">
        <v>1935</v>
      </c>
      <c r="C118" s="17" t="s">
        <v>1501</v>
      </c>
      <c r="D118" s="17" t="s">
        <v>561</v>
      </c>
      <c r="E118" s="60" t="str">
        <f>VLOOKUP($A118,nist_names_ids!A:B,2,false)</f>
        <v>evminv</v>
      </c>
      <c r="F118" s="61">
        <f>countif(Constants!A:A,E118)</f>
        <v>1</v>
      </c>
      <c r="G118" s="62" t="str">
        <f t="shared" si="1"/>
        <v>8.065543937e5</v>
      </c>
      <c r="H118" s="62">
        <f t="shared" si="2"/>
        <v>806554.3937</v>
      </c>
      <c r="I118" s="62" t="str">
        <f t="shared" si="3"/>
        <v>(exact)</v>
      </c>
      <c r="J118" s="63" t="str">
        <f t="shared" si="4"/>
        <v/>
      </c>
      <c r="K118" s="62" t="b">
        <f t="shared" si="5"/>
        <v>1</v>
      </c>
      <c r="L118" s="62" t="b">
        <f t="shared" si="6"/>
        <v>0</v>
      </c>
      <c r="M118" s="60" t="str">
        <f>IFERROR(__xludf.DUMMYFUNCTION("if(regexmatch(B118,""e(.*)$""),regexextract(B118,""e(.*)$""),"""")"),"5")</f>
        <v>5</v>
      </c>
    </row>
    <row r="119">
      <c r="A119" s="17" t="s">
        <v>1937</v>
      </c>
      <c r="B119" s="17" t="s">
        <v>1505</v>
      </c>
      <c r="C119" s="17" t="s">
        <v>1501</v>
      </c>
      <c r="D119" s="17" t="s">
        <v>173</v>
      </c>
      <c r="E119" s="60" t="str">
        <f>VLOOKUP($A119,nist_names_ids!A:B,2,false)</f>
        <v>evj</v>
      </c>
      <c r="F119" s="61">
        <f>countif(Constants!A:A,E119)</f>
        <v>1</v>
      </c>
      <c r="G119" s="62" t="str">
        <f t="shared" si="1"/>
        <v>1.602176634e-19</v>
      </c>
      <c r="H119" s="62">
        <f t="shared" si="2"/>
        <v>0</v>
      </c>
      <c r="I119" s="62" t="str">
        <f t="shared" si="3"/>
        <v>(exact)</v>
      </c>
      <c r="J119" s="63" t="str">
        <f t="shared" si="4"/>
        <v/>
      </c>
      <c r="K119" s="62" t="b">
        <f t="shared" si="5"/>
        <v>1</v>
      </c>
      <c r="L119" s="62" t="b">
        <f t="shared" si="6"/>
        <v>0</v>
      </c>
      <c r="M119" s="60" t="str">
        <f>IFERROR(__xludf.DUMMYFUNCTION("if(regexmatch(B119,""e(.*)$""),regexextract(B119,""e(.*)$""),"""")"),"-19")</f>
        <v>-19</v>
      </c>
    </row>
    <row r="120">
      <c r="A120" s="17" t="s">
        <v>1940</v>
      </c>
      <c r="B120" s="17" t="s">
        <v>1941</v>
      </c>
      <c r="C120" s="17" t="s">
        <v>1501</v>
      </c>
      <c r="D120" s="17" t="s">
        <v>345</v>
      </c>
      <c r="E120" s="60" t="str">
        <f>VLOOKUP($A120,nist_names_ids!A:B,2,false)</f>
        <v>evk</v>
      </c>
      <c r="F120" s="61">
        <f>countif(Constants!A:A,E120)</f>
        <v>1</v>
      </c>
      <c r="G120" s="62" t="str">
        <f t="shared" si="1"/>
        <v>1.160451812e4</v>
      </c>
      <c r="H120" s="62">
        <f t="shared" si="2"/>
        <v>11604.51812</v>
      </c>
      <c r="I120" s="62" t="str">
        <f t="shared" si="3"/>
        <v>(exact)</v>
      </c>
      <c r="J120" s="63" t="str">
        <f t="shared" si="4"/>
        <v/>
      </c>
      <c r="K120" s="62" t="b">
        <f t="shared" si="5"/>
        <v>1</v>
      </c>
      <c r="L120" s="62" t="b">
        <f t="shared" si="6"/>
        <v>0</v>
      </c>
      <c r="M120" s="60" t="str">
        <f>IFERROR(__xludf.DUMMYFUNCTION("if(regexmatch(B120,""e(.*)$""),regexextract(B120,""e(.*)$""),"""")"),"4")</f>
        <v>4</v>
      </c>
    </row>
    <row r="121">
      <c r="A121" s="17" t="s">
        <v>1944</v>
      </c>
      <c r="B121" s="17" t="s">
        <v>1945</v>
      </c>
      <c r="C121" s="17" t="s">
        <v>1501</v>
      </c>
      <c r="D121" s="17" t="s">
        <v>98</v>
      </c>
      <c r="E121" s="60" t="str">
        <f>VLOOKUP($A121,nist_names_ids!A:B,2,false)</f>
        <v>evkg</v>
      </c>
      <c r="F121" s="61">
        <f>countif(Constants!A:A,E121)</f>
        <v>1</v>
      </c>
      <c r="G121" s="62" t="str">
        <f t="shared" si="1"/>
        <v>1.782661921e-36</v>
      </c>
      <c r="H121" s="62">
        <f t="shared" si="2"/>
        <v>0</v>
      </c>
      <c r="I121" s="62" t="str">
        <f t="shared" si="3"/>
        <v>(exact)</v>
      </c>
      <c r="J121" s="63" t="str">
        <f t="shared" si="4"/>
        <v/>
      </c>
      <c r="K121" s="62" t="b">
        <f t="shared" si="5"/>
        <v>1</v>
      </c>
      <c r="L121" s="62" t="b">
        <f t="shared" si="6"/>
        <v>0</v>
      </c>
      <c r="M121" s="60" t="str">
        <f>IFERROR(__xludf.DUMMYFUNCTION("if(regexmatch(B121,""e(.*)$""),regexextract(B121,""e(.*)$""),"""")"),"-36")</f>
        <v>-36</v>
      </c>
    </row>
    <row r="122">
      <c r="A122" s="17" t="s">
        <v>1947</v>
      </c>
      <c r="B122" s="17" t="s">
        <v>1505</v>
      </c>
      <c r="C122" s="17" t="s">
        <v>1501</v>
      </c>
      <c r="D122" s="17" t="s">
        <v>81</v>
      </c>
      <c r="E122" s="60" t="str">
        <f>VLOOKUP($A122,nist_names_ids!A:B,2,false)</f>
        <v>e</v>
      </c>
      <c r="F122" s="61">
        <f>countif(Constants!A:A,E122)</f>
        <v>1</v>
      </c>
      <c r="G122" s="62" t="str">
        <f t="shared" si="1"/>
        <v>1.602176634e-19</v>
      </c>
      <c r="H122" s="62">
        <f t="shared" si="2"/>
        <v>0</v>
      </c>
      <c r="I122" s="62" t="str">
        <f t="shared" si="3"/>
        <v>(exact)</v>
      </c>
      <c r="J122" s="63" t="str">
        <f t="shared" si="4"/>
        <v/>
      </c>
      <c r="K122" s="62" t="b">
        <f t="shared" si="5"/>
        <v>1</v>
      </c>
      <c r="L122" s="62" t="b">
        <f t="shared" si="6"/>
        <v>0</v>
      </c>
      <c r="M122" s="60" t="str">
        <f>IFERROR(__xludf.DUMMYFUNCTION("if(regexmatch(B122,""e(.*)$""),regexextract(B122,""e(.*)$""),"""")"),"-19")</f>
        <v>-19</v>
      </c>
    </row>
    <row r="123">
      <c r="A123" s="17" t="s">
        <v>1949</v>
      </c>
      <c r="B123" s="17" t="s">
        <v>1950</v>
      </c>
      <c r="C123" s="17" t="s">
        <v>1501</v>
      </c>
      <c r="D123" s="17" t="s">
        <v>1951</v>
      </c>
      <c r="E123" s="60" t="str">
        <f>VLOOKUP($A123,nist_names_ids!A:B,2,false)</f>
        <v>eshbar</v>
      </c>
      <c r="F123" s="61">
        <f>countif(Constants!A:A,E123)</f>
        <v>1</v>
      </c>
      <c r="G123" s="62" t="str">
        <f t="shared" si="1"/>
        <v>1.519267447e15</v>
      </c>
      <c r="H123" s="62">
        <f t="shared" si="2"/>
        <v>1.51927E+15</v>
      </c>
      <c r="I123" s="62" t="str">
        <f t="shared" si="3"/>
        <v>(exact)</v>
      </c>
      <c r="J123" s="63" t="str">
        <f t="shared" si="4"/>
        <v/>
      </c>
      <c r="K123" s="62" t="b">
        <f t="shared" si="5"/>
        <v>1</v>
      </c>
      <c r="L123" s="62" t="b">
        <f t="shared" si="6"/>
        <v>0</v>
      </c>
      <c r="M123" s="60" t="str">
        <f>IFERROR(__xludf.DUMMYFUNCTION("if(regexmatch(B123,""e(.*)$""),regexextract(B123,""e(.*)$""),"""")"),"15")</f>
        <v>15</v>
      </c>
    </row>
    <row r="124">
      <c r="A124" s="17" t="s">
        <v>1956</v>
      </c>
      <c r="B124" s="17" t="s">
        <v>1957</v>
      </c>
      <c r="C124" s="17" t="s">
        <v>1501</v>
      </c>
      <c r="D124" s="17" t="s">
        <v>1958</v>
      </c>
      <c r="E124" s="60" t="str">
        <f>VLOOKUP($A124,nist_names_ids!A:B,2,false)</f>
        <v>f</v>
      </c>
      <c r="F124" s="61">
        <f>countif(Constants!A:A,E124)</f>
        <v>1</v>
      </c>
      <c r="G124" s="62" t="str">
        <f t="shared" si="1"/>
        <v>96485.33212</v>
      </c>
      <c r="H124" s="62">
        <f t="shared" si="2"/>
        <v>96485.33212</v>
      </c>
      <c r="I124" s="62" t="str">
        <f t="shared" si="3"/>
        <v>(exact)</v>
      </c>
      <c r="J124" s="63" t="str">
        <f t="shared" si="4"/>
        <v/>
      </c>
      <c r="K124" s="62" t="b">
        <f t="shared" si="5"/>
        <v>1</v>
      </c>
      <c r="L124" s="62" t="b">
        <f t="shared" si="6"/>
        <v>0</v>
      </c>
      <c r="M124" s="60" t="str">
        <f>IFERROR(__xludf.DUMMYFUNCTION("if(regexmatch(B124,""e(.*)$""),regexextract(B124,""e(.*)$""),"""")"),"")</f>
        <v/>
      </c>
    </row>
    <row r="125">
      <c r="A125" s="17" t="s">
        <v>1960</v>
      </c>
      <c r="B125" s="17" t="s">
        <v>1961</v>
      </c>
      <c r="C125" s="17" t="s">
        <v>1962</v>
      </c>
      <c r="D125" s="17" t="s">
        <v>1963</v>
      </c>
      <c r="E125" s="60" t="str">
        <f>VLOOKUP($A125,nist_names_ids!A:B,2,false)</f>
        <v>gf</v>
      </c>
      <c r="F125" s="61">
        <f>countif(Constants!A:A,E125)</f>
        <v>1</v>
      </c>
      <c r="G125" s="62" t="str">
        <f t="shared" si="1"/>
        <v>1.1663787e-5</v>
      </c>
      <c r="H125" s="62">
        <f t="shared" si="2"/>
        <v>0.000011663787</v>
      </c>
      <c r="I125" s="62" t="str">
        <f t="shared" si="3"/>
        <v>0.0000006e-5</v>
      </c>
      <c r="J125" s="63">
        <f t="shared" si="4"/>
        <v>0</v>
      </c>
      <c r="K125" s="62" t="b">
        <f t="shared" si="5"/>
        <v>0</v>
      </c>
      <c r="L125" s="62" t="b">
        <f t="shared" si="6"/>
        <v>0</v>
      </c>
      <c r="M125" s="60" t="str">
        <f>IFERROR(__xludf.DUMMYFUNCTION("if(regexmatch(B125,""e(.*)$""),regexextract(B125,""e(.*)$""),"""")"),"-5")</f>
        <v>-5</v>
      </c>
    </row>
    <row r="126">
      <c r="A126" s="17" t="s">
        <v>1966</v>
      </c>
      <c r="B126" s="17" t="s">
        <v>1967</v>
      </c>
      <c r="C126" s="17" t="s">
        <v>1968</v>
      </c>
      <c r="E126" s="60" t="str">
        <f>VLOOKUP($A126,nist_names_ids!A:B,2,false)</f>
        <v>alph</v>
      </c>
      <c r="F126" s="61">
        <f>countif(Constants!A:A,E126)</f>
        <v>1</v>
      </c>
      <c r="G126" s="62" t="str">
        <f t="shared" si="1"/>
        <v>7.2973525643e-3</v>
      </c>
      <c r="H126" s="62">
        <f t="shared" si="2"/>
        <v>0.007297352564</v>
      </c>
      <c r="I126" s="62" t="str">
        <f t="shared" si="3"/>
        <v>0.0000000011e-3</v>
      </c>
      <c r="J126" s="63">
        <f t="shared" si="4"/>
        <v>0</v>
      </c>
      <c r="K126" s="62" t="b">
        <f t="shared" si="5"/>
        <v>0</v>
      </c>
      <c r="L126" s="62" t="b">
        <f t="shared" si="6"/>
        <v>0</v>
      </c>
      <c r="M126" s="60" t="str">
        <f>IFERROR(__xludf.DUMMYFUNCTION("if(regexmatch(B126,""e(.*)$""),regexextract(B126,""e(.*)$""),"""")"),"-3")</f>
        <v>-3</v>
      </c>
    </row>
    <row r="127">
      <c r="A127" s="17" t="s">
        <v>1972</v>
      </c>
      <c r="B127" s="17" t="s">
        <v>1973</v>
      </c>
      <c r="C127" s="17" t="s">
        <v>1501</v>
      </c>
      <c r="D127" s="17" t="s">
        <v>1974</v>
      </c>
      <c r="E127" s="60" t="str">
        <f>VLOOKUP($A127,nist_names_ids!A:B,2,false)</f>
        <v>c11strc</v>
      </c>
      <c r="F127" s="61">
        <f>countif(Constants!A:A,E127)</f>
        <v>1</v>
      </c>
      <c r="G127" s="62" t="str">
        <f t="shared" si="1"/>
        <v>3.741771852e-16</v>
      </c>
      <c r="H127" s="62">
        <f t="shared" si="2"/>
        <v>0</v>
      </c>
      <c r="I127" s="62" t="str">
        <f t="shared" si="3"/>
        <v>(exact)</v>
      </c>
      <c r="J127" s="63" t="str">
        <f t="shared" si="4"/>
        <v/>
      </c>
      <c r="K127" s="62" t="b">
        <f t="shared" si="5"/>
        <v>1</v>
      </c>
      <c r="L127" s="62" t="b">
        <f t="shared" si="6"/>
        <v>0</v>
      </c>
      <c r="M127" s="60" t="str">
        <f>IFERROR(__xludf.DUMMYFUNCTION("if(regexmatch(B127,""e(.*)$""),regexextract(B127,""e(.*)$""),"""")"),"-16")</f>
        <v>-16</v>
      </c>
    </row>
    <row r="128">
      <c r="A128" s="17" t="s">
        <v>1979</v>
      </c>
      <c r="B128" s="17" t="s">
        <v>1980</v>
      </c>
      <c r="C128" s="17" t="s">
        <v>1501</v>
      </c>
      <c r="D128" s="17" t="s">
        <v>1982</v>
      </c>
      <c r="E128" s="60" t="str">
        <f>VLOOKUP($A128,nist_names_ids!A:B,2,false)</f>
        <v>c1l</v>
      </c>
      <c r="F128" s="61">
        <f>countif(Constants!A:A,E128)</f>
        <v>1</v>
      </c>
      <c r="G128" s="62" t="str">
        <f t="shared" si="1"/>
        <v>1.191042972e-16</v>
      </c>
      <c r="H128" s="62">
        <f t="shared" si="2"/>
        <v>0</v>
      </c>
      <c r="I128" s="62" t="str">
        <f t="shared" si="3"/>
        <v>(exact)</v>
      </c>
      <c r="J128" s="63" t="str">
        <f t="shared" si="4"/>
        <v/>
      </c>
      <c r="K128" s="62" t="b">
        <f t="shared" si="5"/>
        <v>1</v>
      </c>
      <c r="L128" s="62" t="b">
        <f t="shared" si="6"/>
        <v>0</v>
      </c>
      <c r="M128" s="60" t="str">
        <f>IFERROR(__xludf.DUMMYFUNCTION("if(regexmatch(B128,""e(.*)$""),regexextract(B128,""e(.*)$""),"""")"),"-16")</f>
        <v>-16</v>
      </c>
    </row>
    <row r="129">
      <c r="A129" s="17" t="s">
        <v>1984</v>
      </c>
      <c r="B129" s="17" t="s">
        <v>1986</v>
      </c>
      <c r="C129" s="17" t="s">
        <v>1987</v>
      </c>
      <c r="D129" s="17" t="s">
        <v>249</v>
      </c>
      <c r="E129" s="60" t="str">
        <f>VLOOKUP($A129,nist_names_ids!A:B,2,false)</f>
        <v>hru</v>
      </c>
      <c r="F129" s="61">
        <f>countif(Constants!A:A,E129)</f>
        <v>1</v>
      </c>
      <c r="G129" s="62" t="str">
        <f t="shared" si="1"/>
        <v>2.92126231797e-8</v>
      </c>
      <c r="H129" s="62">
        <f t="shared" si="2"/>
        <v>0.00000002921262318</v>
      </c>
      <c r="I129" s="62" t="str">
        <f t="shared" si="3"/>
        <v>0.00000000091e-8</v>
      </c>
      <c r="J129" s="63">
        <f t="shared" si="4"/>
        <v>0</v>
      </c>
      <c r="K129" s="62" t="b">
        <f t="shared" si="5"/>
        <v>0</v>
      </c>
      <c r="L129" s="62" t="b">
        <f t="shared" si="6"/>
        <v>0</v>
      </c>
      <c r="M129" s="60" t="str">
        <f>IFERROR(__xludf.DUMMYFUNCTION("if(regexmatch(B129,""e(.*)$""),regexextract(B129,""e(.*)$""),"""")"),"-8")</f>
        <v>-8</v>
      </c>
    </row>
    <row r="130">
      <c r="A130" s="17" t="s">
        <v>1988</v>
      </c>
      <c r="B130" s="17" t="s">
        <v>1534</v>
      </c>
      <c r="C130" s="17" t="s">
        <v>1535</v>
      </c>
      <c r="D130" s="17" t="s">
        <v>181</v>
      </c>
      <c r="E130" s="60" t="str">
        <f>VLOOKUP($A130,nist_names_ids!A:B,2,false)</f>
        <v>hrev</v>
      </c>
      <c r="F130" s="61">
        <f>countif(Constants!A:A,E130)</f>
        <v>1</v>
      </c>
      <c r="G130" s="62" t="str">
        <f t="shared" si="1"/>
        <v>27.211386245981</v>
      </c>
      <c r="H130" s="62">
        <f t="shared" si="2"/>
        <v>27.21138625</v>
      </c>
      <c r="I130" s="62" t="str">
        <f t="shared" si="3"/>
        <v>0.000000000030</v>
      </c>
      <c r="J130" s="63">
        <f t="shared" si="4"/>
        <v>0</v>
      </c>
      <c r="K130" s="62" t="b">
        <f t="shared" si="5"/>
        <v>0</v>
      </c>
      <c r="L130" s="62" t="b">
        <f t="shared" si="6"/>
        <v>0</v>
      </c>
      <c r="M130" s="60" t="str">
        <f>IFERROR(__xludf.DUMMYFUNCTION("if(regexmatch(B130,""e(.*)$""),regexextract(B130,""e(.*)$""),"""")"),"")</f>
        <v/>
      </c>
    </row>
    <row r="131">
      <c r="A131" s="17" t="s">
        <v>1990</v>
      </c>
      <c r="B131" s="17" t="s">
        <v>1538</v>
      </c>
      <c r="C131" s="17" t="s">
        <v>1539</v>
      </c>
      <c r="D131" s="17" t="s">
        <v>173</v>
      </c>
      <c r="E131" s="60" t="str">
        <f>VLOOKUP($A131,nist_names_ids!A:B,2,false)</f>
        <v>hr</v>
      </c>
      <c r="F131" s="61">
        <f>countif(Constants!A:A,E131)</f>
        <v>1</v>
      </c>
      <c r="G131" s="62" t="str">
        <f t="shared" si="1"/>
        <v>4.3597447222060e-18</v>
      </c>
      <c r="H131" s="62">
        <f t="shared" si="2"/>
        <v>0</v>
      </c>
      <c r="I131" s="62" t="str">
        <f t="shared" si="3"/>
        <v>0.0000000000048e-18</v>
      </c>
      <c r="J131" s="63">
        <f t="shared" si="4"/>
        <v>0</v>
      </c>
      <c r="K131" s="62" t="b">
        <f t="shared" si="5"/>
        <v>0</v>
      </c>
      <c r="L131" s="62" t="b">
        <f t="shared" si="6"/>
        <v>0</v>
      </c>
      <c r="M131" s="60" t="str">
        <f>IFERROR(__xludf.DUMMYFUNCTION("if(regexmatch(B131,""e(.*)$""),regexextract(B131,""e(.*)$""),"""")"),"-18")</f>
        <v>-18</v>
      </c>
    </row>
    <row r="132">
      <c r="A132" s="17" t="s">
        <v>1993</v>
      </c>
      <c r="B132" s="17" t="s">
        <v>1534</v>
      </c>
      <c r="C132" s="17" t="s">
        <v>1535</v>
      </c>
      <c r="D132" s="17" t="s">
        <v>181</v>
      </c>
      <c r="E132" s="60" t="str">
        <f>VLOOKUP($A132,nist_names_ids!A:B,2,false)</f>
        <v>threv</v>
      </c>
      <c r="F132" s="61">
        <f>countif(Constants!A:A,E132)</f>
        <v>1</v>
      </c>
      <c r="G132" s="62" t="str">
        <f t="shared" si="1"/>
        <v>27.211386245981</v>
      </c>
      <c r="H132" s="62">
        <f t="shared" si="2"/>
        <v>27.21138625</v>
      </c>
      <c r="I132" s="62" t="str">
        <f t="shared" si="3"/>
        <v>0.000000000030</v>
      </c>
      <c r="J132" s="63">
        <f t="shared" si="4"/>
        <v>0</v>
      </c>
      <c r="K132" s="62" t="b">
        <f t="shared" si="5"/>
        <v>0</v>
      </c>
      <c r="L132" s="62" t="b">
        <f t="shared" si="6"/>
        <v>0</v>
      </c>
      <c r="M132" s="60" t="str">
        <f>IFERROR(__xludf.DUMMYFUNCTION("if(regexmatch(B132,""e(.*)$""),regexextract(B132,""e(.*)$""),"""")"),"")</f>
        <v/>
      </c>
    </row>
    <row r="133">
      <c r="A133" s="17" t="s">
        <v>1997</v>
      </c>
      <c r="B133" s="17" t="s">
        <v>1998</v>
      </c>
      <c r="C133" s="17" t="s">
        <v>1999</v>
      </c>
      <c r="D133" s="17" t="s">
        <v>257</v>
      </c>
      <c r="E133" s="60" t="str">
        <f>VLOOKUP($A133,nist_names_ids!A:B,2,false)</f>
        <v>hrhz</v>
      </c>
      <c r="F133" s="61">
        <f>countif(Constants!A:A,E133)</f>
        <v>1</v>
      </c>
      <c r="G133" s="62" t="str">
        <f t="shared" si="1"/>
        <v>6.5796839204999e15</v>
      </c>
      <c r="H133" s="62">
        <f t="shared" si="2"/>
        <v>6.57968E+15</v>
      </c>
      <c r="I133" s="62" t="str">
        <f t="shared" si="3"/>
        <v>0.0000000000072e15</v>
      </c>
      <c r="J133" s="63">
        <f t="shared" si="4"/>
        <v>7200</v>
      </c>
      <c r="K133" s="62" t="b">
        <f t="shared" si="5"/>
        <v>0</v>
      </c>
      <c r="L133" s="62" t="b">
        <f t="shared" si="6"/>
        <v>0</v>
      </c>
      <c r="M133" s="60" t="str">
        <f>IFERROR(__xludf.DUMMYFUNCTION("if(regexmatch(B133,""e(.*)$""),regexextract(B133,""e(.*)$""),"""")"),"15")</f>
        <v>15</v>
      </c>
    </row>
    <row r="134">
      <c r="A134" s="17" t="s">
        <v>2000</v>
      </c>
      <c r="B134" s="17" t="s">
        <v>2001</v>
      </c>
      <c r="C134" s="17" t="s">
        <v>2002</v>
      </c>
      <c r="D134" s="17" t="s">
        <v>561</v>
      </c>
      <c r="E134" s="60" t="str">
        <f>VLOOKUP($A134,nist_names_ids!A:B,2,false)</f>
        <v>hrminv</v>
      </c>
      <c r="F134" s="61">
        <f>countif(Constants!A:A,E134)</f>
        <v>1</v>
      </c>
      <c r="G134" s="62" t="str">
        <f t="shared" si="1"/>
        <v>2.1947463136314e7</v>
      </c>
      <c r="H134" s="62">
        <f t="shared" si="2"/>
        <v>21947463.14</v>
      </c>
      <c r="I134" s="62" t="str">
        <f t="shared" si="3"/>
        <v>0.0000000000024e7</v>
      </c>
      <c r="J134" s="63">
        <f t="shared" si="4"/>
        <v>0.000024</v>
      </c>
      <c r="K134" s="62" t="b">
        <f t="shared" si="5"/>
        <v>0</v>
      </c>
      <c r="L134" s="62" t="b">
        <f t="shared" si="6"/>
        <v>0</v>
      </c>
      <c r="M134" s="60" t="str">
        <f>IFERROR(__xludf.DUMMYFUNCTION("if(regexmatch(B134,""e(.*)$""),regexextract(B134,""e(.*)$""),"""")"),"7")</f>
        <v>7</v>
      </c>
    </row>
    <row r="135">
      <c r="A135" s="17" t="s">
        <v>2004</v>
      </c>
      <c r="B135" s="17" t="s">
        <v>1538</v>
      </c>
      <c r="C135" s="17" t="s">
        <v>1539</v>
      </c>
      <c r="D135" s="17" t="s">
        <v>173</v>
      </c>
      <c r="E135" s="60" t="str">
        <f>VLOOKUP($A135,nist_names_ids!A:B,2,false)</f>
        <v>hrj</v>
      </c>
      <c r="F135" s="61">
        <f>countif(Constants!A:A,E135)</f>
        <v>1</v>
      </c>
      <c r="G135" s="62" t="str">
        <f t="shared" si="1"/>
        <v>4.3597447222060e-18</v>
      </c>
      <c r="H135" s="62">
        <f t="shared" si="2"/>
        <v>0</v>
      </c>
      <c r="I135" s="62" t="str">
        <f t="shared" si="3"/>
        <v>0.0000000000048e-18</v>
      </c>
      <c r="J135" s="63">
        <f t="shared" si="4"/>
        <v>0</v>
      </c>
      <c r="K135" s="62" t="b">
        <f t="shared" si="5"/>
        <v>0</v>
      </c>
      <c r="L135" s="62" t="b">
        <f t="shared" si="6"/>
        <v>0</v>
      </c>
      <c r="M135" s="60" t="str">
        <f>IFERROR(__xludf.DUMMYFUNCTION("if(regexmatch(B135,""e(.*)$""),regexextract(B135,""e(.*)$""),"""")"),"-18")</f>
        <v>-18</v>
      </c>
    </row>
    <row r="136">
      <c r="A136" s="17" t="s">
        <v>2009</v>
      </c>
      <c r="B136" s="17" t="s">
        <v>2010</v>
      </c>
      <c r="C136" s="17" t="s">
        <v>2011</v>
      </c>
      <c r="D136" s="17" t="s">
        <v>345</v>
      </c>
      <c r="E136" s="60" t="str">
        <f>VLOOKUP($A136,nist_names_ids!A:B,2,false)</f>
        <v>hrk</v>
      </c>
      <c r="F136" s="61">
        <f>countif(Constants!A:A,E136)</f>
        <v>1</v>
      </c>
      <c r="G136" s="62" t="str">
        <f t="shared" si="1"/>
        <v>3.1577502480398e5</v>
      </c>
      <c r="H136" s="62">
        <f t="shared" si="2"/>
        <v>315775.0248</v>
      </c>
      <c r="I136" s="62" t="str">
        <f t="shared" si="3"/>
        <v>0.0000000000034e5</v>
      </c>
      <c r="J136" s="63">
        <f t="shared" si="4"/>
        <v>0.00000034</v>
      </c>
      <c r="K136" s="62" t="b">
        <f t="shared" si="5"/>
        <v>0</v>
      </c>
      <c r="L136" s="62" t="b">
        <f t="shared" si="6"/>
        <v>0</v>
      </c>
      <c r="M136" s="60" t="str">
        <f>IFERROR(__xludf.DUMMYFUNCTION("if(regexmatch(B136,""e(.*)$""),regexextract(B136,""e(.*)$""),"""")"),"5")</f>
        <v>5</v>
      </c>
    </row>
    <row r="137">
      <c r="A137" s="17" t="s">
        <v>2013</v>
      </c>
      <c r="B137" s="17" t="s">
        <v>2014</v>
      </c>
      <c r="C137" s="17" t="s">
        <v>2015</v>
      </c>
      <c r="D137" s="17" t="s">
        <v>98</v>
      </c>
      <c r="E137" s="60" t="str">
        <f>VLOOKUP($A137,nist_names_ids!A:B,2,false)</f>
        <v>hrkg</v>
      </c>
      <c r="F137" s="61">
        <f>countif(Constants!A:A,E137)</f>
        <v>1</v>
      </c>
      <c r="G137" s="62" t="str">
        <f t="shared" si="1"/>
        <v>4.8508702095419e-35</v>
      </c>
      <c r="H137" s="62">
        <f t="shared" si="2"/>
        <v>0</v>
      </c>
      <c r="I137" s="62" t="str">
        <f t="shared" si="3"/>
        <v>0.0000000000053e-35</v>
      </c>
      <c r="J137" s="63">
        <f t="shared" si="4"/>
        <v>0</v>
      </c>
      <c r="K137" s="62" t="b">
        <f t="shared" si="5"/>
        <v>0</v>
      </c>
      <c r="L137" s="62" t="b">
        <f t="shared" si="6"/>
        <v>0</v>
      </c>
      <c r="M137" s="60" t="str">
        <f>IFERROR(__xludf.DUMMYFUNCTION("if(regexmatch(B137,""e(.*)$""),regexextract(B137,""e(.*)$""),"""")"),"-35")</f>
        <v>-35</v>
      </c>
    </row>
    <row r="138">
      <c r="A138" s="17" t="s">
        <v>2018</v>
      </c>
      <c r="B138" s="17" t="s">
        <v>2019</v>
      </c>
      <c r="C138" s="17" t="s">
        <v>2020</v>
      </c>
      <c r="E138" s="60" t="str">
        <f>VLOOKUP($A138,nist_names_ids!A:B,2,false)</f>
        <v>mhsme</v>
      </c>
      <c r="F138" s="61">
        <f>countif(Constants!A:A,E138)</f>
        <v>1</v>
      </c>
      <c r="G138" s="62" t="str">
        <f t="shared" si="1"/>
        <v>5495.88527984</v>
      </c>
      <c r="H138" s="62">
        <f t="shared" si="2"/>
        <v>5495.88528</v>
      </c>
      <c r="I138" s="62" t="str">
        <f t="shared" si="3"/>
        <v>0.00000016</v>
      </c>
      <c r="J138" s="63">
        <f t="shared" si="4"/>
        <v>0.00000016</v>
      </c>
      <c r="K138" s="62" t="b">
        <f t="shared" si="5"/>
        <v>0</v>
      </c>
      <c r="L138" s="62" t="b">
        <f t="shared" si="6"/>
        <v>0</v>
      </c>
      <c r="M138" s="60" t="str">
        <f>IFERROR(__xludf.DUMMYFUNCTION("if(regexmatch(B138,""e(.*)$""),regexextract(B138,""e(.*)$""),"""")"),"")</f>
        <v/>
      </c>
    </row>
    <row r="139">
      <c r="A139" s="17" t="s">
        <v>2024</v>
      </c>
      <c r="B139" s="17" t="s">
        <v>2025</v>
      </c>
      <c r="C139" s="17" t="s">
        <v>2026</v>
      </c>
      <c r="E139" s="60" t="str">
        <f>VLOOKUP($A139,nist_names_ids!A:B,2,false)</f>
        <v>ghn</v>
      </c>
      <c r="F139" s="61">
        <f>countif(Constants!A:A,E139)</f>
        <v>1</v>
      </c>
      <c r="G139" s="62" t="str">
        <f t="shared" si="1"/>
        <v>-4.2552506995</v>
      </c>
      <c r="H139" s="62">
        <f t="shared" si="2"/>
        <v>-4.2552507</v>
      </c>
      <c r="I139" s="62" t="str">
        <f t="shared" si="3"/>
        <v>0.0000000034</v>
      </c>
      <c r="J139" s="63">
        <f t="shared" si="4"/>
        <v>0.0000000034</v>
      </c>
      <c r="K139" s="62" t="b">
        <f t="shared" si="5"/>
        <v>0</v>
      </c>
      <c r="L139" s="62" t="b">
        <f t="shared" si="6"/>
        <v>0</v>
      </c>
      <c r="M139" s="60" t="str">
        <f>IFERROR(__xludf.DUMMYFUNCTION("if(regexmatch(B139,""e(.*)$""),regexextract(B139,""e(.*)$""),"""")"),"")</f>
        <v/>
      </c>
    </row>
    <row r="140">
      <c r="A140" s="17" t="s">
        <v>2036</v>
      </c>
      <c r="B140" s="17" t="s">
        <v>2037</v>
      </c>
      <c r="C140" s="17" t="s">
        <v>2039</v>
      </c>
      <c r="D140" s="17" t="s">
        <v>964</v>
      </c>
      <c r="E140" s="60" t="str">
        <f>VLOOKUP($A140,nist_names_ids!A:B,2,false)</f>
        <v>muh</v>
      </c>
      <c r="F140" s="61">
        <f>countif(Constants!A:A,E140)</f>
        <v>1</v>
      </c>
      <c r="G140" s="62" t="str">
        <f t="shared" si="1"/>
        <v>-1.07461755198e-26</v>
      </c>
      <c r="H140" s="62">
        <f t="shared" si="2"/>
        <v>0</v>
      </c>
      <c r="I140" s="62" t="str">
        <f t="shared" si="3"/>
        <v>0.00000000093e-26</v>
      </c>
      <c r="J140" s="63">
        <f t="shared" si="4"/>
        <v>0</v>
      </c>
      <c r="K140" s="62" t="b">
        <f t="shared" si="5"/>
        <v>0</v>
      </c>
      <c r="L140" s="62" t="b">
        <f t="shared" si="6"/>
        <v>0</v>
      </c>
      <c r="M140" s="60" t="str">
        <f>IFERROR(__xludf.DUMMYFUNCTION("if(regexmatch(B140,""e(.*)$""),regexextract(B140,""e(.*)$""),"""")"),"-26")</f>
        <v>-26</v>
      </c>
    </row>
    <row r="141">
      <c r="A141" s="17" t="s">
        <v>2042</v>
      </c>
      <c r="B141" s="17" t="s">
        <v>2043</v>
      </c>
      <c r="C141" s="17" t="s">
        <v>2044</v>
      </c>
      <c r="E141" s="60" t="str">
        <f>VLOOKUP($A141,nist_names_ids!A:B,2,false)</f>
        <v>muhsmub</v>
      </c>
      <c r="F141" s="61">
        <f>countif(Constants!A:A,E141)</f>
        <v>1</v>
      </c>
      <c r="G141" s="62" t="str">
        <f t="shared" si="1"/>
        <v>-1.15874098083e-3</v>
      </c>
      <c r="H141" s="62">
        <f t="shared" si="2"/>
        <v>-0.001158740981</v>
      </c>
      <c r="I141" s="62" t="str">
        <f t="shared" si="3"/>
        <v>0.00000000094e-3</v>
      </c>
      <c r="J141" s="63">
        <f t="shared" si="4"/>
        <v>0</v>
      </c>
      <c r="K141" s="62" t="b">
        <f t="shared" si="5"/>
        <v>0</v>
      </c>
      <c r="L141" s="62" t="b">
        <f t="shared" si="6"/>
        <v>0</v>
      </c>
      <c r="M141" s="60" t="str">
        <f>IFERROR(__xludf.DUMMYFUNCTION("if(regexmatch(B141,""e(.*)$""),regexextract(B141,""e(.*)$""),"""")"),"-3")</f>
        <v>-3</v>
      </c>
    </row>
    <row r="142">
      <c r="A142" s="17" t="s">
        <v>2045</v>
      </c>
      <c r="B142" s="17" t="s">
        <v>2046</v>
      </c>
      <c r="C142" s="17" t="s">
        <v>2047</v>
      </c>
      <c r="E142" s="60" t="str">
        <f>VLOOKUP($A142,nist_names_ids!A:B,2,false)</f>
        <v>muhsmun</v>
      </c>
      <c r="F142" s="61">
        <f>countif(Constants!A:A,E142)</f>
        <v>1</v>
      </c>
      <c r="G142" s="62" t="str">
        <f t="shared" si="1"/>
        <v>-2.1276253498</v>
      </c>
      <c r="H142" s="62">
        <f t="shared" si="2"/>
        <v>-2.12762535</v>
      </c>
      <c r="I142" s="62" t="str">
        <f t="shared" si="3"/>
        <v>0.0000000017</v>
      </c>
      <c r="J142" s="63">
        <f t="shared" si="4"/>
        <v>0.0000000017</v>
      </c>
      <c r="K142" s="62" t="b">
        <f t="shared" si="5"/>
        <v>0</v>
      </c>
      <c r="L142" s="62" t="b">
        <f t="shared" si="6"/>
        <v>0</v>
      </c>
      <c r="M142" s="60" t="str">
        <f>IFERROR(__xludf.DUMMYFUNCTION("if(regexmatch(B142,""e(.*)$""),regexextract(B142,""e(.*)$""),"""")"),"")</f>
        <v/>
      </c>
    </row>
    <row r="143">
      <c r="A143" s="17" t="s">
        <v>2052</v>
      </c>
      <c r="B143" s="17" t="s">
        <v>2053</v>
      </c>
      <c r="C143" s="17" t="s">
        <v>2054</v>
      </c>
      <c r="D143" s="17" t="s">
        <v>98</v>
      </c>
      <c r="E143" s="60" t="str">
        <f>VLOOKUP($A143,nist_names_ids!A:B,2,false)</f>
        <v>mh</v>
      </c>
      <c r="F143" s="61">
        <f>countif(Constants!A:A,E143)</f>
        <v>1</v>
      </c>
      <c r="G143" s="62" t="str">
        <f t="shared" si="1"/>
        <v>5.0064127862e-27</v>
      </c>
      <c r="H143" s="62">
        <f t="shared" si="2"/>
        <v>0</v>
      </c>
      <c r="I143" s="62" t="str">
        <f t="shared" si="3"/>
        <v>0.0000000016e-27</v>
      </c>
      <c r="J143" s="63">
        <f t="shared" si="4"/>
        <v>0</v>
      </c>
      <c r="K143" s="62" t="b">
        <f t="shared" si="5"/>
        <v>0</v>
      </c>
      <c r="L143" s="62" t="b">
        <f t="shared" si="6"/>
        <v>0</v>
      </c>
      <c r="M143" s="60" t="str">
        <f>IFERROR(__xludf.DUMMYFUNCTION("if(regexmatch(B143,""e(.*)$""),regexextract(B143,""e(.*)$""),"""")"),"-27")</f>
        <v>-27</v>
      </c>
    </row>
    <row r="144">
      <c r="A144" s="17" t="s">
        <v>2056</v>
      </c>
      <c r="B144" s="17" t="s">
        <v>2057</v>
      </c>
      <c r="C144" s="17" t="s">
        <v>2058</v>
      </c>
      <c r="D144" s="17" t="s">
        <v>173</v>
      </c>
      <c r="E144" s="60" t="str">
        <f>VLOOKUP($A144,nist_names_ids!A:B,2,false)</f>
        <v>mhc2</v>
      </c>
      <c r="F144" s="61">
        <f>countif(Constants!A:A,E144)</f>
        <v>1</v>
      </c>
      <c r="G144" s="62" t="str">
        <f t="shared" si="1"/>
        <v>4.4995394185e-10</v>
      </c>
      <c r="H144" s="62">
        <f t="shared" si="2"/>
        <v>0.0000000004499539419</v>
      </c>
      <c r="I144" s="62" t="str">
        <f t="shared" si="3"/>
        <v>0.0000000014e-10</v>
      </c>
      <c r="J144" s="63">
        <f t="shared" si="4"/>
        <v>0</v>
      </c>
      <c r="K144" s="62" t="b">
        <f t="shared" si="5"/>
        <v>0</v>
      </c>
      <c r="L144" s="62" t="b">
        <f t="shared" si="6"/>
        <v>0</v>
      </c>
      <c r="M144" s="60" t="str">
        <f>IFERROR(__xludf.DUMMYFUNCTION("if(regexmatch(B144,""e(.*)$""),regexextract(B144,""e(.*)$""),"""")"),"-10")</f>
        <v>-10</v>
      </c>
    </row>
    <row r="145">
      <c r="A145" s="17" t="s">
        <v>2063</v>
      </c>
      <c r="B145" s="17" t="s">
        <v>2064</v>
      </c>
      <c r="C145" s="17" t="s">
        <v>2065</v>
      </c>
      <c r="D145" s="17" t="s">
        <v>224</v>
      </c>
      <c r="E145" s="60" t="str">
        <f>VLOOKUP($A145,nist_names_ids!A:B,2,false)</f>
        <v>mhc2mev</v>
      </c>
      <c r="F145" s="61">
        <f>countif(Constants!A:A,E145)</f>
        <v>1</v>
      </c>
      <c r="G145" s="62" t="str">
        <f t="shared" si="1"/>
        <v>2808.39161112</v>
      </c>
      <c r="H145" s="62">
        <f t="shared" si="2"/>
        <v>2808.391611</v>
      </c>
      <c r="I145" s="62" t="str">
        <f t="shared" si="3"/>
        <v>0.00000088</v>
      </c>
      <c r="J145" s="63">
        <f t="shared" si="4"/>
        <v>0.00000088</v>
      </c>
      <c r="K145" s="62" t="b">
        <f t="shared" si="5"/>
        <v>0</v>
      </c>
      <c r="L145" s="62" t="b">
        <f t="shared" si="6"/>
        <v>0</v>
      </c>
      <c r="M145" s="60" t="str">
        <f>IFERROR(__xludf.DUMMYFUNCTION("if(regexmatch(B145,""e(.*)$""),regexextract(B145,""e(.*)$""),"""")"),"")</f>
        <v/>
      </c>
    </row>
    <row r="146">
      <c r="A146" s="17" t="s">
        <v>2067</v>
      </c>
      <c r="B146" s="17" t="s">
        <v>2068</v>
      </c>
      <c r="C146" s="17" t="s">
        <v>2069</v>
      </c>
      <c r="D146" s="17" t="s">
        <v>249</v>
      </c>
      <c r="E146" s="60" t="str">
        <f>VLOOKUP($A146,nist_names_ids!A:B,2,false)</f>
        <v>mhu</v>
      </c>
      <c r="F146" s="61">
        <f>countif(Constants!A:A,E146)</f>
        <v>1</v>
      </c>
      <c r="G146" s="62" t="str">
        <f t="shared" si="1"/>
        <v>3.014932246932</v>
      </c>
      <c r="H146" s="62">
        <f t="shared" si="2"/>
        <v>3.014932247</v>
      </c>
      <c r="I146" s="62" t="str">
        <f t="shared" si="3"/>
        <v>0.000000000074</v>
      </c>
      <c r="J146" s="63">
        <f t="shared" si="4"/>
        <v>0</v>
      </c>
      <c r="K146" s="62" t="b">
        <f t="shared" si="5"/>
        <v>0</v>
      </c>
      <c r="L146" s="62" t="b">
        <f t="shared" si="6"/>
        <v>0</v>
      </c>
      <c r="M146" s="60" t="str">
        <f>IFERROR(__xludf.DUMMYFUNCTION("if(regexmatch(B146,""e(.*)$""),regexextract(B146,""e(.*)$""),"""")"),"")</f>
        <v/>
      </c>
    </row>
    <row r="147">
      <c r="A147" s="17" t="s">
        <v>2070</v>
      </c>
      <c r="B147" s="17" t="s">
        <v>2071</v>
      </c>
      <c r="C147" s="17" t="s">
        <v>2044</v>
      </c>
      <c r="D147" s="17" t="s">
        <v>286</v>
      </c>
      <c r="E147" s="60" t="str">
        <f>VLOOKUP($A147,nist_names_ids!A:B,2,false)</f>
        <v>mmh</v>
      </c>
      <c r="F147" s="61">
        <f>countif(Constants!A:A,E147)</f>
        <v>1</v>
      </c>
      <c r="G147" s="62" t="str">
        <f t="shared" si="1"/>
        <v>3.01493225010e-3</v>
      </c>
      <c r="H147" s="62">
        <f t="shared" si="2"/>
        <v>0.00301493225</v>
      </c>
      <c r="I147" s="62" t="str">
        <f t="shared" si="3"/>
        <v>0.00000000094e-3</v>
      </c>
      <c r="J147" s="63">
        <f t="shared" si="4"/>
        <v>0</v>
      </c>
      <c r="K147" s="62" t="b">
        <f t="shared" si="5"/>
        <v>0</v>
      </c>
      <c r="L147" s="62" t="b">
        <f t="shared" si="6"/>
        <v>0</v>
      </c>
      <c r="M147" s="60" t="str">
        <f>IFERROR(__xludf.DUMMYFUNCTION("if(regexmatch(B147,""e(.*)$""),regexextract(B147,""e(.*)$""),"""")"),"-3")</f>
        <v>-3</v>
      </c>
    </row>
    <row r="148">
      <c r="A148" s="17" t="s">
        <v>2073</v>
      </c>
      <c r="B148" s="17" t="s">
        <v>2074</v>
      </c>
      <c r="C148" s="17" t="s">
        <v>1442</v>
      </c>
      <c r="E148" s="60" t="str">
        <f>VLOOKUP($A148,nist_names_ids!A:B,2,false)</f>
        <v>mhsmp</v>
      </c>
      <c r="F148" s="61">
        <f>countif(Constants!A:A,E148)</f>
        <v>1</v>
      </c>
      <c r="G148" s="62" t="str">
        <f t="shared" si="1"/>
        <v>2.993152671552</v>
      </c>
      <c r="H148" s="62">
        <f t="shared" si="2"/>
        <v>2.993152672</v>
      </c>
      <c r="I148" s="62" t="str">
        <f t="shared" si="3"/>
        <v>0.000000000070</v>
      </c>
      <c r="J148" s="63">
        <f t="shared" si="4"/>
        <v>0</v>
      </c>
      <c r="K148" s="62" t="b">
        <f t="shared" si="5"/>
        <v>0</v>
      </c>
      <c r="L148" s="62" t="b">
        <f t="shared" si="6"/>
        <v>0</v>
      </c>
      <c r="M148" s="60" t="str">
        <f>IFERROR(__xludf.DUMMYFUNCTION("if(regexmatch(B148,""e(.*)$""),regexextract(B148,""e(.*)$""),"""")"),"")</f>
        <v/>
      </c>
    </row>
    <row r="149">
      <c r="A149" s="17" t="s">
        <v>2079</v>
      </c>
      <c r="B149" s="17" t="s">
        <v>2068</v>
      </c>
      <c r="C149" s="17" t="s">
        <v>2069</v>
      </c>
      <c r="E149" s="60" t="str">
        <f>VLOOKUP($A149,nist_names_ids!A:B,2,false)</f>
        <v>arh</v>
      </c>
      <c r="F149" s="61">
        <f>countif(Constants!A:A,E149)</f>
        <v>1</v>
      </c>
      <c r="G149" s="62" t="str">
        <f t="shared" si="1"/>
        <v>3.014932246932</v>
      </c>
      <c r="H149" s="62">
        <f t="shared" si="2"/>
        <v>3.014932247</v>
      </c>
      <c r="I149" s="62" t="str">
        <f t="shared" si="3"/>
        <v>0.000000000074</v>
      </c>
      <c r="J149" s="63">
        <f t="shared" si="4"/>
        <v>0</v>
      </c>
      <c r="K149" s="62" t="b">
        <f t="shared" si="5"/>
        <v>0</v>
      </c>
      <c r="L149" s="62" t="b">
        <f t="shared" si="6"/>
        <v>0</v>
      </c>
      <c r="M149" s="60" t="str">
        <f>IFERROR(__xludf.DUMMYFUNCTION("if(regexmatch(B149,""e(.*)$""),regexextract(B149,""e(.*)$""),"""")"),"")</f>
        <v/>
      </c>
    </row>
    <row r="150">
      <c r="A150" s="17" t="s">
        <v>2086</v>
      </c>
      <c r="B150" s="17" t="s">
        <v>2087</v>
      </c>
      <c r="C150" s="17" t="s">
        <v>2088</v>
      </c>
      <c r="E150" s="60" t="str">
        <f>VLOOKUP($A150,nist_names_ids!A:B,2,false)</f>
        <v>sigmah</v>
      </c>
      <c r="F150" s="61">
        <f>countif(Constants!A:A,E150)</f>
        <v>1</v>
      </c>
      <c r="G150" s="62" t="str">
        <f t="shared" si="1"/>
        <v>5.9967029e-5</v>
      </c>
      <c r="H150" s="62">
        <f t="shared" si="2"/>
        <v>0.000059967029</v>
      </c>
      <c r="I150" s="62" t="str">
        <f t="shared" si="3"/>
        <v>0.0000023e-5</v>
      </c>
      <c r="J150" s="63">
        <f t="shared" si="4"/>
        <v>0</v>
      </c>
      <c r="K150" s="62" t="b">
        <f t="shared" si="5"/>
        <v>0</v>
      </c>
      <c r="L150" s="62" t="b">
        <f t="shared" si="6"/>
        <v>0</v>
      </c>
      <c r="M150" s="60" t="str">
        <f>IFERROR(__xludf.DUMMYFUNCTION("if(regexmatch(B150,""e(.*)$""),regexextract(B150,""e(.*)$""),"""")"),"-5")</f>
        <v>-5</v>
      </c>
    </row>
    <row r="151">
      <c r="A151" s="17" t="s">
        <v>2093</v>
      </c>
      <c r="B151" s="17" t="s">
        <v>2094</v>
      </c>
      <c r="C151" s="17" t="s">
        <v>2095</v>
      </c>
      <c r="D151" s="17" t="s">
        <v>249</v>
      </c>
      <c r="E151" s="60" t="str">
        <f>VLOOKUP($A151,nist_names_ids!A:B,2,false)</f>
        <v>hzu</v>
      </c>
      <c r="F151" s="61">
        <f>countif(Constants!A:A,E151)</f>
        <v>1</v>
      </c>
      <c r="G151" s="62" t="str">
        <f t="shared" si="1"/>
        <v>4.4398216590e-24</v>
      </c>
      <c r="H151" s="62">
        <f t="shared" si="2"/>
        <v>0</v>
      </c>
      <c r="I151" s="62" t="str">
        <f t="shared" si="3"/>
        <v>0.0000000014e-24</v>
      </c>
      <c r="J151" s="63">
        <f t="shared" si="4"/>
        <v>0</v>
      </c>
      <c r="K151" s="62" t="b">
        <f t="shared" si="5"/>
        <v>0</v>
      </c>
      <c r="L151" s="62" t="b">
        <f t="shared" si="6"/>
        <v>0</v>
      </c>
      <c r="M151" s="60" t="str">
        <f>IFERROR(__xludf.DUMMYFUNCTION("if(regexmatch(B151,""e(.*)$""),regexextract(B151,""e(.*)$""),"""")"),"-24")</f>
        <v>-24</v>
      </c>
    </row>
    <row r="152">
      <c r="A152" s="17" t="s">
        <v>2099</v>
      </c>
      <c r="B152" s="17" t="s">
        <v>2100</v>
      </c>
      <c r="C152" s="17" t="s">
        <v>1501</v>
      </c>
      <c r="D152" s="17" t="s">
        <v>181</v>
      </c>
      <c r="E152" s="60" t="str">
        <f>VLOOKUP($A152,nist_names_ids!A:B,2,false)</f>
        <v>hzev</v>
      </c>
      <c r="F152" s="61">
        <f>countif(Constants!A:A,E152)</f>
        <v>1</v>
      </c>
      <c r="G152" s="62" t="str">
        <f t="shared" si="1"/>
        <v>4.135667696e-15</v>
      </c>
      <c r="H152" s="62">
        <f t="shared" si="2"/>
        <v>0</v>
      </c>
      <c r="I152" s="62" t="str">
        <f t="shared" si="3"/>
        <v>(exact)</v>
      </c>
      <c r="J152" s="63" t="str">
        <f t="shared" si="4"/>
        <v/>
      </c>
      <c r="K152" s="62" t="b">
        <f t="shared" si="5"/>
        <v>1</v>
      </c>
      <c r="L152" s="62" t="b">
        <f t="shared" si="6"/>
        <v>0</v>
      </c>
      <c r="M152" s="60" t="str">
        <f>IFERROR(__xludf.DUMMYFUNCTION("if(regexmatch(B152,""e(.*)$""),regexextract(B152,""e(.*)$""),"""")"),"-15")</f>
        <v>-15</v>
      </c>
    </row>
    <row r="153">
      <c r="A153" s="17" t="s">
        <v>2103</v>
      </c>
      <c r="B153" s="17" t="s">
        <v>2104</v>
      </c>
      <c r="C153" s="17" t="s">
        <v>2105</v>
      </c>
      <c r="D153" s="17" t="s">
        <v>170</v>
      </c>
      <c r="E153" s="60" t="str">
        <f>VLOOKUP($A153,nist_names_ids!A:B,2,false)</f>
        <v>hzhr</v>
      </c>
      <c r="F153" s="61">
        <f>countif(Constants!A:A,E153)</f>
        <v>1</v>
      </c>
      <c r="G153" s="62" t="str">
        <f t="shared" si="1"/>
        <v>1.5198298460574e-16</v>
      </c>
      <c r="H153" s="62">
        <f t="shared" si="2"/>
        <v>0</v>
      </c>
      <c r="I153" s="62" t="str">
        <f t="shared" si="3"/>
        <v>0.0000000000017e-16</v>
      </c>
      <c r="J153" s="63">
        <f t="shared" si="4"/>
        <v>0</v>
      </c>
      <c r="K153" s="62" t="b">
        <f t="shared" si="5"/>
        <v>0</v>
      </c>
      <c r="L153" s="62" t="b">
        <f t="shared" si="6"/>
        <v>0</v>
      </c>
      <c r="M153" s="60" t="str">
        <f>IFERROR(__xludf.DUMMYFUNCTION("if(regexmatch(B153,""e(.*)$""),regexextract(B153,""e(.*)$""),"""")"),"-16")</f>
        <v>-16</v>
      </c>
    </row>
    <row r="154">
      <c r="A154" s="17" t="s">
        <v>2108</v>
      </c>
      <c r="B154" s="17" t="s">
        <v>2109</v>
      </c>
      <c r="C154" s="17" t="s">
        <v>1501</v>
      </c>
      <c r="D154" s="17" t="s">
        <v>561</v>
      </c>
      <c r="E154" s="60" t="str">
        <f>VLOOKUP($A154,nist_names_ids!A:B,2,false)</f>
        <v>hzminv</v>
      </c>
      <c r="F154" s="61">
        <f>countif(Constants!A:A,E154)</f>
        <v>1</v>
      </c>
      <c r="G154" s="62" t="str">
        <f t="shared" si="1"/>
        <v>3.335640951e-9</v>
      </c>
      <c r="H154" s="62">
        <f t="shared" si="2"/>
        <v>0.000000003335640951</v>
      </c>
      <c r="I154" s="62" t="str">
        <f t="shared" si="3"/>
        <v>(exact)</v>
      </c>
      <c r="J154" s="63" t="str">
        <f t="shared" si="4"/>
        <v/>
      </c>
      <c r="K154" s="62" t="b">
        <f t="shared" si="5"/>
        <v>1</v>
      </c>
      <c r="L154" s="62" t="b">
        <f t="shared" si="6"/>
        <v>0</v>
      </c>
      <c r="M154" s="60" t="str">
        <f>IFERROR(__xludf.DUMMYFUNCTION("if(regexmatch(B154,""e(.*)$""),regexextract(B154,""e(.*)$""),"""")"),"-9")</f>
        <v>-9</v>
      </c>
    </row>
    <row r="155">
      <c r="A155" s="17" t="s">
        <v>2110</v>
      </c>
      <c r="B155" s="17" t="s">
        <v>2111</v>
      </c>
      <c r="C155" s="17" t="s">
        <v>1501</v>
      </c>
      <c r="D155" s="17" t="s">
        <v>173</v>
      </c>
      <c r="E155" s="60" t="str">
        <f>VLOOKUP($A155,nist_names_ids!A:B,2,false)</f>
        <v>hzj</v>
      </c>
      <c r="F155" s="61">
        <f>countif(Constants!A:A,E155)</f>
        <v>1</v>
      </c>
      <c r="G155" s="62" t="str">
        <f t="shared" si="1"/>
        <v>6.62607015e-34</v>
      </c>
      <c r="H155" s="62">
        <f t="shared" si="2"/>
        <v>0</v>
      </c>
      <c r="I155" s="62" t="str">
        <f t="shared" si="3"/>
        <v>(exact)</v>
      </c>
      <c r="J155" s="63" t="str">
        <f t="shared" si="4"/>
        <v/>
      </c>
      <c r="K155" s="62" t="b">
        <f t="shared" si="5"/>
        <v>1</v>
      </c>
      <c r="L155" s="62" t="b">
        <f t="shared" si="6"/>
        <v>0</v>
      </c>
      <c r="M155" s="60" t="str">
        <f>IFERROR(__xludf.DUMMYFUNCTION("if(regexmatch(B155,""e(.*)$""),regexextract(B155,""e(.*)$""),"""")"),"-34")</f>
        <v>-34</v>
      </c>
    </row>
    <row r="156">
      <c r="A156" s="17" t="s">
        <v>2116</v>
      </c>
      <c r="B156" s="17" t="s">
        <v>2117</v>
      </c>
      <c r="C156" s="17" t="s">
        <v>1501</v>
      </c>
      <c r="D156" s="17" t="s">
        <v>345</v>
      </c>
      <c r="E156" s="60" t="str">
        <f>VLOOKUP($A156,nist_names_ids!A:B,2,false)</f>
        <v>hzk</v>
      </c>
      <c r="F156" s="61">
        <f>countif(Constants!A:A,E156)</f>
        <v>1</v>
      </c>
      <c r="G156" s="62" t="str">
        <f t="shared" si="1"/>
        <v>4.799243073e-11</v>
      </c>
      <c r="H156" s="62">
        <f t="shared" si="2"/>
        <v>0</v>
      </c>
      <c r="I156" s="62" t="str">
        <f t="shared" si="3"/>
        <v>(exact)</v>
      </c>
      <c r="J156" s="63" t="str">
        <f t="shared" si="4"/>
        <v/>
      </c>
      <c r="K156" s="62" t="b">
        <f t="shared" si="5"/>
        <v>1</v>
      </c>
      <c r="L156" s="62" t="b">
        <f t="shared" si="6"/>
        <v>0</v>
      </c>
      <c r="M156" s="60" t="str">
        <f>IFERROR(__xludf.DUMMYFUNCTION("if(regexmatch(B156,""e(.*)$""),regexextract(B156,""e(.*)$""),"""")"),"-11")</f>
        <v>-11</v>
      </c>
    </row>
    <row r="157">
      <c r="A157" s="17" t="s">
        <v>2119</v>
      </c>
      <c r="B157" s="17" t="s">
        <v>2120</v>
      </c>
      <c r="C157" s="17" t="s">
        <v>1501</v>
      </c>
      <c r="D157" s="17" t="s">
        <v>98</v>
      </c>
      <c r="E157" s="60" t="str">
        <f>VLOOKUP($A157,nist_names_ids!A:B,2,false)</f>
        <v>hzkg</v>
      </c>
      <c r="F157" s="61">
        <f>countif(Constants!A:A,E157)</f>
        <v>1</v>
      </c>
      <c r="G157" s="62" t="str">
        <f t="shared" si="1"/>
        <v>7.372497323e-51</v>
      </c>
      <c r="H157" s="62">
        <f t="shared" si="2"/>
        <v>0</v>
      </c>
      <c r="I157" s="62" t="str">
        <f t="shared" si="3"/>
        <v>(exact)</v>
      </c>
      <c r="J157" s="63" t="str">
        <f t="shared" si="4"/>
        <v/>
      </c>
      <c r="K157" s="62" t="b">
        <f t="shared" si="5"/>
        <v>1</v>
      </c>
      <c r="L157" s="62" t="b">
        <f t="shared" si="6"/>
        <v>0</v>
      </c>
      <c r="M157" s="60" t="str">
        <f>IFERROR(__xludf.DUMMYFUNCTION("if(regexmatch(B157,""e(.*)$""),regexextract(B157,""e(.*)$""),"""")"),"-51")</f>
        <v>-51</v>
      </c>
    </row>
    <row r="158">
      <c r="A158" s="17" t="s">
        <v>2121</v>
      </c>
      <c r="B158" s="17" t="s">
        <v>2122</v>
      </c>
      <c r="C158" s="17" t="s">
        <v>1501</v>
      </c>
      <c r="D158" s="17" t="s">
        <v>257</v>
      </c>
      <c r="E158" s="60" t="str">
        <f>VLOOKUP($A158,nist_names_ids!A:B,2,false)</f>
        <v>nucs</v>
      </c>
      <c r="F158" s="61">
        <f>countif(Constants!A:A,E158)</f>
        <v>1</v>
      </c>
      <c r="G158" s="62" t="str">
        <f t="shared" si="1"/>
        <v>9192631770</v>
      </c>
      <c r="H158" s="62">
        <f t="shared" si="2"/>
        <v>9192631770</v>
      </c>
      <c r="I158" s="62" t="str">
        <f t="shared" si="3"/>
        <v>(exact)</v>
      </c>
      <c r="J158" s="63" t="str">
        <f t="shared" si="4"/>
        <v/>
      </c>
      <c r="K158" s="62" t="b">
        <f t="shared" si="5"/>
        <v>1</v>
      </c>
      <c r="L158" s="62" t="b">
        <f t="shared" si="6"/>
        <v>0</v>
      </c>
      <c r="M158" s="60" t="str">
        <f>IFERROR(__xludf.DUMMYFUNCTION("if(regexmatch(B158,""e(.*)$""),regexextract(B158,""e(.*)$""),"""")"),"")</f>
        <v/>
      </c>
    </row>
    <row r="159">
      <c r="A159" s="17" t="s">
        <v>2126</v>
      </c>
      <c r="B159" s="17" t="s">
        <v>2127</v>
      </c>
      <c r="C159" s="17" t="s">
        <v>2128</v>
      </c>
      <c r="E159" s="60" t="str">
        <f>VLOOKUP($A159,nist_names_ids!A:B,2,false)</f>
        <v>alphinv</v>
      </c>
      <c r="F159" s="61">
        <f>countif(Constants!A:A,E159)</f>
        <v>1</v>
      </c>
      <c r="G159" s="62" t="str">
        <f t="shared" si="1"/>
        <v>137.035999177</v>
      </c>
      <c r="H159" s="62">
        <f t="shared" si="2"/>
        <v>137.0359992</v>
      </c>
      <c r="I159" s="62" t="str">
        <f t="shared" si="3"/>
        <v>0.000000021</v>
      </c>
      <c r="J159" s="63">
        <f t="shared" si="4"/>
        <v>0.000000021</v>
      </c>
      <c r="K159" s="62" t="b">
        <f t="shared" si="5"/>
        <v>0</v>
      </c>
      <c r="L159" s="62" t="b">
        <f t="shared" si="6"/>
        <v>0</v>
      </c>
      <c r="M159" s="60" t="str">
        <f>IFERROR(__xludf.DUMMYFUNCTION("if(regexmatch(B159,""e(.*)$""),regexextract(B159,""e(.*)$""),"""")"),"")</f>
        <v/>
      </c>
    </row>
    <row r="160">
      <c r="A160" s="17" t="s">
        <v>2130</v>
      </c>
      <c r="B160" s="17" t="s">
        <v>2131</v>
      </c>
      <c r="C160" s="17" t="s">
        <v>2132</v>
      </c>
      <c r="D160" s="17" t="s">
        <v>249</v>
      </c>
      <c r="E160" s="60" t="str">
        <f>VLOOKUP($A160,nist_names_ids!A:B,2,false)</f>
        <v>minvu</v>
      </c>
      <c r="F160" s="61">
        <f>countif(Constants!A:A,E160)</f>
        <v>1</v>
      </c>
      <c r="G160" s="62" t="str">
        <f t="shared" si="1"/>
        <v>1.33102504824e-15</v>
      </c>
      <c r="H160" s="62">
        <f t="shared" si="2"/>
        <v>0</v>
      </c>
      <c r="I160" s="62" t="str">
        <f t="shared" si="3"/>
        <v>0.00000000041e-15</v>
      </c>
      <c r="J160" s="63">
        <f t="shared" si="4"/>
        <v>0</v>
      </c>
      <c r="K160" s="62" t="b">
        <f t="shared" si="5"/>
        <v>0</v>
      </c>
      <c r="L160" s="62" t="b">
        <f t="shared" si="6"/>
        <v>0</v>
      </c>
      <c r="M160" s="60" t="str">
        <f>IFERROR(__xludf.DUMMYFUNCTION("if(regexmatch(B160,""e(.*)$""),regexextract(B160,""e(.*)$""),"""")"),"-15")</f>
        <v>-15</v>
      </c>
    </row>
    <row r="161">
      <c r="A161" s="17" t="s">
        <v>2134</v>
      </c>
      <c r="B161" s="17" t="s">
        <v>2135</v>
      </c>
      <c r="C161" s="17" t="s">
        <v>1501</v>
      </c>
      <c r="D161" s="17" t="s">
        <v>181</v>
      </c>
      <c r="E161" s="60" t="str">
        <f>VLOOKUP($A161,nist_names_ids!A:B,2,false)</f>
        <v>minvev</v>
      </c>
      <c r="F161" s="61">
        <f>countif(Constants!A:A,E161)</f>
        <v>1</v>
      </c>
      <c r="G161" s="62" t="str">
        <f t="shared" si="1"/>
        <v>1.239841984e-6</v>
      </c>
      <c r="H161" s="62">
        <f t="shared" si="2"/>
        <v>0.000001239841984</v>
      </c>
      <c r="I161" s="62" t="str">
        <f t="shared" si="3"/>
        <v>(exact)</v>
      </c>
      <c r="J161" s="63" t="str">
        <f t="shared" si="4"/>
        <v/>
      </c>
      <c r="K161" s="62" t="b">
        <f t="shared" si="5"/>
        <v>1</v>
      </c>
      <c r="L161" s="62" t="b">
        <f t="shared" si="6"/>
        <v>0</v>
      </c>
      <c r="M161" s="60" t="str">
        <f>IFERROR(__xludf.DUMMYFUNCTION("if(regexmatch(B161,""e(.*)$""),regexextract(B161,""e(.*)$""),"""")"),"-6")</f>
        <v>-6</v>
      </c>
    </row>
    <row r="162">
      <c r="A162" s="17" t="s">
        <v>2137</v>
      </c>
      <c r="B162" s="17" t="s">
        <v>2138</v>
      </c>
      <c r="C162" s="17" t="s">
        <v>2139</v>
      </c>
      <c r="D162" s="17" t="s">
        <v>170</v>
      </c>
      <c r="E162" s="60" t="str">
        <f>VLOOKUP($A162,nist_names_ids!A:B,2,false)</f>
        <v>minvhr</v>
      </c>
      <c r="F162" s="61">
        <f>countif(Constants!A:A,E162)</f>
        <v>1</v>
      </c>
      <c r="G162" s="62" t="str">
        <f t="shared" si="1"/>
        <v>4.5563352529132e-8</v>
      </c>
      <c r="H162" s="62">
        <f t="shared" si="2"/>
        <v>0.00000004556335253</v>
      </c>
      <c r="I162" s="62" t="str">
        <f t="shared" si="3"/>
        <v>0.0000000000050e-8</v>
      </c>
      <c r="J162" s="63">
        <f t="shared" si="4"/>
        <v>0</v>
      </c>
      <c r="K162" s="62" t="b">
        <f t="shared" si="5"/>
        <v>0</v>
      </c>
      <c r="L162" s="62" t="b">
        <f t="shared" si="6"/>
        <v>0</v>
      </c>
      <c r="M162" s="60" t="str">
        <f>IFERROR(__xludf.DUMMYFUNCTION("if(regexmatch(B162,""e(.*)$""),regexextract(B162,""e(.*)$""),"""")"),"-8")</f>
        <v>-8</v>
      </c>
    </row>
    <row r="163">
      <c r="A163" s="17" t="s">
        <v>2144</v>
      </c>
      <c r="B163" s="17" t="s">
        <v>2145</v>
      </c>
      <c r="C163" s="17" t="s">
        <v>1501</v>
      </c>
      <c r="D163" s="17" t="s">
        <v>257</v>
      </c>
      <c r="E163" s="60" t="str">
        <f>VLOOKUP($A163,nist_names_ids!A:B,2,false)</f>
        <v>minvhz</v>
      </c>
      <c r="F163" s="61">
        <f>countif(Constants!A:A,E163)</f>
        <v>1</v>
      </c>
      <c r="G163" s="62" t="str">
        <f t="shared" si="1"/>
        <v>299792458</v>
      </c>
      <c r="H163" s="62">
        <f t="shared" si="2"/>
        <v>299792458</v>
      </c>
      <c r="I163" s="62" t="str">
        <f t="shared" si="3"/>
        <v>(exact)</v>
      </c>
      <c r="J163" s="63" t="str">
        <f t="shared" si="4"/>
        <v/>
      </c>
      <c r="K163" s="62" t="b">
        <f t="shared" si="5"/>
        <v>1</v>
      </c>
      <c r="L163" s="62" t="b">
        <f t="shared" si="6"/>
        <v>0</v>
      </c>
      <c r="M163" s="60" t="str">
        <f>IFERROR(__xludf.DUMMYFUNCTION("if(regexmatch(B163,""e(.*)$""),regexextract(B163,""e(.*)$""),"""")"),"")</f>
        <v/>
      </c>
    </row>
    <row r="164">
      <c r="A164" s="17" t="s">
        <v>2147</v>
      </c>
      <c r="B164" s="17" t="s">
        <v>2148</v>
      </c>
      <c r="C164" s="17" t="s">
        <v>1501</v>
      </c>
      <c r="D164" s="17" t="s">
        <v>173</v>
      </c>
      <c r="E164" s="60" t="str">
        <f>VLOOKUP($A164,nist_names_ids!A:B,2,false)</f>
        <v>minvj</v>
      </c>
      <c r="F164" s="61">
        <f>countif(Constants!A:A,E164)</f>
        <v>1</v>
      </c>
      <c r="G164" s="62" t="str">
        <f t="shared" si="1"/>
        <v>1.986445857e-25</v>
      </c>
      <c r="H164" s="62">
        <f t="shared" si="2"/>
        <v>0</v>
      </c>
      <c r="I164" s="62" t="str">
        <f t="shared" si="3"/>
        <v>(exact)</v>
      </c>
      <c r="J164" s="63" t="str">
        <f t="shared" si="4"/>
        <v/>
      </c>
      <c r="K164" s="62" t="b">
        <f t="shared" si="5"/>
        <v>1</v>
      </c>
      <c r="L164" s="62" t="b">
        <f t="shared" si="6"/>
        <v>0</v>
      </c>
      <c r="M164" s="60" t="str">
        <f>IFERROR(__xludf.DUMMYFUNCTION("if(regexmatch(B164,""e(.*)$""),regexextract(B164,""e(.*)$""),"""")"),"-25")</f>
        <v>-25</v>
      </c>
    </row>
    <row r="165">
      <c r="A165" s="17" t="s">
        <v>2150</v>
      </c>
      <c r="B165" s="17" t="s">
        <v>2151</v>
      </c>
      <c r="C165" s="17" t="s">
        <v>1501</v>
      </c>
      <c r="D165" s="17" t="s">
        <v>345</v>
      </c>
      <c r="E165" s="60" t="str">
        <f>VLOOKUP($A165,nist_names_ids!A:B,2,false)</f>
        <v>minvk</v>
      </c>
      <c r="F165" s="61">
        <f>countif(Constants!A:A,E165)</f>
        <v>1</v>
      </c>
      <c r="G165" s="62" t="str">
        <f t="shared" si="1"/>
        <v>1.438776877e-2</v>
      </c>
      <c r="H165" s="62">
        <f t="shared" si="2"/>
        <v>0.01438776877</v>
      </c>
      <c r="I165" s="62" t="str">
        <f t="shared" si="3"/>
        <v>(exact)</v>
      </c>
      <c r="J165" s="63" t="str">
        <f t="shared" si="4"/>
        <v/>
      </c>
      <c r="K165" s="62" t="b">
        <f t="shared" si="5"/>
        <v>1</v>
      </c>
      <c r="L165" s="62" t="b">
        <f t="shared" si="6"/>
        <v>0</v>
      </c>
      <c r="M165" s="60" t="str">
        <f>IFERROR(__xludf.DUMMYFUNCTION("if(regexmatch(B165,""e(.*)$""),regexextract(B165,""e(.*)$""),"""")"),"-2")</f>
        <v>-2</v>
      </c>
    </row>
    <row r="166">
      <c r="A166" s="17" t="s">
        <v>2153</v>
      </c>
      <c r="B166" s="17" t="s">
        <v>2154</v>
      </c>
      <c r="C166" s="17" t="s">
        <v>1501</v>
      </c>
      <c r="D166" s="17" t="s">
        <v>98</v>
      </c>
      <c r="E166" s="60" t="str">
        <f>VLOOKUP($A166,nist_names_ids!A:B,2,false)</f>
        <v>minvkg</v>
      </c>
      <c r="F166" s="61">
        <f>countif(Constants!A:A,E166)</f>
        <v>1</v>
      </c>
      <c r="G166" s="62" t="str">
        <f t="shared" si="1"/>
        <v>2.210219094e-42</v>
      </c>
      <c r="H166" s="62">
        <f t="shared" si="2"/>
        <v>0</v>
      </c>
      <c r="I166" s="62" t="str">
        <f t="shared" si="3"/>
        <v>(exact)</v>
      </c>
      <c r="J166" s="63" t="str">
        <f t="shared" si="4"/>
        <v/>
      </c>
      <c r="K166" s="62" t="b">
        <f t="shared" si="5"/>
        <v>1</v>
      </c>
      <c r="L166" s="62" t="b">
        <f t="shared" si="6"/>
        <v>0</v>
      </c>
      <c r="M166" s="60" t="str">
        <f>IFERROR(__xludf.DUMMYFUNCTION("if(regexmatch(B166,""e(.*)$""),regexextract(B166,""e(.*)$""),"""")"),"-42")</f>
        <v>-42</v>
      </c>
    </row>
    <row r="167">
      <c r="A167" s="17" t="s">
        <v>2159</v>
      </c>
      <c r="B167" s="17" t="s">
        <v>2160</v>
      </c>
      <c r="C167" s="17" t="s">
        <v>1501</v>
      </c>
      <c r="D167" s="17" t="s">
        <v>500</v>
      </c>
      <c r="E167" s="60" t="str">
        <f>VLOOKUP($A167,nist_names_ids!A:B,2,false)</f>
        <v>invconqu</v>
      </c>
      <c r="F167" s="61">
        <f>countif(Constants!A:A,E167)</f>
        <v>1</v>
      </c>
      <c r="G167" s="62" t="str">
        <f t="shared" si="1"/>
        <v>12906.40372</v>
      </c>
      <c r="H167" s="62">
        <f t="shared" si="2"/>
        <v>12906.40372</v>
      </c>
      <c r="I167" s="62" t="str">
        <f t="shared" si="3"/>
        <v>(exact)</v>
      </c>
      <c r="J167" s="63" t="str">
        <f t="shared" si="4"/>
        <v/>
      </c>
      <c r="K167" s="62" t="b">
        <f t="shared" si="5"/>
        <v>1</v>
      </c>
      <c r="L167" s="62" t="b">
        <f t="shared" si="6"/>
        <v>0</v>
      </c>
      <c r="M167" s="60" t="str">
        <f>IFERROR(__xludf.DUMMYFUNCTION("if(regexmatch(B167,""e(.*)$""),regexextract(B167,""e(.*)$""),"""")"),"")</f>
        <v/>
      </c>
    </row>
    <row r="168">
      <c r="A168" s="17" t="s">
        <v>2162</v>
      </c>
      <c r="B168" s="17" t="s">
        <v>2163</v>
      </c>
      <c r="C168" s="17" t="s">
        <v>1501</v>
      </c>
      <c r="D168" s="17" t="s">
        <v>1447</v>
      </c>
      <c r="E168" s="60" t="str">
        <f>VLOOKUP($A168,nist_names_ids!A:B,2,false)</f>
        <v>kjos</v>
      </c>
      <c r="F168" s="61">
        <f>countif(Constants!A:A,E168)</f>
        <v>1</v>
      </c>
      <c r="G168" s="62" t="str">
        <f t="shared" si="1"/>
        <v>483597.8484e9</v>
      </c>
      <c r="H168" s="62">
        <f t="shared" si="2"/>
        <v>483597848400000</v>
      </c>
      <c r="I168" s="62" t="str">
        <f t="shared" si="3"/>
        <v>(exact)</v>
      </c>
      <c r="J168" s="63" t="str">
        <f t="shared" si="4"/>
        <v/>
      </c>
      <c r="K168" s="62" t="b">
        <f t="shared" si="5"/>
        <v>1</v>
      </c>
      <c r="L168" s="62" t="b">
        <f t="shared" si="6"/>
        <v>0</v>
      </c>
      <c r="M168" s="60" t="str">
        <f>IFERROR(__xludf.DUMMYFUNCTION("if(regexmatch(B168,""e(.*)$""),regexextract(B168,""e(.*)$""),"""")"),"9")</f>
        <v>9</v>
      </c>
    </row>
    <row r="169">
      <c r="A169" s="17" t="s">
        <v>2166</v>
      </c>
      <c r="B169" s="17" t="s">
        <v>2167</v>
      </c>
      <c r="C169" s="17" t="s">
        <v>2168</v>
      </c>
      <c r="D169" s="17" t="s">
        <v>249</v>
      </c>
      <c r="E169" s="60" t="str">
        <f>VLOOKUP($A169,nist_names_ids!A:B,2,false)</f>
        <v>ju</v>
      </c>
      <c r="F169" s="61">
        <f>countif(Constants!A:A,E169)</f>
        <v>1</v>
      </c>
      <c r="G169" s="62" t="str">
        <f t="shared" si="1"/>
        <v>6.7005352471e9</v>
      </c>
      <c r="H169" s="62">
        <f t="shared" si="2"/>
        <v>6700535247</v>
      </c>
      <c r="I169" s="62" t="str">
        <f t="shared" si="3"/>
        <v>0.0000000021e9</v>
      </c>
      <c r="J169" s="63">
        <f t="shared" si="4"/>
        <v>2.1</v>
      </c>
      <c r="K169" s="62" t="b">
        <f t="shared" si="5"/>
        <v>0</v>
      </c>
      <c r="L169" s="62" t="b">
        <f t="shared" si="6"/>
        <v>0</v>
      </c>
      <c r="M169" s="60" t="str">
        <f>IFERROR(__xludf.DUMMYFUNCTION("if(regexmatch(B169,""e(.*)$""),regexextract(B169,""e(.*)$""),"""")"),"9")</f>
        <v>9</v>
      </c>
    </row>
    <row r="170">
      <c r="A170" s="17" t="s">
        <v>2172</v>
      </c>
      <c r="B170" s="17" t="s">
        <v>2173</v>
      </c>
      <c r="C170" s="17" t="s">
        <v>1501</v>
      </c>
      <c r="D170" s="17" t="s">
        <v>181</v>
      </c>
      <c r="E170" s="60" t="str">
        <f>VLOOKUP($A170,nist_names_ids!A:B,2,false)</f>
        <v>jev</v>
      </c>
      <c r="F170" s="61">
        <f>countif(Constants!A:A,E170)</f>
        <v>1</v>
      </c>
      <c r="G170" s="62" t="str">
        <f t="shared" si="1"/>
        <v>6.241509074e18</v>
      </c>
      <c r="H170" s="62">
        <f t="shared" si="2"/>
        <v>6.24151E+18</v>
      </c>
      <c r="I170" s="62" t="str">
        <f t="shared" si="3"/>
        <v>(exact)</v>
      </c>
      <c r="J170" s="63" t="str">
        <f t="shared" si="4"/>
        <v/>
      </c>
      <c r="K170" s="62" t="b">
        <f t="shared" si="5"/>
        <v>1</v>
      </c>
      <c r="L170" s="62" t="b">
        <f t="shared" si="6"/>
        <v>0</v>
      </c>
      <c r="M170" s="60" t="str">
        <f>IFERROR(__xludf.DUMMYFUNCTION("if(regexmatch(B170,""e(.*)$""),regexextract(B170,""e(.*)$""),"""")"),"18")</f>
        <v>18</v>
      </c>
    </row>
    <row r="171">
      <c r="A171" s="17" t="s">
        <v>2176</v>
      </c>
      <c r="B171" s="17" t="s">
        <v>2177</v>
      </c>
      <c r="C171" s="17" t="s">
        <v>2178</v>
      </c>
      <c r="D171" s="17" t="s">
        <v>170</v>
      </c>
      <c r="E171" s="60" t="str">
        <f>VLOOKUP($A171,nist_names_ids!A:B,2,false)</f>
        <v>jhr</v>
      </c>
      <c r="F171" s="61">
        <f>countif(Constants!A:A,E171)</f>
        <v>1</v>
      </c>
      <c r="G171" s="62" t="str">
        <f t="shared" si="1"/>
        <v>2.2937122783969e17</v>
      </c>
      <c r="H171" s="62">
        <f t="shared" si="2"/>
        <v>2.29371E+17</v>
      </c>
      <c r="I171" s="62" t="str">
        <f t="shared" si="3"/>
        <v>0.0000000000025e17</v>
      </c>
      <c r="J171" s="63">
        <f t="shared" si="4"/>
        <v>250000</v>
      </c>
      <c r="K171" s="62" t="b">
        <f t="shared" si="5"/>
        <v>0</v>
      </c>
      <c r="L171" s="62" t="b">
        <f t="shared" si="6"/>
        <v>0</v>
      </c>
      <c r="M171" s="60" t="str">
        <f>IFERROR(__xludf.DUMMYFUNCTION("if(regexmatch(B171,""e(.*)$""),regexextract(B171,""e(.*)$""),"""")"),"17")</f>
        <v>17</v>
      </c>
    </row>
    <row r="172">
      <c r="A172" s="17" t="s">
        <v>2180</v>
      </c>
      <c r="B172" s="17" t="s">
        <v>2181</v>
      </c>
      <c r="C172" s="17" t="s">
        <v>1501</v>
      </c>
      <c r="D172" s="17" t="s">
        <v>257</v>
      </c>
      <c r="E172" s="60" t="str">
        <f>VLOOKUP($A172,nist_names_ids!A:B,2,false)</f>
        <v>jhz</v>
      </c>
      <c r="F172" s="61">
        <f>countif(Constants!A:A,E172)</f>
        <v>1</v>
      </c>
      <c r="G172" s="62" t="str">
        <f t="shared" si="1"/>
        <v>1.509190179e33</v>
      </c>
      <c r="H172" s="62">
        <f t="shared" si="2"/>
        <v>1.50919E+33</v>
      </c>
      <c r="I172" s="62" t="str">
        <f t="shared" si="3"/>
        <v>(exact)</v>
      </c>
      <c r="J172" s="63" t="str">
        <f t="shared" si="4"/>
        <v/>
      </c>
      <c r="K172" s="62" t="b">
        <f t="shared" si="5"/>
        <v>1</v>
      </c>
      <c r="L172" s="62" t="b">
        <f t="shared" si="6"/>
        <v>0</v>
      </c>
      <c r="M172" s="60" t="str">
        <f>IFERROR(__xludf.DUMMYFUNCTION("if(regexmatch(B172,""e(.*)$""),regexextract(B172,""e(.*)$""),"""")"),"33")</f>
        <v>33</v>
      </c>
    </row>
    <row r="173">
      <c r="A173" s="17" t="s">
        <v>2184</v>
      </c>
      <c r="B173" s="17" t="s">
        <v>2185</v>
      </c>
      <c r="C173" s="17" t="s">
        <v>1501</v>
      </c>
      <c r="D173" s="17" t="s">
        <v>561</v>
      </c>
      <c r="E173" s="60" t="str">
        <f>VLOOKUP($A173,nist_names_ids!A:B,2,false)</f>
        <v>jminv</v>
      </c>
      <c r="F173" s="61">
        <f>countif(Constants!A:A,E173)</f>
        <v>1</v>
      </c>
      <c r="G173" s="62" t="str">
        <f t="shared" si="1"/>
        <v>5.034116567e24</v>
      </c>
      <c r="H173" s="62">
        <f t="shared" si="2"/>
        <v>5.03412E+24</v>
      </c>
      <c r="I173" s="62" t="str">
        <f t="shared" si="3"/>
        <v>(exact)</v>
      </c>
      <c r="J173" s="63" t="str">
        <f t="shared" si="4"/>
        <v/>
      </c>
      <c r="K173" s="62" t="b">
        <f t="shared" si="5"/>
        <v>1</v>
      </c>
      <c r="L173" s="62" t="b">
        <f t="shared" si="6"/>
        <v>0</v>
      </c>
      <c r="M173" s="60" t="str">
        <f>IFERROR(__xludf.DUMMYFUNCTION("if(regexmatch(B173,""e(.*)$""),regexextract(B173,""e(.*)$""),"""")"),"24")</f>
        <v>24</v>
      </c>
    </row>
    <row r="174">
      <c r="A174" s="17" t="s">
        <v>2190</v>
      </c>
      <c r="B174" s="17" t="s">
        <v>2191</v>
      </c>
      <c r="C174" s="17" t="s">
        <v>1501</v>
      </c>
      <c r="D174" s="17" t="s">
        <v>345</v>
      </c>
      <c r="E174" s="60" t="str">
        <f>VLOOKUP($A174,nist_names_ids!A:B,2,false)</f>
        <v>jk</v>
      </c>
      <c r="F174" s="61">
        <f>countif(Constants!A:A,E174)</f>
        <v>1</v>
      </c>
      <c r="G174" s="62" t="str">
        <f t="shared" si="1"/>
        <v>7.242970516e22</v>
      </c>
      <c r="H174" s="62">
        <f t="shared" si="2"/>
        <v>7.24297E+22</v>
      </c>
      <c r="I174" s="62" t="str">
        <f t="shared" si="3"/>
        <v>(exact)</v>
      </c>
      <c r="J174" s="63" t="str">
        <f t="shared" si="4"/>
        <v/>
      </c>
      <c r="K174" s="62" t="b">
        <f t="shared" si="5"/>
        <v>1</v>
      </c>
      <c r="L174" s="62" t="b">
        <f t="shared" si="6"/>
        <v>0</v>
      </c>
      <c r="M174" s="60" t="str">
        <f>IFERROR(__xludf.DUMMYFUNCTION("if(regexmatch(B174,""e(.*)$""),regexextract(B174,""e(.*)$""),"""")"),"22")</f>
        <v>22</v>
      </c>
    </row>
    <row r="175">
      <c r="A175" s="17" t="s">
        <v>2193</v>
      </c>
      <c r="B175" s="17" t="s">
        <v>2194</v>
      </c>
      <c r="C175" s="17" t="s">
        <v>1501</v>
      </c>
      <c r="D175" s="17" t="s">
        <v>98</v>
      </c>
      <c r="E175" s="60" t="str">
        <f>VLOOKUP($A175,nist_names_ids!A:B,2,false)</f>
        <v>jkg</v>
      </c>
      <c r="F175" s="61">
        <f>countif(Constants!A:A,E175)</f>
        <v>1</v>
      </c>
      <c r="G175" s="62" t="str">
        <f t="shared" si="1"/>
        <v>1.112650056e-17</v>
      </c>
      <c r="H175" s="62">
        <f t="shared" si="2"/>
        <v>0</v>
      </c>
      <c r="I175" s="62" t="str">
        <f t="shared" si="3"/>
        <v>(exact)</v>
      </c>
      <c r="J175" s="63" t="str">
        <f t="shared" si="4"/>
        <v/>
      </c>
      <c r="K175" s="62" t="b">
        <f t="shared" si="5"/>
        <v>1</v>
      </c>
      <c r="L175" s="62" t="b">
        <f t="shared" si="6"/>
        <v>0</v>
      </c>
      <c r="M175" s="60" t="str">
        <f>IFERROR(__xludf.DUMMYFUNCTION("if(regexmatch(B175,""e(.*)$""),regexextract(B175,""e(.*)$""),"""")"),"-17")</f>
        <v>-17</v>
      </c>
    </row>
    <row r="176">
      <c r="A176" s="17" t="s">
        <v>2196</v>
      </c>
      <c r="B176" s="17" t="s">
        <v>2197</v>
      </c>
      <c r="C176" s="17" t="s">
        <v>2198</v>
      </c>
      <c r="D176" s="17" t="s">
        <v>249</v>
      </c>
      <c r="E176" s="60" t="str">
        <f>VLOOKUP($A176,nist_names_ids!A:B,2,false)</f>
        <v>ku</v>
      </c>
      <c r="F176" s="61">
        <f>countif(Constants!A:A,E176)</f>
        <v>1</v>
      </c>
      <c r="G176" s="62" t="str">
        <f t="shared" si="1"/>
        <v>9.2510872884e-14</v>
      </c>
      <c r="H176" s="62">
        <f t="shared" si="2"/>
        <v>0</v>
      </c>
      <c r="I176" s="62" t="str">
        <f t="shared" si="3"/>
        <v>0.0000000029e-14</v>
      </c>
      <c r="J176" s="63">
        <f t="shared" si="4"/>
        <v>0</v>
      </c>
      <c r="K176" s="62" t="b">
        <f t="shared" si="5"/>
        <v>0</v>
      </c>
      <c r="L176" s="62" t="b">
        <f t="shared" si="6"/>
        <v>0</v>
      </c>
      <c r="M176" s="60" t="str">
        <f>IFERROR(__xludf.DUMMYFUNCTION("if(regexmatch(B176,""e(.*)$""),regexextract(B176,""e(.*)$""),"""")"),"-14")</f>
        <v>-14</v>
      </c>
    </row>
    <row r="177">
      <c r="A177" s="17" t="s">
        <v>2200</v>
      </c>
      <c r="B177" s="17" t="s">
        <v>1613</v>
      </c>
      <c r="C177" s="17" t="s">
        <v>1501</v>
      </c>
      <c r="D177" s="17" t="s">
        <v>181</v>
      </c>
      <c r="E177" s="60" t="str">
        <f>VLOOKUP($A177,nist_names_ids!A:B,2,false)</f>
        <v>kev</v>
      </c>
      <c r="F177" s="61">
        <f>countif(Constants!A:A,E177)</f>
        <v>1</v>
      </c>
      <c r="G177" s="62" t="str">
        <f t="shared" si="1"/>
        <v>8.617333262e-5</v>
      </c>
      <c r="H177" s="62">
        <f t="shared" si="2"/>
        <v>0.00008617333262</v>
      </c>
      <c r="I177" s="62" t="str">
        <f t="shared" si="3"/>
        <v>(exact)</v>
      </c>
      <c r="J177" s="63" t="str">
        <f t="shared" si="4"/>
        <v/>
      </c>
      <c r="K177" s="62" t="b">
        <f t="shared" si="5"/>
        <v>1</v>
      </c>
      <c r="L177" s="62" t="b">
        <f t="shared" si="6"/>
        <v>0</v>
      </c>
      <c r="M177" s="60" t="str">
        <f>IFERROR(__xludf.DUMMYFUNCTION("if(regexmatch(B177,""e(.*)$""),regexextract(B177,""e(.*)$""),"""")"),"-5")</f>
        <v>-5</v>
      </c>
    </row>
    <row r="178">
      <c r="A178" s="17" t="s">
        <v>2204</v>
      </c>
      <c r="B178" s="17" t="s">
        <v>2205</v>
      </c>
      <c r="C178" s="17" t="s">
        <v>2206</v>
      </c>
      <c r="D178" s="17" t="s">
        <v>170</v>
      </c>
      <c r="E178" s="60" t="str">
        <f>VLOOKUP($A178,nist_names_ids!A:B,2,false)</f>
        <v>khr</v>
      </c>
      <c r="F178" s="61">
        <f>countif(Constants!A:A,E178)</f>
        <v>1</v>
      </c>
      <c r="G178" s="62" t="str">
        <f t="shared" si="1"/>
        <v>3.1668115634564e-6</v>
      </c>
      <c r="H178" s="62">
        <f t="shared" si="2"/>
        <v>0.000003166811563</v>
      </c>
      <c r="I178" s="62" t="str">
        <f t="shared" si="3"/>
        <v>0.0000000000035e-6</v>
      </c>
      <c r="J178" s="63">
        <f t="shared" si="4"/>
        <v>0</v>
      </c>
      <c r="K178" s="62" t="b">
        <f t="shared" si="5"/>
        <v>0</v>
      </c>
      <c r="L178" s="62" t="b">
        <f t="shared" si="6"/>
        <v>0</v>
      </c>
      <c r="M178" s="60" t="str">
        <f>IFERROR(__xludf.DUMMYFUNCTION("if(regexmatch(B178,""e(.*)$""),regexextract(B178,""e(.*)$""),"""")"),"-6")</f>
        <v>-6</v>
      </c>
    </row>
    <row r="179">
      <c r="A179" s="17" t="s">
        <v>2208</v>
      </c>
      <c r="B179" s="17" t="s">
        <v>1619</v>
      </c>
      <c r="C179" s="17" t="s">
        <v>1501</v>
      </c>
      <c r="D179" s="17" t="s">
        <v>257</v>
      </c>
      <c r="E179" s="60" t="str">
        <f>VLOOKUP($A179,nist_names_ids!A:B,2,false)</f>
        <v>khz</v>
      </c>
      <c r="F179" s="61">
        <f>countif(Constants!A:A,E179)</f>
        <v>1</v>
      </c>
      <c r="G179" s="62" t="str">
        <f t="shared" si="1"/>
        <v>2.083661912e10</v>
      </c>
      <c r="H179" s="62">
        <f t="shared" si="2"/>
        <v>20836619120</v>
      </c>
      <c r="I179" s="62" t="str">
        <f t="shared" si="3"/>
        <v>(exact)</v>
      </c>
      <c r="J179" s="63" t="str">
        <f t="shared" si="4"/>
        <v/>
      </c>
      <c r="K179" s="62" t="b">
        <f t="shared" si="5"/>
        <v>1</v>
      </c>
      <c r="L179" s="62" t="b">
        <f t="shared" si="6"/>
        <v>0</v>
      </c>
      <c r="M179" s="60" t="str">
        <f>IFERROR(__xludf.DUMMYFUNCTION("if(regexmatch(B179,""e(.*)$""),regexextract(B179,""e(.*)$""),"""")"),"10")</f>
        <v>10</v>
      </c>
    </row>
    <row r="180">
      <c r="A180" s="17" t="s">
        <v>2217</v>
      </c>
      <c r="B180" s="17" t="s">
        <v>1621</v>
      </c>
      <c r="C180" s="17" t="s">
        <v>1501</v>
      </c>
      <c r="D180" s="17" t="s">
        <v>561</v>
      </c>
      <c r="E180" s="60" t="str">
        <f>VLOOKUP($A180,nist_names_ids!A:B,2,false)</f>
        <v>kminv</v>
      </c>
      <c r="F180" s="61">
        <f>countif(Constants!A:A,E180)</f>
        <v>1</v>
      </c>
      <c r="G180" s="62" t="str">
        <f t="shared" si="1"/>
        <v>69.50348004</v>
      </c>
      <c r="H180" s="62">
        <f t="shared" si="2"/>
        <v>69.50348004</v>
      </c>
      <c r="I180" s="62" t="str">
        <f t="shared" si="3"/>
        <v>(exact)</v>
      </c>
      <c r="J180" s="63" t="str">
        <f t="shared" si="4"/>
        <v/>
      </c>
      <c r="K180" s="62" t="b">
        <f t="shared" si="5"/>
        <v>1</v>
      </c>
      <c r="L180" s="62" t="b">
        <f t="shared" si="6"/>
        <v>0</v>
      </c>
      <c r="M180" s="60" t="str">
        <f>IFERROR(__xludf.DUMMYFUNCTION("if(regexmatch(B180,""e(.*)$""),regexextract(B180,""e(.*)$""),"""")"),"")</f>
        <v/>
      </c>
    </row>
    <row r="181">
      <c r="A181" s="17" t="s">
        <v>2219</v>
      </c>
      <c r="B181" s="17" t="s">
        <v>1611</v>
      </c>
      <c r="C181" s="17" t="s">
        <v>1501</v>
      </c>
      <c r="D181" s="17" t="s">
        <v>173</v>
      </c>
      <c r="E181" s="60" t="str">
        <f>VLOOKUP($A181,nist_names_ids!A:B,2,false)</f>
        <v>kj</v>
      </c>
      <c r="F181" s="61">
        <f>countif(Constants!A:A,E181)</f>
        <v>1</v>
      </c>
      <c r="G181" s="62" t="str">
        <f t="shared" si="1"/>
        <v>1.380649e-23</v>
      </c>
      <c r="H181" s="62">
        <f t="shared" si="2"/>
        <v>0</v>
      </c>
      <c r="I181" s="62" t="str">
        <f t="shared" si="3"/>
        <v>(exact)</v>
      </c>
      <c r="J181" s="63" t="str">
        <f t="shared" si="4"/>
        <v/>
      </c>
      <c r="K181" s="62" t="b">
        <f t="shared" si="5"/>
        <v>1</v>
      </c>
      <c r="L181" s="62" t="b">
        <f t="shared" si="6"/>
        <v>0</v>
      </c>
      <c r="M181" s="60" t="str">
        <f>IFERROR(__xludf.DUMMYFUNCTION("if(regexmatch(B181,""e(.*)$""),regexextract(B181,""e(.*)$""),"""")"),"-23")</f>
        <v>-23</v>
      </c>
    </row>
    <row r="182">
      <c r="A182" s="17" t="s">
        <v>2222</v>
      </c>
      <c r="B182" s="17" t="s">
        <v>2223</v>
      </c>
      <c r="C182" s="17" t="s">
        <v>1501</v>
      </c>
      <c r="D182" s="17" t="s">
        <v>98</v>
      </c>
      <c r="E182" s="60" t="str">
        <f>VLOOKUP($A182,nist_names_ids!A:B,2,false)</f>
        <v>kkg</v>
      </c>
      <c r="F182" s="61">
        <f>countif(Constants!A:A,E182)</f>
        <v>1</v>
      </c>
      <c r="G182" s="62" t="str">
        <f t="shared" si="1"/>
        <v>1.536179187e-40</v>
      </c>
      <c r="H182" s="62">
        <f t="shared" si="2"/>
        <v>0</v>
      </c>
      <c r="I182" s="62" t="str">
        <f t="shared" si="3"/>
        <v>(exact)</v>
      </c>
      <c r="J182" s="63" t="str">
        <f t="shared" si="4"/>
        <v/>
      </c>
      <c r="K182" s="62" t="b">
        <f t="shared" si="5"/>
        <v>1</v>
      </c>
      <c r="L182" s="62" t="b">
        <f t="shared" si="6"/>
        <v>0</v>
      </c>
      <c r="M182" s="60" t="str">
        <f>IFERROR(__xludf.DUMMYFUNCTION("if(regexmatch(B182,""e(.*)$""),regexextract(B182,""e(.*)$""),"""")"),"-40")</f>
        <v>-40</v>
      </c>
    </row>
    <row r="183">
      <c r="A183" s="17" t="s">
        <v>2226</v>
      </c>
      <c r="B183" s="17" t="s">
        <v>2227</v>
      </c>
      <c r="C183" s="17" t="s">
        <v>2228</v>
      </c>
      <c r="D183" s="17" t="s">
        <v>249</v>
      </c>
      <c r="E183" s="60" t="str">
        <f>VLOOKUP($A183,nist_names_ids!A:B,2,false)</f>
        <v>kgu</v>
      </c>
      <c r="F183" s="61">
        <f>countif(Constants!A:A,E183)</f>
        <v>1</v>
      </c>
      <c r="G183" s="62" t="str">
        <f t="shared" si="1"/>
        <v>6.0221407537e26</v>
      </c>
      <c r="H183" s="62">
        <f t="shared" si="2"/>
        <v>6.02214E+26</v>
      </c>
      <c r="I183" s="62" t="str">
        <f t="shared" si="3"/>
        <v>0.0000000019e26</v>
      </c>
      <c r="J183" s="63">
        <f t="shared" si="4"/>
        <v>1.9E+17</v>
      </c>
      <c r="K183" s="62" t="b">
        <f t="shared" si="5"/>
        <v>0</v>
      </c>
      <c r="L183" s="62" t="b">
        <f t="shared" si="6"/>
        <v>0</v>
      </c>
      <c r="M183" s="60" t="str">
        <f>IFERROR(__xludf.DUMMYFUNCTION("if(regexmatch(B183,""e(.*)$""),regexextract(B183,""e(.*)$""),"""")"),"26")</f>
        <v>26</v>
      </c>
    </row>
    <row r="184">
      <c r="A184" s="17" t="s">
        <v>2232</v>
      </c>
      <c r="B184" s="17" t="s">
        <v>2233</v>
      </c>
      <c r="C184" s="17" t="s">
        <v>1501</v>
      </c>
      <c r="D184" s="17" t="s">
        <v>181</v>
      </c>
      <c r="E184" s="60" t="str">
        <f>VLOOKUP($A184,nist_names_ids!A:B,2,false)</f>
        <v>kgev</v>
      </c>
      <c r="F184" s="61">
        <f>countif(Constants!A:A,E184)</f>
        <v>1</v>
      </c>
      <c r="G184" s="62" t="str">
        <f t="shared" si="1"/>
        <v>5.609588603e35</v>
      </c>
      <c r="H184" s="62">
        <f t="shared" si="2"/>
        <v>5.60959E+35</v>
      </c>
      <c r="I184" s="62" t="str">
        <f t="shared" si="3"/>
        <v>(exact)</v>
      </c>
      <c r="J184" s="63" t="str">
        <f t="shared" si="4"/>
        <v/>
      </c>
      <c r="K184" s="62" t="b">
        <f t="shared" si="5"/>
        <v>1</v>
      </c>
      <c r="L184" s="62" t="b">
        <f t="shared" si="6"/>
        <v>0</v>
      </c>
      <c r="M184" s="60" t="str">
        <f>IFERROR(__xludf.DUMMYFUNCTION("if(regexmatch(B184,""e(.*)$""),regexextract(B184,""e(.*)$""),"""")"),"35")</f>
        <v>35</v>
      </c>
    </row>
    <row r="185">
      <c r="A185" s="17" t="s">
        <v>2236</v>
      </c>
      <c r="B185" s="17" t="s">
        <v>2237</v>
      </c>
      <c r="C185" s="17" t="s">
        <v>2238</v>
      </c>
      <c r="D185" s="17" t="s">
        <v>170</v>
      </c>
      <c r="E185" s="60" t="str">
        <f>VLOOKUP($A185,nist_names_ids!A:B,2,false)</f>
        <v>kghr</v>
      </c>
      <c r="F185" s="61">
        <f>countif(Constants!A:A,E185)</f>
        <v>1</v>
      </c>
      <c r="G185" s="62" t="str">
        <f t="shared" si="1"/>
        <v>2.0614857887415e34</v>
      </c>
      <c r="H185" s="62">
        <f t="shared" si="2"/>
        <v>2.06149E+34</v>
      </c>
      <c r="I185" s="62" t="str">
        <f t="shared" si="3"/>
        <v>0.0000000000022e34</v>
      </c>
      <c r="J185" s="63">
        <f t="shared" si="4"/>
        <v>2.2E+22</v>
      </c>
      <c r="K185" s="62" t="b">
        <f t="shared" si="5"/>
        <v>0</v>
      </c>
      <c r="L185" s="62" t="b">
        <f t="shared" si="6"/>
        <v>0</v>
      </c>
      <c r="M185" s="60" t="str">
        <f>IFERROR(__xludf.DUMMYFUNCTION("if(regexmatch(B185,""e(.*)$""),regexextract(B185,""e(.*)$""),"""")"),"34")</f>
        <v>34</v>
      </c>
    </row>
    <row r="186">
      <c r="A186" s="17" t="s">
        <v>2243</v>
      </c>
      <c r="B186" s="17" t="s">
        <v>2244</v>
      </c>
      <c r="C186" s="17" t="s">
        <v>1501</v>
      </c>
      <c r="D186" s="17" t="s">
        <v>257</v>
      </c>
      <c r="E186" s="60" t="str">
        <f>VLOOKUP($A186,nist_names_ids!A:B,2,false)</f>
        <v>kghz</v>
      </c>
      <c r="F186" s="61">
        <f>countif(Constants!A:A,E186)</f>
        <v>1</v>
      </c>
      <c r="G186" s="62" t="str">
        <f t="shared" si="1"/>
        <v>1.356392489e50</v>
      </c>
      <c r="H186" s="62">
        <f t="shared" si="2"/>
        <v>1.35639E+50</v>
      </c>
      <c r="I186" s="62" t="str">
        <f t="shared" si="3"/>
        <v>(exact)</v>
      </c>
      <c r="J186" s="63" t="str">
        <f t="shared" si="4"/>
        <v/>
      </c>
      <c r="K186" s="62" t="b">
        <f t="shared" si="5"/>
        <v>1</v>
      </c>
      <c r="L186" s="62" t="b">
        <f t="shared" si="6"/>
        <v>0</v>
      </c>
      <c r="M186" s="60" t="str">
        <f>IFERROR(__xludf.DUMMYFUNCTION("if(regexmatch(B186,""e(.*)$""),regexextract(B186,""e(.*)$""),"""")"),"50")</f>
        <v>50</v>
      </c>
    </row>
    <row r="187">
      <c r="A187" s="17" t="s">
        <v>2247</v>
      </c>
      <c r="B187" s="17" t="s">
        <v>2248</v>
      </c>
      <c r="C187" s="17" t="s">
        <v>1501</v>
      </c>
      <c r="D187" s="17" t="s">
        <v>561</v>
      </c>
      <c r="E187" s="60" t="str">
        <f>VLOOKUP($A187,nist_names_ids!A:B,2,false)</f>
        <v>kgminv</v>
      </c>
      <c r="F187" s="61">
        <f>countif(Constants!A:A,E187)</f>
        <v>1</v>
      </c>
      <c r="G187" s="62" t="str">
        <f t="shared" si="1"/>
        <v>4.524438335e41</v>
      </c>
      <c r="H187" s="62">
        <f t="shared" si="2"/>
        <v>4.52444E+41</v>
      </c>
      <c r="I187" s="62" t="str">
        <f t="shared" si="3"/>
        <v>(exact)</v>
      </c>
      <c r="J187" s="63" t="str">
        <f t="shared" si="4"/>
        <v/>
      </c>
      <c r="K187" s="62" t="b">
        <f t="shared" si="5"/>
        <v>1</v>
      </c>
      <c r="L187" s="62" t="b">
        <f t="shared" si="6"/>
        <v>0</v>
      </c>
      <c r="M187" s="60" t="str">
        <f>IFERROR(__xludf.DUMMYFUNCTION("if(regexmatch(B187,""e(.*)$""),regexextract(B187,""e(.*)$""),"""")"),"41")</f>
        <v>41</v>
      </c>
    </row>
    <row r="188">
      <c r="A188" s="17" t="s">
        <v>2253</v>
      </c>
      <c r="B188" s="17" t="s">
        <v>2254</v>
      </c>
      <c r="C188" s="17" t="s">
        <v>1501</v>
      </c>
      <c r="D188" s="17" t="s">
        <v>173</v>
      </c>
      <c r="E188" s="60" t="str">
        <f>VLOOKUP($A188,nist_names_ids!A:B,2,false)</f>
        <v>kgj</v>
      </c>
      <c r="F188" s="61">
        <f>countif(Constants!A:A,E188)</f>
        <v>1</v>
      </c>
      <c r="G188" s="62" t="str">
        <f t="shared" si="1"/>
        <v>8.987551787e16</v>
      </c>
      <c r="H188" s="62">
        <f t="shared" si="2"/>
        <v>8.98755E+16</v>
      </c>
      <c r="I188" s="62" t="str">
        <f t="shared" si="3"/>
        <v>(exact)</v>
      </c>
      <c r="J188" s="63" t="str">
        <f t="shared" si="4"/>
        <v/>
      </c>
      <c r="K188" s="62" t="b">
        <f t="shared" si="5"/>
        <v>1</v>
      </c>
      <c r="L188" s="62" t="b">
        <f t="shared" si="6"/>
        <v>0</v>
      </c>
      <c r="M188" s="60" t="str">
        <f>IFERROR(__xludf.DUMMYFUNCTION("if(regexmatch(B188,""e(.*)$""),regexextract(B188,""e(.*)$""),"""")"),"16")</f>
        <v>16</v>
      </c>
    </row>
    <row r="189">
      <c r="A189" s="17" t="s">
        <v>2257</v>
      </c>
      <c r="B189" s="17" t="s">
        <v>2258</v>
      </c>
      <c r="C189" s="17" t="s">
        <v>1501</v>
      </c>
      <c r="D189" s="17" t="s">
        <v>345</v>
      </c>
      <c r="E189" s="60" t="str">
        <f>VLOOKUP($A189,nist_names_ids!A:B,2,false)</f>
        <v>kgk</v>
      </c>
      <c r="F189" s="61">
        <f>countif(Constants!A:A,E189)</f>
        <v>1</v>
      </c>
      <c r="G189" s="62" t="str">
        <f t="shared" si="1"/>
        <v>6.509657260e39</v>
      </c>
      <c r="H189" s="62">
        <f t="shared" si="2"/>
        <v>6.50966E+39</v>
      </c>
      <c r="I189" s="62" t="str">
        <f t="shared" si="3"/>
        <v>(exact)</v>
      </c>
      <c r="J189" s="63" t="str">
        <f t="shared" si="4"/>
        <v/>
      </c>
      <c r="K189" s="62" t="b">
        <f t="shared" si="5"/>
        <v>1</v>
      </c>
      <c r="L189" s="62" t="b">
        <f t="shared" si="6"/>
        <v>0</v>
      </c>
      <c r="M189" s="60" t="str">
        <f>IFERROR(__xludf.DUMMYFUNCTION("if(regexmatch(B189,""e(.*)$""),regexextract(B189,""e(.*)$""),"""")"),"39")</f>
        <v>39</v>
      </c>
    </row>
    <row r="190">
      <c r="A190" s="17" t="s">
        <v>2260</v>
      </c>
      <c r="B190" s="17" t="s">
        <v>2261</v>
      </c>
      <c r="C190" s="17" t="s">
        <v>2262</v>
      </c>
      <c r="D190" s="17" t="s">
        <v>381</v>
      </c>
      <c r="E190" s="60" t="str">
        <f>VLOOKUP($A190,nist_names_ids!A:B,2,false)</f>
        <v>asil</v>
      </c>
      <c r="F190" s="61">
        <f>countif(Constants!A:A,E190)</f>
        <v>1</v>
      </c>
      <c r="G190" s="62" t="str">
        <f t="shared" si="1"/>
        <v>5.431020511e-10</v>
      </c>
      <c r="H190" s="62">
        <f t="shared" si="2"/>
        <v>0.0000000005431020511</v>
      </c>
      <c r="I190" s="62" t="str">
        <f t="shared" si="3"/>
        <v>0.000000089e-10</v>
      </c>
      <c r="J190" s="63">
        <f t="shared" si="4"/>
        <v>0</v>
      </c>
      <c r="K190" s="62" t="b">
        <f t="shared" si="5"/>
        <v>0</v>
      </c>
      <c r="L190" s="62" t="b">
        <f t="shared" si="6"/>
        <v>0</v>
      </c>
      <c r="M190" s="60" t="str">
        <f>IFERROR(__xludf.DUMMYFUNCTION("if(regexmatch(B190,""e(.*)$""),regexextract(B190,""e(.*)$""),"""")"),"-10")</f>
        <v>-10</v>
      </c>
    </row>
    <row r="191">
      <c r="A191" s="17" t="s">
        <v>2263</v>
      </c>
      <c r="B191" s="17" t="s">
        <v>2264</v>
      </c>
      <c r="C191" s="17" t="s">
        <v>2265</v>
      </c>
      <c r="D191" s="17" t="s">
        <v>381</v>
      </c>
      <c r="E191" s="60" t="str">
        <f>VLOOKUP($A191,nist_names_ids!A:B,2,false)</f>
        <v>d220sil</v>
      </c>
      <c r="F191" s="61">
        <f>countif(Constants!A:A,E191)</f>
        <v>1</v>
      </c>
      <c r="G191" s="62" t="str">
        <f t="shared" si="1"/>
        <v>1.920155716e-10</v>
      </c>
      <c r="H191" s="62">
        <f t="shared" si="2"/>
        <v>0.0000000001920155716</v>
      </c>
      <c r="I191" s="62" t="str">
        <f t="shared" si="3"/>
        <v>0.000000032e-10</v>
      </c>
      <c r="J191" s="63">
        <f t="shared" si="4"/>
        <v>0</v>
      </c>
      <c r="K191" s="62" t="b">
        <f t="shared" si="5"/>
        <v>0</v>
      </c>
      <c r="L191" s="62" t="b">
        <f t="shared" si="6"/>
        <v>0</v>
      </c>
      <c r="M191" s="60" t="str">
        <f>IFERROR(__xludf.DUMMYFUNCTION("if(regexmatch(B191,""e(.*)$""),regexextract(B191,""e(.*)$""),"""")"),"-10")</f>
        <v>-10</v>
      </c>
    </row>
    <row r="192">
      <c r="A192" s="17" t="s">
        <v>2267</v>
      </c>
      <c r="B192" s="17" t="s">
        <v>2268</v>
      </c>
      <c r="C192" s="17" t="s">
        <v>1501</v>
      </c>
      <c r="D192" s="17" t="s">
        <v>2269</v>
      </c>
      <c r="E192" s="60" t="str">
        <f>VLOOKUP($A192,nist_names_ids!A:B,2,false)</f>
        <v>n0</v>
      </c>
      <c r="F192" s="61">
        <f>countif(Constants!A:A,E192)</f>
        <v>1</v>
      </c>
      <c r="G192" s="62" t="str">
        <f t="shared" si="1"/>
        <v>2.651645804e25</v>
      </c>
      <c r="H192" s="62">
        <f t="shared" si="2"/>
        <v>2.65165E+25</v>
      </c>
      <c r="I192" s="62" t="str">
        <f t="shared" si="3"/>
        <v>(exact)</v>
      </c>
      <c r="J192" s="63" t="str">
        <f t="shared" si="4"/>
        <v/>
      </c>
      <c r="K192" s="62" t="b">
        <f t="shared" si="5"/>
        <v>1</v>
      </c>
      <c r="L192" s="62" t="b">
        <f t="shared" si="6"/>
        <v>0</v>
      </c>
      <c r="M192" s="60" t="str">
        <f>IFERROR(__xludf.DUMMYFUNCTION("if(regexmatch(B192,""e(.*)$""),regexextract(B192,""e(.*)$""),"""")"),"25")</f>
        <v>25</v>
      </c>
    </row>
    <row r="193">
      <c r="A193" s="17" t="s">
        <v>2273</v>
      </c>
      <c r="B193" s="17" t="s">
        <v>2274</v>
      </c>
      <c r="C193" s="17" t="s">
        <v>1501</v>
      </c>
      <c r="D193" s="17" t="s">
        <v>2269</v>
      </c>
      <c r="E193" s="60" t="str">
        <f>VLOOKUP($A193,nist_names_ids!A:B,2,false)</f>
        <v>n0std</v>
      </c>
      <c r="F193" s="61">
        <f>countif(Constants!A:A,E193)</f>
        <v>1</v>
      </c>
      <c r="G193" s="62" t="str">
        <f t="shared" si="1"/>
        <v>2.686780111e25</v>
      </c>
      <c r="H193" s="62">
        <f t="shared" si="2"/>
        <v>2.68678E+25</v>
      </c>
      <c r="I193" s="62" t="str">
        <f t="shared" si="3"/>
        <v>(exact)</v>
      </c>
      <c r="J193" s="63" t="str">
        <f t="shared" si="4"/>
        <v/>
      </c>
      <c r="K193" s="62" t="b">
        <f t="shared" si="5"/>
        <v>1</v>
      </c>
      <c r="L193" s="62" t="b">
        <f t="shared" si="6"/>
        <v>0</v>
      </c>
      <c r="M193" s="60" t="str">
        <f>IFERROR(__xludf.DUMMYFUNCTION("if(regexmatch(B193,""e(.*)$""),regexextract(B193,""e(.*)$""),"""")"),"25")</f>
        <v>25</v>
      </c>
    </row>
    <row r="194">
      <c r="A194" s="17" t="s">
        <v>2277</v>
      </c>
      <c r="B194" s="64" t="s">
        <v>2278</v>
      </c>
      <c r="C194" s="17" t="s">
        <v>1501</v>
      </c>
      <c r="D194" s="17" t="s">
        <v>2279</v>
      </c>
      <c r="E194" s="60" t="str">
        <f>VLOOKUP($A194,nist_names_ids!A:B,2,false)</f>
        <v>kcd</v>
      </c>
      <c r="F194" s="61">
        <f>countif(Constants!A:A,E194)</f>
        <v>1</v>
      </c>
      <c r="G194" s="62" t="str">
        <f t="shared" si="1"/>
        <v>683</v>
      </c>
      <c r="H194" s="62">
        <f t="shared" si="2"/>
        <v>683</v>
      </c>
      <c r="I194" s="62" t="str">
        <f t="shared" si="3"/>
        <v>(exact)</v>
      </c>
      <c r="J194" s="63" t="str">
        <f t="shared" si="4"/>
        <v/>
      </c>
      <c r="K194" s="62" t="b">
        <f t="shared" si="5"/>
        <v>1</v>
      </c>
      <c r="L194" s="62" t="b">
        <f t="shared" si="6"/>
        <v>0</v>
      </c>
      <c r="M194" s="60" t="str">
        <f>IFERROR(__xludf.DUMMYFUNCTION("if(regexmatch(B194,""e(.*)$""),regexextract(B194,""e(.*)$""),"""")"),"")</f>
        <v/>
      </c>
    </row>
    <row r="195">
      <c r="A195" s="17" t="s">
        <v>2280</v>
      </c>
      <c r="B195" s="17" t="s">
        <v>2281</v>
      </c>
      <c r="C195" s="17" t="s">
        <v>1501</v>
      </c>
      <c r="D195" s="17" t="s">
        <v>622</v>
      </c>
      <c r="E195" s="60" t="str">
        <f>VLOOKUP($A195,nist_names_ids!A:B,2,false)</f>
        <v>flxquhs2e</v>
      </c>
      <c r="F195" s="61">
        <f>countif(Constants!A:A,E195)</f>
        <v>1</v>
      </c>
      <c r="G195" s="62" t="str">
        <f t="shared" si="1"/>
        <v>2.067833848e-15</v>
      </c>
      <c r="H195" s="62">
        <f t="shared" si="2"/>
        <v>0</v>
      </c>
      <c r="I195" s="62" t="str">
        <f t="shared" si="3"/>
        <v>(exact)</v>
      </c>
      <c r="J195" s="63" t="str">
        <f t="shared" si="4"/>
        <v/>
      </c>
      <c r="K195" s="62" t="b">
        <f t="shared" si="5"/>
        <v>1</v>
      </c>
      <c r="L195" s="62" t="b">
        <f t="shared" si="6"/>
        <v>0</v>
      </c>
      <c r="M195" s="60" t="str">
        <f>IFERROR(__xludf.DUMMYFUNCTION("if(regexmatch(B195,""e(.*)$""),regexextract(B195,""e(.*)$""),"""")"),"-15")</f>
        <v>-15</v>
      </c>
    </row>
    <row r="196">
      <c r="A196" s="17" t="s">
        <v>2284</v>
      </c>
      <c r="B196" s="17" t="s">
        <v>2285</v>
      </c>
      <c r="C196" s="17" t="s">
        <v>1501</v>
      </c>
      <c r="D196" s="17" t="s">
        <v>2286</v>
      </c>
      <c r="E196" s="60" t="str">
        <f>VLOOKUP($A196,nist_names_ids!A:B,2,false)</f>
        <v>r</v>
      </c>
      <c r="F196" s="61">
        <f>countif(Constants!A:A,E196)</f>
        <v>1</v>
      </c>
      <c r="G196" s="62" t="str">
        <f t="shared" si="1"/>
        <v>8.314462618</v>
      </c>
      <c r="H196" s="62">
        <f t="shared" si="2"/>
        <v>8.314462618</v>
      </c>
      <c r="I196" s="62" t="str">
        <f t="shared" si="3"/>
        <v>(exact)</v>
      </c>
      <c r="J196" s="63" t="str">
        <f t="shared" si="4"/>
        <v/>
      </c>
      <c r="K196" s="62" t="b">
        <f t="shared" si="5"/>
        <v>1</v>
      </c>
      <c r="L196" s="62" t="b">
        <f t="shared" si="6"/>
        <v>0</v>
      </c>
      <c r="M196" s="60" t="str">
        <f>IFERROR(__xludf.DUMMYFUNCTION("if(regexmatch(B196,""e(.*)$""),regexextract(B196,""e(.*)$""),"""")"),"")</f>
        <v/>
      </c>
    </row>
    <row r="197">
      <c r="A197" s="17" t="s">
        <v>2287</v>
      </c>
      <c r="B197" s="17" t="s">
        <v>2288</v>
      </c>
      <c r="C197" s="17" t="s">
        <v>2289</v>
      </c>
      <c r="D197" s="17" t="s">
        <v>286</v>
      </c>
      <c r="E197" s="60" t="str">
        <f>VLOOKUP($A197,nist_names_ids!A:B,2,false)</f>
        <v>mu</v>
      </c>
      <c r="F197" s="61">
        <f>countif(Constants!A:A,E197)</f>
        <v>1</v>
      </c>
      <c r="G197" s="62" t="str">
        <f t="shared" si="1"/>
        <v>1.00000000105e-3</v>
      </c>
      <c r="H197" s="62">
        <f t="shared" si="2"/>
        <v>0.001000000001</v>
      </c>
      <c r="I197" s="62" t="str">
        <f t="shared" si="3"/>
        <v>0.00000000031e-3</v>
      </c>
      <c r="J197" s="63">
        <f t="shared" si="4"/>
        <v>0</v>
      </c>
      <c r="K197" s="62" t="b">
        <f t="shared" si="5"/>
        <v>0</v>
      </c>
      <c r="L197" s="62" t="b">
        <f t="shared" si="6"/>
        <v>0</v>
      </c>
      <c r="M197" s="60" t="str">
        <f>IFERROR(__xludf.DUMMYFUNCTION("if(regexmatch(B197,""e(.*)$""),regexextract(B197,""e(.*)$""),"""")"),"-3")</f>
        <v>-3</v>
      </c>
    </row>
    <row r="198">
      <c r="A198" s="17" t="s">
        <v>2290</v>
      </c>
      <c r="B198" s="17" t="s">
        <v>2291</v>
      </c>
      <c r="C198" s="17" t="s">
        <v>2292</v>
      </c>
      <c r="D198" s="17" t="s">
        <v>286</v>
      </c>
      <c r="E198" s="60" t="str">
        <f>VLOOKUP($A198,nist_names_ids!A:B,2,false)</f>
        <v>mm12c</v>
      </c>
      <c r="F198" s="61">
        <f>countif(Constants!A:A,E198)</f>
        <v>1</v>
      </c>
      <c r="G198" s="62" t="str">
        <f t="shared" si="1"/>
        <v>12.0000000126e-3</v>
      </c>
      <c r="H198" s="62">
        <f t="shared" si="2"/>
        <v>0.01200000001</v>
      </c>
      <c r="I198" s="62" t="str">
        <f t="shared" si="3"/>
        <v>0.0000000037e-3</v>
      </c>
      <c r="J198" s="63">
        <f t="shared" si="4"/>
        <v>0</v>
      </c>
      <c r="K198" s="62" t="b">
        <f t="shared" si="5"/>
        <v>0</v>
      </c>
      <c r="L198" s="62" t="b">
        <f t="shared" si="6"/>
        <v>0</v>
      </c>
      <c r="M198" s="60" t="str">
        <f>IFERROR(__xludf.DUMMYFUNCTION("if(regexmatch(B198,""e(.*)$""),regexextract(B198,""e(.*)$""),"""")"),"-3")</f>
        <v>-3</v>
      </c>
    </row>
    <row r="199">
      <c r="A199" s="17" t="s">
        <v>2295</v>
      </c>
      <c r="B199" s="17" t="s">
        <v>2296</v>
      </c>
      <c r="C199" s="17" t="s">
        <v>1501</v>
      </c>
      <c r="D199" s="17" t="s">
        <v>2297</v>
      </c>
      <c r="E199" s="60" t="str">
        <f>VLOOKUP($A199,nist_names_ids!A:B,2,false)</f>
        <v>nah</v>
      </c>
      <c r="F199" s="61">
        <f>countif(Constants!A:A,E199)</f>
        <v>1</v>
      </c>
      <c r="G199" s="62" t="str">
        <f t="shared" si="1"/>
        <v>3.990312712e-10</v>
      </c>
      <c r="H199" s="62">
        <f t="shared" si="2"/>
        <v>0.0000000003990312712</v>
      </c>
      <c r="I199" s="62" t="str">
        <f t="shared" si="3"/>
        <v>(exact)</v>
      </c>
      <c r="J199" s="63" t="str">
        <f t="shared" si="4"/>
        <v/>
      </c>
      <c r="K199" s="62" t="b">
        <f t="shared" si="5"/>
        <v>1</v>
      </c>
      <c r="L199" s="62" t="b">
        <f t="shared" si="6"/>
        <v>0</v>
      </c>
      <c r="M199" s="60" t="str">
        <f>IFERROR(__xludf.DUMMYFUNCTION("if(regexmatch(B199,""e(.*)$""),regexextract(B199,""e(.*)$""),"""")"),"-10")</f>
        <v>-10</v>
      </c>
    </row>
    <row r="200">
      <c r="A200" s="17" t="s">
        <v>2300</v>
      </c>
      <c r="B200" s="17" t="s">
        <v>2301</v>
      </c>
      <c r="C200" s="17" t="s">
        <v>1501</v>
      </c>
      <c r="D200" s="17" t="s">
        <v>2302</v>
      </c>
      <c r="E200" s="60" t="str">
        <f>VLOOKUP($A200,nist_names_ids!A:B,2,false)</f>
        <v>mvol</v>
      </c>
      <c r="F200" s="61">
        <f>countif(Constants!A:A,E200)</f>
        <v>1</v>
      </c>
      <c r="G200" s="62" t="str">
        <f t="shared" si="1"/>
        <v>22.71095464e-3</v>
      </c>
      <c r="H200" s="62">
        <f t="shared" si="2"/>
        <v>0.02271095464</v>
      </c>
      <c r="I200" s="62" t="str">
        <f t="shared" si="3"/>
        <v>(exact)</v>
      </c>
      <c r="J200" s="63" t="str">
        <f t="shared" si="4"/>
        <v/>
      </c>
      <c r="K200" s="62" t="b">
        <f t="shared" si="5"/>
        <v>1</v>
      </c>
      <c r="L200" s="62" t="b">
        <f t="shared" si="6"/>
        <v>0</v>
      </c>
      <c r="M200" s="60" t="str">
        <f>IFERROR(__xludf.DUMMYFUNCTION("if(regexmatch(B200,""e(.*)$""),regexextract(B200,""e(.*)$""),"""")"),"-3")</f>
        <v>-3</v>
      </c>
    </row>
    <row r="201">
      <c r="A201" s="17" t="s">
        <v>2303</v>
      </c>
      <c r="B201" s="17" t="s">
        <v>2304</v>
      </c>
      <c r="C201" s="17" t="s">
        <v>1501</v>
      </c>
      <c r="D201" s="17" t="s">
        <v>2302</v>
      </c>
      <c r="E201" s="60" t="str">
        <f>VLOOKUP($A201,nist_names_ids!A:B,2,false)</f>
        <v>mvolstd</v>
      </c>
      <c r="F201" s="61">
        <f>countif(Constants!A:A,E201)</f>
        <v>1</v>
      </c>
      <c r="G201" s="62" t="str">
        <f t="shared" si="1"/>
        <v>22.41396954e-3</v>
      </c>
      <c r="H201" s="62">
        <f t="shared" si="2"/>
        <v>0.02241396954</v>
      </c>
      <c r="I201" s="62" t="str">
        <f t="shared" si="3"/>
        <v>(exact)</v>
      </c>
      <c r="J201" s="63" t="str">
        <f t="shared" si="4"/>
        <v/>
      </c>
      <c r="K201" s="62" t="b">
        <f t="shared" si="5"/>
        <v>1</v>
      </c>
      <c r="L201" s="62" t="b">
        <f t="shared" si="6"/>
        <v>0</v>
      </c>
      <c r="M201" s="60" t="str">
        <f>IFERROR(__xludf.DUMMYFUNCTION("if(regexmatch(B201,""e(.*)$""),regexextract(B201,""e(.*)$""),"""")"),"-3")</f>
        <v>-3</v>
      </c>
    </row>
    <row r="202">
      <c r="A202" s="17" t="s">
        <v>2308</v>
      </c>
      <c r="B202" s="17" t="s">
        <v>2309</v>
      </c>
      <c r="C202" s="17" t="s">
        <v>2310</v>
      </c>
      <c r="D202" s="17" t="s">
        <v>2302</v>
      </c>
      <c r="E202" s="60" t="str">
        <f>VLOOKUP($A202,nist_names_ids!A:B,2,false)</f>
        <v>mvolsil</v>
      </c>
      <c r="F202" s="61">
        <f>countif(Constants!A:A,E202)</f>
        <v>1</v>
      </c>
      <c r="G202" s="62" t="str">
        <f t="shared" si="1"/>
        <v>1.205883199e-5</v>
      </c>
      <c r="H202" s="62">
        <f t="shared" si="2"/>
        <v>0.00001205883199</v>
      </c>
      <c r="I202" s="62" t="str">
        <f t="shared" si="3"/>
        <v>0.000000060e-5</v>
      </c>
      <c r="J202" s="63">
        <f t="shared" si="4"/>
        <v>0</v>
      </c>
      <c r="K202" s="62" t="b">
        <f t="shared" si="5"/>
        <v>0</v>
      </c>
      <c r="L202" s="62" t="b">
        <f t="shared" si="6"/>
        <v>0</v>
      </c>
      <c r="M202" s="60" t="str">
        <f>IFERROR(__xludf.DUMMYFUNCTION("if(regexmatch(B202,""e(.*)$""),regexextract(B202,""e(.*)$""),"""")"),"-5")</f>
        <v>-5</v>
      </c>
    </row>
    <row r="203">
      <c r="A203" s="17" t="s">
        <v>2313</v>
      </c>
      <c r="B203" s="17" t="s">
        <v>2314</v>
      </c>
      <c r="C203" s="17" t="s">
        <v>2315</v>
      </c>
      <c r="D203" s="17" t="s">
        <v>381</v>
      </c>
      <c r="E203" s="60" t="str">
        <f>VLOOKUP($A203,nist_names_ids!A:B,2,false)</f>
        <v>xumokalph1</v>
      </c>
      <c r="F203" s="61">
        <f>countif(Constants!A:A,E203)</f>
        <v>1</v>
      </c>
      <c r="G203" s="62" t="str">
        <f t="shared" si="1"/>
        <v>1.00209952e-13</v>
      </c>
      <c r="H203" s="62">
        <f t="shared" si="2"/>
        <v>0</v>
      </c>
      <c r="I203" s="62" t="str">
        <f t="shared" si="3"/>
        <v>0.00000053e-13</v>
      </c>
      <c r="J203" s="63">
        <f t="shared" si="4"/>
        <v>0</v>
      </c>
      <c r="K203" s="62" t="b">
        <f t="shared" si="5"/>
        <v>0</v>
      </c>
      <c r="L203" s="62" t="b">
        <f t="shared" si="6"/>
        <v>0</v>
      </c>
      <c r="M203" s="60" t="str">
        <f>IFERROR(__xludf.DUMMYFUNCTION("if(regexmatch(B203,""e(.*)$""),regexextract(B203,""e(.*)$""),"""")"),"-13")</f>
        <v>-13</v>
      </c>
    </row>
    <row r="204">
      <c r="A204" s="17" t="s">
        <v>2318</v>
      </c>
      <c r="B204" s="17" t="s">
        <v>2319</v>
      </c>
      <c r="C204" s="17" t="s">
        <v>2320</v>
      </c>
      <c r="D204" s="17" t="s">
        <v>381</v>
      </c>
      <c r="E204" s="60" t="str">
        <f>VLOOKUP($A204,nist_names_ids!A:B,2,false)</f>
        <v>mcomwl</v>
      </c>
      <c r="F204" s="61">
        <f>countif(Constants!A:A,E204)</f>
        <v>1</v>
      </c>
      <c r="G204" s="62" t="str">
        <f t="shared" si="1"/>
        <v>1.173444110e-14</v>
      </c>
      <c r="H204" s="62">
        <f t="shared" si="2"/>
        <v>0</v>
      </c>
      <c r="I204" s="62" t="str">
        <f t="shared" si="3"/>
        <v>0.000000026e-14</v>
      </c>
      <c r="J204" s="63">
        <f t="shared" si="4"/>
        <v>0</v>
      </c>
      <c r="K204" s="62" t="b">
        <f t="shared" si="5"/>
        <v>0</v>
      </c>
      <c r="L204" s="62" t="b">
        <f t="shared" si="6"/>
        <v>0</v>
      </c>
      <c r="M204" s="60" t="str">
        <f>IFERROR(__xludf.DUMMYFUNCTION("if(regexmatch(B204,""e(.*)$""),regexextract(B204,""e(.*)$""),"""")"),"-14")</f>
        <v>-14</v>
      </c>
    </row>
    <row r="205">
      <c r="A205" s="17" t="s">
        <v>2326</v>
      </c>
      <c r="B205" s="17" t="s">
        <v>2327</v>
      </c>
      <c r="C205" s="17" t="s">
        <v>1866</v>
      </c>
      <c r="E205" s="60" t="str">
        <f>VLOOKUP($A205,nist_names_ids!A:B,2,false)</f>
        <v>mmusme</v>
      </c>
      <c r="F205" s="61">
        <f>countif(Constants!A:A,E205)</f>
        <v>1</v>
      </c>
      <c r="G205" s="62" t="str">
        <f t="shared" si="1"/>
        <v>206.7682827</v>
      </c>
      <c r="H205" s="62">
        <f t="shared" si="2"/>
        <v>206.7682827</v>
      </c>
      <c r="I205" s="62" t="str">
        <f t="shared" si="3"/>
        <v>0.0000046</v>
      </c>
      <c r="J205" s="63">
        <f t="shared" si="4"/>
        <v>0.0000046</v>
      </c>
      <c r="K205" s="62" t="b">
        <f t="shared" si="5"/>
        <v>0</v>
      </c>
      <c r="L205" s="62" t="b">
        <f t="shared" si="6"/>
        <v>0</v>
      </c>
      <c r="M205" s="60" t="str">
        <f>IFERROR(__xludf.DUMMYFUNCTION("if(regexmatch(B205,""e(.*)$""),regexextract(B205,""e(.*)$""),"""")"),"")</f>
        <v/>
      </c>
    </row>
    <row r="206">
      <c r="A206" s="17" t="s">
        <v>2330</v>
      </c>
      <c r="B206" s="17" t="s">
        <v>2331</v>
      </c>
      <c r="C206" s="17" t="s">
        <v>2332</v>
      </c>
      <c r="E206" s="60" t="str">
        <f>VLOOKUP($A206,nist_names_ids!A:B,2,false)</f>
        <v>gmum</v>
      </c>
      <c r="F206" s="61">
        <f>countif(Constants!A:A,E206)</f>
        <v>1</v>
      </c>
      <c r="G206" s="62" t="str">
        <f t="shared" si="1"/>
        <v>-2.00233184123</v>
      </c>
      <c r="H206" s="62">
        <f t="shared" si="2"/>
        <v>-2.002331841</v>
      </c>
      <c r="I206" s="62" t="str">
        <f t="shared" si="3"/>
        <v>0.00000000082</v>
      </c>
      <c r="J206" s="63">
        <f t="shared" si="4"/>
        <v>0.00000000082</v>
      </c>
      <c r="K206" s="62" t="b">
        <f t="shared" si="5"/>
        <v>0</v>
      </c>
      <c r="L206" s="62" t="b">
        <f t="shared" si="6"/>
        <v>0</v>
      </c>
      <c r="M206" s="60" t="str">
        <f>IFERROR(__xludf.DUMMYFUNCTION("if(regexmatch(B206,""e(.*)$""),regexextract(B206,""e(.*)$""),"""")"),"")</f>
        <v/>
      </c>
    </row>
    <row r="207">
      <c r="A207" s="17" t="s">
        <v>2333</v>
      </c>
      <c r="B207" s="17" t="s">
        <v>2334</v>
      </c>
      <c r="C207" s="17" t="s">
        <v>2335</v>
      </c>
      <c r="D207" s="17" t="s">
        <v>964</v>
      </c>
      <c r="E207" s="60" t="str">
        <f>VLOOKUP($A207,nist_names_ids!A:B,2,false)</f>
        <v>mumum</v>
      </c>
      <c r="F207" s="61">
        <f>countif(Constants!A:A,E207)</f>
        <v>1</v>
      </c>
      <c r="G207" s="62" t="str">
        <f t="shared" si="1"/>
        <v>-4.49044830e-26</v>
      </c>
      <c r="H207" s="62">
        <f t="shared" si="2"/>
        <v>0</v>
      </c>
      <c r="I207" s="62" t="str">
        <f t="shared" si="3"/>
        <v>0.00000010e-26</v>
      </c>
      <c r="J207" s="63">
        <f t="shared" si="4"/>
        <v>0</v>
      </c>
      <c r="K207" s="62" t="b">
        <f t="shared" si="5"/>
        <v>0</v>
      </c>
      <c r="L207" s="62" t="b">
        <f t="shared" si="6"/>
        <v>0</v>
      </c>
      <c r="M207" s="60" t="str">
        <f>IFERROR(__xludf.DUMMYFUNCTION("if(regexmatch(B207,""e(.*)$""),regexextract(B207,""e(.*)$""),"""")"),"-26")</f>
        <v>-26</v>
      </c>
    </row>
    <row r="208">
      <c r="A208" s="17" t="s">
        <v>2338</v>
      </c>
      <c r="B208" s="17" t="s">
        <v>2339</v>
      </c>
      <c r="C208" s="17" t="s">
        <v>2340</v>
      </c>
      <c r="E208" s="60" t="str">
        <f>VLOOKUP($A208,nist_names_ids!A:B,2,false)</f>
        <v>amu</v>
      </c>
      <c r="F208" s="61">
        <f>countif(Constants!A:A,E208)</f>
        <v>1</v>
      </c>
      <c r="G208" s="62" t="str">
        <f t="shared" si="1"/>
        <v>1.16592062e-3</v>
      </c>
      <c r="H208" s="62">
        <f t="shared" si="2"/>
        <v>0.00116592062</v>
      </c>
      <c r="I208" s="62" t="str">
        <f t="shared" si="3"/>
        <v>0.00000041e-3</v>
      </c>
      <c r="J208" s="63">
        <f t="shared" si="4"/>
        <v>0.00000000041</v>
      </c>
      <c r="K208" s="62" t="b">
        <f t="shared" si="5"/>
        <v>0</v>
      </c>
      <c r="L208" s="62" t="b">
        <f t="shared" si="6"/>
        <v>0</v>
      </c>
      <c r="M208" s="60" t="str">
        <f>IFERROR(__xludf.DUMMYFUNCTION("if(regexmatch(B208,""e(.*)$""),regexextract(B208,""e(.*)$""),"""")"),"-3")</f>
        <v>-3</v>
      </c>
    </row>
    <row r="209">
      <c r="A209" s="17" t="s">
        <v>2344</v>
      </c>
      <c r="B209" s="17" t="s">
        <v>2345</v>
      </c>
      <c r="C209" s="17" t="s">
        <v>1870</v>
      </c>
      <c r="E209" s="60" t="str">
        <f>VLOOKUP($A209,nist_names_ids!A:B,2,false)</f>
        <v>mumumsmub</v>
      </c>
      <c r="F209" s="61">
        <f>countif(Constants!A:A,E209)</f>
        <v>1</v>
      </c>
      <c r="G209" s="62" t="str">
        <f t="shared" si="1"/>
        <v>-4.84197048e-3</v>
      </c>
      <c r="H209" s="62">
        <f t="shared" si="2"/>
        <v>-0.00484197048</v>
      </c>
      <c r="I209" s="62" t="str">
        <f t="shared" si="3"/>
        <v>0.00000011e-3</v>
      </c>
      <c r="J209" s="63">
        <f t="shared" si="4"/>
        <v>0.00000000011</v>
      </c>
      <c r="K209" s="62" t="b">
        <f t="shared" si="5"/>
        <v>0</v>
      </c>
      <c r="L209" s="62" t="b">
        <f t="shared" si="6"/>
        <v>0</v>
      </c>
      <c r="M209" s="60" t="str">
        <f>IFERROR(__xludf.DUMMYFUNCTION("if(regexmatch(B209,""e(.*)$""),regexextract(B209,""e(.*)$""),"""")"),"-3")</f>
        <v>-3</v>
      </c>
    </row>
    <row r="210">
      <c r="A210" s="17" t="s">
        <v>2346</v>
      </c>
      <c r="B210" s="17" t="s">
        <v>2347</v>
      </c>
      <c r="C210" s="17" t="s">
        <v>2348</v>
      </c>
      <c r="E210" s="60" t="str">
        <f>VLOOKUP($A210,nist_names_ids!A:B,2,false)</f>
        <v>mumumsmun</v>
      </c>
      <c r="F210" s="61">
        <f>countif(Constants!A:A,E210)</f>
        <v>1</v>
      </c>
      <c r="G210" s="62" t="str">
        <f t="shared" si="1"/>
        <v>-8.89059704</v>
      </c>
      <c r="H210" s="62">
        <f t="shared" si="2"/>
        <v>-8.89059704</v>
      </c>
      <c r="I210" s="62" t="str">
        <f t="shared" si="3"/>
        <v>0.00000020</v>
      </c>
      <c r="J210" s="63">
        <f t="shared" si="4"/>
        <v>0.0000002</v>
      </c>
      <c r="K210" s="62" t="b">
        <f t="shared" si="5"/>
        <v>0</v>
      </c>
      <c r="L210" s="62" t="b">
        <f t="shared" si="6"/>
        <v>0</v>
      </c>
      <c r="M210" s="60" t="str">
        <f>IFERROR(__xludf.DUMMYFUNCTION("if(regexmatch(B210,""e(.*)$""),regexextract(B210,""e(.*)$""),"""")"),"")</f>
        <v/>
      </c>
    </row>
    <row r="211">
      <c r="A211" s="17" t="s">
        <v>2349</v>
      </c>
      <c r="B211" s="17" t="s">
        <v>2350</v>
      </c>
      <c r="C211" s="17" t="s">
        <v>2351</v>
      </c>
      <c r="D211" s="17" t="s">
        <v>98</v>
      </c>
      <c r="E211" s="60" t="str">
        <f>VLOOKUP($A211,nist_names_ids!A:B,2,false)</f>
        <v>mmu</v>
      </c>
      <c r="F211" s="61">
        <f>countif(Constants!A:A,E211)</f>
        <v>1</v>
      </c>
      <c r="G211" s="62" t="str">
        <f t="shared" si="1"/>
        <v>1.883531627e-28</v>
      </c>
      <c r="H211" s="62">
        <f t="shared" si="2"/>
        <v>0</v>
      </c>
      <c r="I211" s="62" t="str">
        <f t="shared" si="3"/>
        <v>0.000000042e-28</v>
      </c>
      <c r="J211" s="63">
        <f t="shared" si="4"/>
        <v>0</v>
      </c>
      <c r="K211" s="62" t="b">
        <f t="shared" si="5"/>
        <v>0</v>
      </c>
      <c r="L211" s="62" t="b">
        <f t="shared" si="6"/>
        <v>0</v>
      </c>
      <c r="M211" s="60" t="str">
        <f>IFERROR(__xludf.DUMMYFUNCTION("if(regexmatch(B211,""e(.*)$""),regexextract(B211,""e(.*)$""),"""")"),"-28")</f>
        <v>-28</v>
      </c>
    </row>
    <row r="212">
      <c r="A212" s="17" t="s">
        <v>2357</v>
      </c>
      <c r="B212" s="17" t="s">
        <v>2358</v>
      </c>
      <c r="C212" s="17" t="s">
        <v>2359</v>
      </c>
      <c r="D212" s="17" t="s">
        <v>173</v>
      </c>
      <c r="E212" s="60" t="str">
        <f>VLOOKUP($A212,nist_names_ids!A:B,2,false)</f>
        <v>mmuc2</v>
      </c>
      <c r="F212" s="61">
        <f>countif(Constants!A:A,E212)</f>
        <v>1</v>
      </c>
      <c r="G212" s="62" t="str">
        <f t="shared" si="1"/>
        <v>1.692833804e-11</v>
      </c>
      <c r="H212" s="62">
        <f t="shared" si="2"/>
        <v>0</v>
      </c>
      <c r="I212" s="62" t="str">
        <f t="shared" si="3"/>
        <v>0.000000038e-11</v>
      </c>
      <c r="J212" s="63">
        <f t="shared" si="4"/>
        <v>0</v>
      </c>
      <c r="K212" s="62" t="b">
        <f t="shared" si="5"/>
        <v>0</v>
      </c>
      <c r="L212" s="62" t="b">
        <f t="shared" si="6"/>
        <v>0</v>
      </c>
      <c r="M212" s="60" t="str">
        <f>IFERROR(__xludf.DUMMYFUNCTION("if(regexmatch(B212,""e(.*)$""),regexextract(B212,""e(.*)$""),"""")"),"-11")</f>
        <v>-11</v>
      </c>
    </row>
    <row r="213">
      <c r="A213" s="17" t="s">
        <v>2362</v>
      </c>
      <c r="B213" s="17" t="s">
        <v>2363</v>
      </c>
      <c r="C213" s="17" t="s">
        <v>2364</v>
      </c>
      <c r="D213" s="17" t="s">
        <v>224</v>
      </c>
      <c r="E213" s="60" t="str">
        <f>VLOOKUP($A213,nist_names_ids!A:B,2,false)</f>
        <v>mmuc2mev</v>
      </c>
      <c r="F213" s="61">
        <f>countif(Constants!A:A,E213)</f>
        <v>1</v>
      </c>
      <c r="G213" s="62" t="str">
        <f t="shared" si="1"/>
        <v>105.6583755</v>
      </c>
      <c r="H213" s="62">
        <f t="shared" si="2"/>
        <v>105.6583755</v>
      </c>
      <c r="I213" s="62" t="str">
        <f t="shared" si="3"/>
        <v>0.0000023</v>
      </c>
      <c r="J213" s="63">
        <f t="shared" si="4"/>
        <v>0.0000023</v>
      </c>
      <c r="K213" s="62" t="b">
        <f t="shared" si="5"/>
        <v>0</v>
      </c>
      <c r="L213" s="62" t="b">
        <f t="shared" si="6"/>
        <v>0</v>
      </c>
      <c r="M213" s="60" t="str">
        <f>IFERROR(__xludf.DUMMYFUNCTION("if(regexmatch(B213,""e(.*)$""),regexextract(B213,""e(.*)$""),"""")"),"")</f>
        <v/>
      </c>
    </row>
    <row r="214">
      <c r="A214" s="17" t="s">
        <v>2367</v>
      </c>
      <c r="B214" s="17" t="s">
        <v>2368</v>
      </c>
      <c r="C214" s="17" t="s">
        <v>2369</v>
      </c>
      <c r="D214" s="17" t="s">
        <v>249</v>
      </c>
      <c r="E214" s="60" t="str">
        <f>VLOOKUP($A214,nist_names_ids!A:B,2,false)</f>
        <v>mmuu</v>
      </c>
      <c r="F214" s="61">
        <f>countif(Constants!A:A,E214)</f>
        <v>1</v>
      </c>
      <c r="G214" s="62" t="str">
        <f t="shared" si="1"/>
        <v>0.1134289257</v>
      </c>
      <c r="H214" s="62">
        <f t="shared" si="2"/>
        <v>0.1134289257</v>
      </c>
      <c r="I214" s="62" t="str">
        <f t="shared" si="3"/>
        <v>0.0000000025</v>
      </c>
      <c r="J214" s="63">
        <f t="shared" si="4"/>
        <v>0.0000000025</v>
      </c>
      <c r="K214" s="62" t="b">
        <f t="shared" si="5"/>
        <v>0</v>
      </c>
      <c r="L214" s="62" t="b">
        <f t="shared" si="6"/>
        <v>0</v>
      </c>
      <c r="M214" s="60" t="str">
        <f>IFERROR(__xludf.DUMMYFUNCTION("if(regexmatch(B214,""e(.*)$""),regexextract(B214,""e(.*)$""),"""")"),"")</f>
        <v/>
      </c>
    </row>
    <row r="215">
      <c r="A215" s="17" t="s">
        <v>2372</v>
      </c>
      <c r="B215" s="17" t="s">
        <v>2373</v>
      </c>
      <c r="C215" s="17" t="s">
        <v>2374</v>
      </c>
      <c r="D215" s="17" t="s">
        <v>286</v>
      </c>
      <c r="E215" s="60" t="str">
        <f>VLOOKUP($A215,nist_names_ids!A:B,2,false)</f>
        <v>mmmu</v>
      </c>
      <c r="F215" s="61">
        <f>countif(Constants!A:A,E215)</f>
        <v>1</v>
      </c>
      <c r="G215" s="62" t="str">
        <f t="shared" si="1"/>
        <v>1.134289258e-4</v>
      </c>
      <c r="H215" s="62">
        <f t="shared" si="2"/>
        <v>0.0001134289258</v>
      </c>
      <c r="I215" s="62" t="str">
        <f t="shared" si="3"/>
        <v>0.000000025e-4</v>
      </c>
      <c r="J215" s="63">
        <f t="shared" si="4"/>
        <v>0</v>
      </c>
      <c r="K215" s="62" t="b">
        <f t="shared" si="5"/>
        <v>0</v>
      </c>
      <c r="L215" s="62" t="b">
        <f t="shared" si="6"/>
        <v>0</v>
      </c>
      <c r="M215" s="60" t="str">
        <f>IFERROR(__xludf.DUMMYFUNCTION("if(regexmatch(B215,""e(.*)$""),regexextract(B215,""e(.*)$""),"""")"),"-4")</f>
        <v>-4</v>
      </c>
    </row>
    <row r="216">
      <c r="A216" s="17" t="s">
        <v>2381</v>
      </c>
      <c r="B216" s="17" t="s">
        <v>2382</v>
      </c>
      <c r="C216" s="17" t="s">
        <v>2369</v>
      </c>
      <c r="E216" s="60" t="str">
        <f>VLOOKUP($A216,nist_names_ids!A:B,2,false)</f>
        <v>mmusmn</v>
      </c>
      <c r="F216" s="61">
        <f>countif(Constants!A:A,E216)</f>
        <v>1</v>
      </c>
      <c r="G216" s="62" t="str">
        <f t="shared" si="1"/>
        <v>0.1124545168</v>
      </c>
      <c r="H216" s="62">
        <f t="shared" si="2"/>
        <v>0.1124545168</v>
      </c>
      <c r="I216" s="62" t="str">
        <f t="shared" si="3"/>
        <v>0.0000000025</v>
      </c>
      <c r="J216" s="63">
        <f t="shared" si="4"/>
        <v>0.0000000025</v>
      </c>
      <c r="K216" s="62" t="b">
        <f t="shared" si="5"/>
        <v>0</v>
      </c>
      <c r="L216" s="62" t="b">
        <f t="shared" si="6"/>
        <v>0</v>
      </c>
      <c r="M216" s="60" t="str">
        <f>IFERROR(__xludf.DUMMYFUNCTION("if(regexmatch(B216,""e(.*)$""),regexextract(B216,""e(.*)$""),"""")"),"")</f>
        <v/>
      </c>
    </row>
    <row r="217">
      <c r="A217" s="17" t="s">
        <v>2385</v>
      </c>
      <c r="B217" s="17" t="s">
        <v>2386</v>
      </c>
      <c r="C217" s="17" t="s">
        <v>2387</v>
      </c>
      <c r="E217" s="60" t="str">
        <f>VLOOKUP($A217,nist_names_ids!A:B,2,false)</f>
        <v>mumumsmup</v>
      </c>
      <c r="F217" s="61">
        <f>countif(Constants!A:A,E217)</f>
        <v>1</v>
      </c>
      <c r="G217" s="62" t="str">
        <f t="shared" si="1"/>
        <v>-3.183345146</v>
      </c>
      <c r="H217" s="62">
        <f t="shared" si="2"/>
        <v>-3.183345146</v>
      </c>
      <c r="I217" s="62" t="str">
        <f t="shared" si="3"/>
        <v>0.000000071</v>
      </c>
      <c r="J217" s="63">
        <f t="shared" si="4"/>
        <v>0.000000071</v>
      </c>
      <c r="K217" s="62" t="b">
        <f t="shared" si="5"/>
        <v>0</v>
      </c>
      <c r="L217" s="62" t="b">
        <f t="shared" si="6"/>
        <v>0</v>
      </c>
      <c r="M217" s="60" t="str">
        <f>IFERROR(__xludf.DUMMYFUNCTION("if(regexmatch(B217,""e(.*)$""),regexextract(B217,""e(.*)$""),"""")"),"")</f>
        <v/>
      </c>
    </row>
    <row r="218">
      <c r="A218" s="17" t="s">
        <v>2388</v>
      </c>
      <c r="B218" s="17" t="s">
        <v>2389</v>
      </c>
      <c r="C218" s="17" t="s">
        <v>2369</v>
      </c>
      <c r="E218" s="60" t="str">
        <f>VLOOKUP($A218,nist_names_ids!A:B,2,false)</f>
        <v>mmusmp</v>
      </c>
      <c r="F218" s="61">
        <f>countif(Constants!A:A,E218)</f>
        <v>1</v>
      </c>
      <c r="G218" s="62" t="str">
        <f t="shared" si="1"/>
        <v>0.1126095262</v>
      </c>
      <c r="H218" s="62">
        <f t="shared" si="2"/>
        <v>0.1126095262</v>
      </c>
      <c r="I218" s="62" t="str">
        <f t="shared" si="3"/>
        <v>0.0000000025</v>
      </c>
      <c r="J218" s="63">
        <f t="shared" si="4"/>
        <v>0.0000000025</v>
      </c>
      <c r="K218" s="62" t="b">
        <f t="shared" si="5"/>
        <v>0</v>
      </c>
      <c r="L218" s="62" t="b">
        <f t="shared" si="6"/>
        <v>0</v>
      </c>
      <c r="M218" s="60" t="str">
        <f>IFERROR(__xludf.DUMMYFUNCTION("if(regexmatch(B218,""e(.*)$""),regexextract(B218,""e(.*)$""),"""")"),"")</f>
        <v/>
      </c>
    </row>
    <row r="219">
      <c r="A219" s="17" t="s">
        <v>2392</v>
      </c>
      <c r="B219" s="17" t="s">
        <v>2393</v>
      </c>
      <c r="C219" s="17" t="s">
        <v>2394</v>
      </c>
      <c r="E219" s="60" t="str">
        <f>VLOOKUP($A219,nist_names_ids!A:B,2,false)</f>
        <v>mmusmtau</v>
      </c>
      <c r="F219" s="61">
        <f>countif(Constants!A:A,E219)</f>
        <v>1</v>
      </c>
      <c r="G219" s="62" t="str">
        <f t="shared" si="1"/>
        <v>5.94635e-2</v>
      </c>
      <c r="H219" s="62">
        <f t="shared" si="2"/>
        <v>0.0594635</v>
      </c>
      <c r="I219" s="62" t="str">
        <f t="shared" si="3"/>
        <v>0.00040e-2</v>
      </c>
      <c r="J219" s="63">
        <f t="shared" si="4"/>
        <v>0.000004</v>
      </c>
      <c r="K219" s="62" t="b">
        <f t="shared" si="5"/>
        <v>0</v>
      </c>
      <c r="L219" s="62" t="b">
        <f t="shared" si="6"/>
        <v>0</v>
      </c>
      <c r="M219" s="60" t="str">
        <f>IFERROR(__xludf.DUMMYFUNCTION("if(regexmatch(B219,""e(.*)$""),regexextract(B219,""e(.*)$""),"""")"),"-2")</f>
        <v>-2</v>
      </c>
    </row>
    <row r="220">
      <c r="A220" s="17" t="s">
        <v>2399</v>
      </c>
      <c r="B220" s="17" t="s">
        <v>1500</v>
      </c>
      <c r="C220" s="17" t="s">
        <v>1501</v>
      </c>
      <c r="D220" s="17" t="s">
        <v>714</v>
      </c>
      <c r="E220" s="60" t="str">
        <f>VLOOKUP($A220,nist_names_ids!A:B,2,false)</f>
        <v>thbar</v>
      </c>
      <c r="F220" s="61">
        <f>countif(Constants!A:A,E220)</f>
        <v>1</v>
      </c>
      <c r="G220" s="62" t="str">
        <f t="shared" si="1"/>
        <v>1.054571817e-34</v>
      </c>
      <c r="H220" s="62">
        <f t="shared" si="2"/>
        <v>0</v>
      </c>
      <c r="I220" s="62" t="str">
        <f t="shared" si="3"/>
        <v>(exact)</v>
      </c>
      <c r="J220" s="63" t="str">
        <f t="shared" si="4"/>
        <v/>
      </c>
      <c r="K220" s="62" t="b">
        <f t="shared" si="5"/>
        <v>1</v>
      </c>
      <c r="L220" s="62" t="b">
        <f t="shared" si="6"/>
        <v>0</v>
      </c>
      <c r="M220" s="60" t="str">
        <f>IFERROR(__xludf.DUMMYFUNCTION("if(regexmatch(B220,""e(.*)$""),regexextract(B220,""e(.*)$""),"""")"),"-34")</f>
        <v>-34</v>
      </c>
    </row>
    <row r="221">
      <c r="A221" s="17" t="s">
        <v>2400</v>
      </c>
      <c r="B221" s="17" t="s">
        <v>2401</v>
      </c>
      <c r="C221" s="17" t="s">
        <v>1501</v>
      </c>
      <c r="D221" s="17" t="s">
        <v>2402</v>
      </c>
      <c r="E221" s="60" t="str">
        <f>VLOOKUP($A221,nist_names_ids!A:B,2,false)</f>
        <v>thbarev</v>
      </c>
      <c r="F221" s="61">
        <f>countif(Constants!A:A,E221)</f>
        <v>1</v>
      </c>
      <c r="G221" s="62" t="str">
        <f t="shared" si="1"/>
        <v>6.582119569e-16</v>
      </c>
      <c r="H221" s="62">
        <f t="shared" si="2"/>
        <v>0</v>
      </c>
      <c r="I221" s="62" t="str">
        <f t="shared" si="3"/>
        <v>(exact)</v>
      </c>
      <c r="J221" s="63" t="str">
        <f t="shared" si="4"/>
        <v/>
      </c>
      <c r="K221" s="62" t="b">
        <f t="shared" si="5"/>
        <v>1</v>
      </c>
      <c r="L221" s="62" t="b">
        <f t="shared" si="6"/>
        <v>0</v>
      </c>
      <c r="M221" s="60" t="str">
        <f>IFERROR(__xludf.DUMMYFUNCTION("if(regexmatch(B221,""e(.*)$""),regexextract(B221,""e(.*)$""),"""")"),"-16")</f>
        <v>-16</v>
      </c>
    </row>
    <row r="222">
      <c r="A222" s="17" t="s">
        <v>2405</v>
      </c>
      <c r="B222" s="17" t="s">
        <v>1847</v>
      </c>
      <c r="C222" s="17" t="s">
        <v>1848</v>
      </c>
      <c r="D222" s="17" t="s">
        <v>173</v>
      </c>
      <c r="E222" s="60" t="str">
        <f>VLOOKUP($A222,nist_names_ids!A:B,2,false)</f>
        <v>tmec2</v>
      </c>
      <c r="F222" s="61">
        <f>countif(Constants!A:A,E222)</f>
        <v>1</v>
      </c>
      <c r="G222" s="62" t="str">
        <f t="shared" si="1"/>
        <v>8.1871057880e-14</v>
      </c>
      <c r="H222" s="62">
        <f t="shared" si="2"/>
        <v>0</v>
      </c>
      <c r="I222" s="62" t="str">
        <f t="shared" si="3"/>
        <v>0.0000000026e-14</v>
      </c>
      <c r="J222" s="63">
        <f t="shared" si="4"/>
        <v>0</v>
      </c>
      <c r="K222" s="62" t="b">
        <f t="shared" si="5"/>
        <v>0</v>
      </c>
      <c r="L222" s="62" t="b">
        <f t="shared" si="6"/>
        <v>0</v>
      </c>
      <c r="M222" s="60" t="str">
        <f>IFERROR(__xludf.DUMMYFUNCTION("if(regexmatch(B222,""e(.*)$""),regexextract(B222,""e(.*)$""),"""")"),"-14")</f>
        <v>-14</v>
      </c>
    </row>
    <row r="223">
      <c r="A223" s="17" t="s">
        <v>2409</v>
      </c>
      <c r="B223" s="17" t="s">
        <v>1850</v>
      </c>
      <c r="C223" s="17" t="s">
        <v>1851</v>
      </c>
      <c r="D223" s="17" t="s">
        <v>224</v>
      </c>
      <c r="E223" s="60" t="str">
        <f>VLOOKUP($A223,nist_names_ids!A:B,2,false)</f>
        <v>tmec2mev</v>
      </c>
      <c r="F223" s="61">
        <f>countif(Constants!A:A,E223)</f>
        <v>1</v>
      </c>
      <c r="G223" s="62" t="str">
        <f t="shared" si="1"/>
        <v>0.51099895069</v>
      </c>
      <c r="H223" s="62">
        <f t="shared" si="2"/>
        <v>0.5109989507</v>
      </c>
      <c r="I223" s="62" t="str">
        <f t="shared" si="3"/>
        <v>0.00000000016</v>
      </c>
      <c r="J223" s="63">
        <f t="shared" si="4"/>
        <v>0.00000000016</v>
      </c>
      <c r="K223" s="62" t="b">
        <f t="shared" si="5"/>
        <v>0</v>
      </c>
      <c r="L223" s="62" t="b">
        <f t="shared" si="6"/>
        <v>0</v>
      </c>
      <c r="M223" s="60" t="str">
        <f>IFERROR(__xludf.DUMMYFUNCTION("if(regexmatch(B223,""e(.*)$""),regexextract(B223,""e(.*)$""),"""")"),"")</f>
        <v/>
      </c>
    </row>
    <row r="224">
      <c r="A224" s="17" t="s">
        <v>2410</v>
      </c>
      <c r="B224" s="17" t="s">
        <v>2411</v>
      </c>
      <c r="C224" s="17" t="s">
        <v>2412</v>
      </c>
      <c r="D224" s="17" t="s">
        <v>381</v>
      </c>
      <c r="E224" s="60" t="str">
        <f>VLOOKUP($A224,nist_names_ids!A:B,2,false)</f>
        <v>tecomwlbar</v>
      </c>
      <c r="F224" s="61">
        <f>countif(Constants!A:A,E224)</f>
        <v>1</v>
      </c>
      <c r="G224" s="62" t="str">
        <f t="shared" si="1"/>
        <v>3.8615926744e-13</v>
      </c>
      <c r="H224" s="62">
        <f t="shared" si="2"/>
        <v>0</v>
      </c>
      <c r="I224" s="62" t="str">
        <f t="shared" si="3"/>
        <v>0.0000000012e-13</v>
      </c>
      <c r="J224" s="63">
        <f t="shared" si="4"/>
        <v>0</v>
      </c>
      <c r="K224" s="62" t="b">
        <f t="shared" si="5"/>
        <v>0</v>
      </c>
      <c r="L224" s="62" t="b">
        <f t="shared" si="6"/>
        <v>0</v>
      </c>
      <c r="M224" s="60" t="str">
        <f>IFERROR(__xludf.DUMMYFUNCTION("if(regexmatch(B224,""e(.*)$""),regexextract(B224,""e(.*)$""),"""")"),"-13")</f>
        <v>-13</v>
      </c>
    </row>
    <row r="225">
      <c r="A225" s="17" t="s">
        <v>2414</v>
      </c>
      <c r="B225" s="17" t="s">
        <v>1559</v>
      </c>
      <c r="C225" s="17" t="s">
        <v>1560</v>
      </c>
      <c r="D225" s="17" t="s">
        <v>98</v>
      </c>
      <c r="E225" s="60" t="str">
        <f>VLOOKUP($A225,nist_names_ids!A:B,2,false)</f>
        <v>tme</v>
      </c>
      <c r="F225" s="61">
        <f>countif(Constants!A:A,E225)</f>
        <v>1</v>
      </c>
      <c r="G225" s="62" t="str">
        <f t="shared" si="1"/>
        <v>9.1093837139e-31</v>
      </c>
      <c r="H225" s="62">
        <f t="shared" si="2"/>
        <v>0</v>
      </c>
      <c r="I225" s="62" t="str">
        <f t="shared" si="3"/>
        <v>0.0000000028e-31</v>
      </c>
      <c r="J225" s="63">
        <f t="shared" si="4"/>
        <v>0</v>
      </c>
      <c r="K225" s="62" t="b">
        <f t="shared" si="5"/>
        <v>0</v>
      </c>
      <c r="L225" s="62" t="b">
        <f t="shared" si="6"/>
        <v>0</v>
      </c>
      <c r="M225" s="60" t="str">
        <f>IFERROR(__xludf.DUMMYFUNCTION("if(regexmatch(B225,""e(.*)$""),regexextract(B225,""e(.*)$""),"""")"),"-31")</f>
        <v>-31</v>
      </c>
    </row>
    <row r="226">
      <c r="A226" s="17" t="s">
        <v>2417</v>
      </c>
      <c r="B226" s="17" t="s">
        <v>2418</v>
      </c>
      <c r="C226" s="17" t="s">
        <v>2419</v>
      </c>
      <c r="D226" s="17" t="s">
        <v>1058</v>
      </c>
      <c r="E226" s="60" t="str">
        <f>VLOOKUP($A226,nist_names_ids!A:B,2,false)</f>
        <v>mec</v>
      </c>
      <c r="F226" s="61">
        <f>countif(Constants!A:A,E226)</f>
        <v>1</v>
      </c>
      <c r="G226" s="62" t="str">
        <f t="shared" si="1"/>
        <v>2.73092453446e-22</v>
      </c>
      <c r="H226" s="62">
        <f t="shared" si="2"/>
        <v>0</v>
      </c>
      <c r="I226" s="62" t="str">
        <f t="shared" si="3"/>
        <v>0.00000000085e-22</v>
      </c>
      <c r="J226" s="63">
        <f t="shared" si="4"/>
        <v>0</v>
      </c>
      <c r="K226" s="62" t="b">
        <f t="shared" si="5"/>
        <v>0</v>
      </c>
      <c r="L226" s="62" t="b">
        <f t="shared" si="6"/>
        <v>0</v>
      </c>
      <c r="M226" s="60" t="str">
        <f>IFERROR(__xludf.DUMMYFUNCTION("if(regexmatch(B226,""e(.*)$""),regexextract(B226,""e(.*)$""),"""")"),"-22")</f>
        <v>-22</v>
      </c>
    </row>
    <row r="227">
      <c r="A227" s="17" t="s">
        <v>2424</v>
      </c>
      <c r="B227" s="17" t="s">
        <v>1850</v>
      </c>
      <c r="C227" s="17" t="s">
        <v>1851</v>
      </c>
      <c r="D227" s="17" t="s">
        <v>2425</v>
      </c>
      <c r="E227" s="60" t="str">
        <f>VLOOKUP($A227,nist_names_ids!A:B,2,false)</f>
        <v>mecmevsc</v>
      </c>
      <c r="F227" s="61">
        <f>countif(Constants!A:A,E227)</f>
        <v>1</v>
      </c>
      <c r="G227" s="62" t="str">
        <f t="shared" si="1"/>
        <v>0.51099895069</v>
      </c>
      <c r="H227" s="62">
        <f t="shared" si="2"/>
        <v>0.5109989507</v>
      </c>
      <c r="I227" s="62" t="str">
        <f t="shared" si="3"/>
        <v>0.00000000016</v>
      </c>
      <c r="J227" s="63">
        <f t="shared" si="4"/>
        <v>0.00000000016</v>
      </c>
      <c r="K227" s="62" t="b">
        <f t="shared" si="5"/>
        <v>0</v>
      </c>
      <c r="L227" s="62" t="b">
        <f t="shared" si="6"/>
        <v>0</v>
      </c>
      <c r="M227" s="60" t="str">
        <f>IFERROR(__xludf.DUMMYFUNCTION("if(regexmatch(B227,""e(.*)$""),regexextract(B227,""e(.*)$""),"""")"),"")</f>
        <v/>
      </c>
    </row>
    <row r="228">
      <c r="A228" s="17" t="s">
        <v>2427</v>
      </c>
      <c r="B228" s="17" t="s">
        <v>2428</v>
      </c>
      <c r="C228" s="17" t="s">
        <v>2429</v>
      </c>
      <c r="D228" s="17" t="s">
        <v>520</v>
      </c>
      <c r="E228" s="60" t="str">
        <f>VLOOKUP($A228,nist_names_ids!A:B,2,false)</f>
        <v>nut</v>
      </c>
      <c r="F228" s="61">
        <f>countif(Constants!A:A,E228)</f>
        <v>1</v>
      </c>
      <c r="G228" s="62" t="str">
        <f t="shared" si="1"/>
        <v>1.28808866644e-21</v>
      </c>
      <c r="H228" s="62">
        <f t="shared" si="2"/>
        <v>0</v>
      </c>
      <c r="I228" s="62" t="str">
        <f t="shared" si="3"/>
        <v>0.00000000040e-21</v>
      </c>
      <c r="J228" s="63">
        <f t="shared" si="4"/>
        <v>0</v>
      </c>
      <c r="K228" s="62" t="b">
        <f t="shared" si="5"/>
        <v>0</v>
      </c>
      <c r="L228" s="62" t="b">
        <f t="shared" si="6"/>
        <v>0</v>
      </c>
      <c r="M228" s="60" t="str">
        <f>IFERROR(__xludf.DUMMYFUNCTION("if(regexmatch(B228,""e(.*)$""),regexextract(B228,""e(.*)$""),"""")"),"-21")</f>
        <v>-21</v>
      </c>
    </row>
    <row r="229">
      <c r="A229" s="17" t="s">
        <v>2433</v>
      </c>
      <c r="B229" s="17" t="s">
        <v>2145</v>
      </c>
      <c r="C229" s="17" t="s">
        <v>1501</v>
      </c>
      <c r="D229" s="17" t="s">
        <v>1109</v>
      </c>
      <c r="E229" s="60" t="str">
        <f>VLOOKUP($A229,nist_names_ids!A:B,2,false)</f>
        <v>tc</v>
      </c>
      <c r="F229" s="61">
        <f>countif(Constants!A:A,E229)</f>
        <v>1</v>
      </c>
      <c r="G229" s="62" t="str">
        <f t="shared" si="1"/>
        <v>299792458</v>
      </c>
      <c r="H229" s="62">
        <f t="shared" si="2"/>
        <v>299792458</v>
      </c>
      <c r="I229" s="62" t="str">
        <f t="shared" si="3"/>
        <v>(exact)</v>
      </c>
      <c r="J229" s="63" t="str">
        <f t="shared" si="4"/>
        <v/>
      </c>
      <c r="K229" s="62" t="b">
        <f t="shared" si="5"/>
        <v>1</v>
      </c>
      <c r="L229" s="62" t="b">
        <f t="shared" si="6"/>
        <v>0</v>
      </c>
      <c r="M229" s="60" t="str">
        <f>IFERROR(__xludf.DUMMYFUNCTION("if(regexmatch(B229,""e(.*)$""),regexextract(B229,""e(.*)$""),"""")"),"")</f>
        <v/>
      </c>
    </row>
    <row r="230">
      <c r="A230" s="17" t="s">
        <v>2439</v>
      </c>
      <c r="B230" s="17" t="s">
        <v>2440</v>
      </c>
      <c r="C230" s="17" t="s">
        <v>2441</v>
      </c>
      <c r="D230" s="17" t="s">
        <v>381</v>
      </c>
      <c r="E230" s="60" t="str">
        <f>VLOOKUP($A230,nist_names_ids!A:B,2,false)</f>
        <v>ncomwl</v>
      </c>
      <c r="F230" s="61">
        <f>countif(Constants!A:A,E230)</f>
        <v>1</v>
      </c>
      <c r="G230" s="62" t="str">
        <f t="shared" si="1"/>
        <v>1.31959090382e-15</v>
      </c>
      <c r="H230" s="62">
        <f t="shared" si="2"/>
        <v>0</v>
      </c>
      <c r="I230" s="62" t="str">
        <f t="shared" si="3"/>
        <v>0.00000000067e-15</v>
      </c>
      <c r="J230" s="63">
        <f t="shared" si="4"/>
        <v>0</v>
      </c>
      <c r="K230" s="62" t="b">
        <f t="shared" si="5"/>
        <v>0</v>
      </c>
      <c r="L230" s="62" t="b">
        <f t="shared" si="6"/>
        <v>0</v>
      </c>
      <c r="M230" s="60" t="str">
        <f>IFERROR(__xludf.DUMMYFUNCTION("if(regexmatch(B230,""e(.*)$""),regexextract(B230,""e(.*)$""),"""")"),"-15")</f>
        <v>-15</v>
      </c>
    </row>
    <row r="231">
      <c r="A231" s="17" t="s">
        <v>2443</v>
      </c>
      <c r="B231" s="17" t="s">
        <v>2444</v>
      </c>
      <c r="C231" s="17" t="s">
        <v>2445</v>
      </c>
      <c r="E231" s="60" t="str">
        <f>VLOOKUP($A231,nist_names_ids!A:B,2,false)</f>
        <v>munsmue</v>
      </c>
      <c r="F231" s="61">
        <f>countif(Constants!A:A,E231)</f>
        <v>1</v>
      </c>
      <c r="G231" s="62" t="str">
        <f t="shared" si="1"/>
        <v>1.04066884e-3</v>
      </c>
      <c r="H231" s="62">
        <f t="shared" si="2"/>
        <v>0.00104066884</v>
      </c>
      <c r="I231" s="62" t="str">
        <f t="shared" si="3"/>
        <v>0.00000024e-3</v>
      </c>
      <c r="J231" s="63">
        <f t="shared" si="4"/>
        <v>0.00000000024</v>
      </c>
      <c r="K231" s="62" t="b">
        <f t="shared" si="5"/>
        <v>0</v>
      </c>
      <c r="L231" s="62" t="b">
        <f t="shared" si="6"/>
        <v>0</v>
      </c>
      <c r="M231" s="60" t="str">
        <f>IFERROR(__xludf.DUMMYFUNCTION("if(regexmatch(B231,""e(.*)$""),regexextract(B231,""e(.*)$""),"""")"),"-3")</f>
        <v>-3</v>
      </c>
    </row>
    <row r="232">
      <c r="A232" s="17" t="s">
        <v>2448</v>
      </c>
      <c r="B232" s="17" t="s">
        <v>2449</v>
      </c>
      <c r="C232" s="17" t="s">
        <v>2450</v>
      </c>
      <c r="E232" s="60" t="str">
        <f>VLOOKUP($A232,nist_names_ids!A:B,2,false)</f>
        <v>mnsme</v>
      </c>
      <c r="F232" s="61">
        <f>countif(Constants!A:A,E232)</f>
        <v>1</v>
      </c>
      <c r="G232" s="62" t="str">
        <f t="shared" si="1"/>
        <v>1838.68366200</v>
      </c>
      <c r="H232" s="62">
        <f t="shared" si="2"/>
        <v>1838.683662</v>
      </c>
      <c r="I232" s="62" t="str">
        <f t="shared" si="3"/>
        <v>0.00000074</v>
      </c>
      <c r="J232" s="63">
        <f t="shared" si="4"/>
        <v>0.00000074</v>
      </c>
      <c r="K232" s="62" t="b">
        <f t="shared" si="5"/>
        <v>0</v>
      </c>
      <c r="L232" s="62" t="b">
        <f t="shared" si="6"/>
        <v>0</v>
      </c>
      <c r="M232" s="60" t="str">
        <f>IFERROR(__xludf.DUMMYFUNCTION("if(regexmatch(B232,""e(.*)$""),regexextract(B232,""e(.*)$""),"""")"),"")</f>
        <v/>
      </c>
    </row>
    <row r="233">
      <c r="A233" s="17" t="s">
        <v>2454</v>
      </c>
      <c r="B233" s="17" t="s">
        <v>2455</v>
      </c>
      <c r="C233" s="17" t="s">
        <v>2456</v>
      </c>
      <c r="E233" s="60" t="str">
        <f>VLOOKUP($A233,nist_names_ids!A:B,2,false)</f>
        <v>gnn</v>
      </c>
      <c r="F233" s="61">
        <f>countif(Constants!A:A,E233)</f>
        <v>1</v>
      </c>
      <c r="G233" s="62" t="str">
        <f t="shared" si="1"/>
        <v>-3.82608552</v>
      </c>
      <c r="H233" s="62">
        <f t="shared" si="2"/>
        <v>-3.82608552</v>
      </c>
      <c r="I233" s="62" t="str">
        <f t="shared" si="3"/>
        <v>0.00000090</v>
      </c>
      <c r="J233" s="63">
        <f t="shared" si="4"/>
        <v>0.0000009</v>
      </c>
      <c r="K233" s="62" t="b">
        <f t="shared" si="5"/>
        <v>0</v>
      </c>
      <c r="L233" s="62" t="b">
        <f t="shared" si="6"/>
        <v>0</v>
      </c>
      <c r="M233" s="60" t="str">
        <f>IFERROR(__xludf.DUMMYFUNCTION("if(regexmatch(B233,""e(.*)$""),regexextract(B233,""e(.*)$""),"""")"),"")</f>
        <v/>
      </c>
    </row>
    <row r="234">
      <c r="A234" s="17" t="s">
        <v>2459</v>
      </c>
      <c r="B234" s="17" t="s">
        <v>2460</v>
      </c>
      <c r="C234" s="17" t="s">
        <v>2461</v>
      </c>
      <c r="D234" s="17" t="s">
        <v>1717</v>
      </c>
      <c r="E234" s="60" t="str">
        <f>VLOOKUP($A234,nist_names_ids!A:B,2,false)</f>
        <v>gamman</v>
      </c>
      <c r="F234" s="61">
        <f>countif(Constants!A:A,E234)</f>
        <v>1</v>
      </c>
      <c r="G234" s="62" t="str">
        <f t="shared" si="1"/>
        <v>1.83247174e8</v>
      </c>
      <c r="H234" s="62">
        <f t="shared" si="2"/>
        <v>183247174</v>
      </c>
      <c r="I234" s="62" t="str">
        <f t="shared" si="3"/>
        <v>0.00000043e8</v>
      </c>
      <c r="J234" s="63">
        <f t="shared" si="4"/>
        <v>43</v>
      </c>
      <c r="K234" s="62" t="b">
        <f t="shared" si="5"/>
        <v>0</v>
      </c>
      <c r="L234" s="62" t="b">
        <f t="shared" si="6"/>
        <v>0</v>
      </c>
      <c r="M234" s="60" t="str">
        <f>IFERROR(__xludf.DUMMYFUNCTION("if(regexmatch(B234,""e(.*)$""),regexextract(B234,""e(.*)$""),"""")"),"8")</f>
        <v>8</v>
      </c>
    </row>
    <row r="235">
      <c r="A235" s="17" t="s">
        <v>2464</v>
      </c>
      <c r="B235" s="17" t="s">
        <v>2465</v>
      </c>
      <c r="C235" s="17" t="s">
        <v>2466</v>
      </c>
      <c r="D235" s="17" t="s">
        <v>1733</v>
      </c>
      <c r="E235" s="60" t="str">
        <f>VLOOKUP($A235,nist_names_ids!A:B,2,false)</f>
        <v>gammanbar</v>
      </c>
      <c r="F235" s="61">
        <f>countif(Constants!A:A,E235)</f>
        <v>1</v>
      </c>
      <c r="G235" s="62" t="str">
        <f t="shared" si="1"/>
        <v>29.1646935</v>
      </c>
      <c r="H235" s="62">
        <f t="shared" si="2"/>
        <v>29.1646935</v>
      </c>
      <c r="I235" s="62" t="str">
        <f t="shared" si="3"/>
        <v>0.0000069</v>
      </c>
      <c r="J235" s="63">
        <f t="shared" si="4"/>
        <v>0.0000069</v>
      </c>
      <c r="K235" s="62" t="b">
        <f t="shared" si="5"/>
        <v>0</v>
      </c>
      <c r="L235" s="62" t="b">
        <f t="shared" si="6"/>
        <v>0</v>
      </c>
      <c r="M235" s="60" t="str">
        <f>IFERROR(__xludf.DUMMYFUNCTION("if(regexmatch(B235,""e(.*)$""),regexextract(B235,""e(.*)$""),"""")"),"")</f>
        <v/>
      </c>
    </row>
    <row r="236">
      <c r="A236" s="17" t="s">
        <v>2469</v>
      </c>
      <c r="B236" s="17" t="s">
        <v>2470</v>
      </c>
      <c r="C236" s="17" t="s">
        <v>2471</v>
      </c>
      <c r="D236" s="17" t="s">
        <v>964</v>
      </c>
      <c r="E236" s="60" t="str">
        <f>VLOOKUP($A236,nist_names_ids!A:B,2,false)</f>
        <v>munn</v>
      </c>
      <c r="F236" s="61">
        <f>countif(Constants!A:A,E236)</f>
        <v>1</v>
      </c>
      <c r="G236" s="62" t="str">
        <f t="shared" si="1"/>
        <v>-9.6623653e-27</v>
      </c>
      <c r="H236" s="62">
        <f t="shared" si="2"/>
        <v>0</v>
      </c>
      <c r="I236" s="62" t="str">
        <f t="shared" si="3"/>
        <v>0.0000023e-27</v>
      </c>
      <c r="J236" s="63">
        <f t="shared" si="4"/>
        <v>0</v>
      </c>
      <c r="K236" s="62" t="b">
        <f t="shared" si="5"/>
        <v>0</v>
      </c>
      <c r="L236" s="62" t="b">
        <f t="shared" si="6"/>
        <v>0</v>
      </c>
      <c r="M236" s="60" t="str">
        <f>IFERROR(__xludf.DUMMYFUNCTION("if(regexmatch(B236,""e(.*)$""),regexextract(B236,""e(.*)$""),"""")"),"-27")</f>
        <v>-27</v>
      </c>
    </row>
    <row r="237">
      <c r="A237" s="17" t="s">
        <v>2473</v>
      </c>
      <c r="B237" s="17" t="s">
        <v>2474</v>
      </c>
      <c r="C237" s="17" t="s">
        <v>2476</v>
      </c>
      <c r="E237" s="60" t="str">
        <f>VLOOKUP($A237,nist_names_ids!A:B,2,false)</f>
        <v>munsmub</v>
      </c>
      <c r="F237" s="61">
        <f>countif(Constants!A:A,E237)</f>
        <v>1</v>
      </c>
      <c r="G237" s="62" t="str">
        <f t="shared" si="1"/>
        <v>-1.04187565e-3</v>
      </c>
      <c r="H237" s="62">
        <f t="shared" si="2"/>
        <v>-0.00104187565</v>
      </c>
      <c r="I237" s="62" t="str">
        <f t="shared" si="3"/>
        <v>0.00000025e-3</v>
      </c>
      <c r="J237" s="63">
        <f t="shared" si="4"/>
        <v>0.00000000025</v>
      </c>
      <c r="K237" s="62" t="b">
        <f t="shared" si="5"/>
        <v>0</v>
      </c>
      <c r="L237" s="62" t="b">
        <f t="shared" si="6"/>
        <v>0</v>
      </c>
      <c r="M237" s="60" t="str">
        <f>IFERROR(__xludf.DUMMYFUNCTION("if(regexmatch(B237,""e(.*)$""),regexextract(B237,""e(.*)$""),"""")"),"-3")</f>
        <v>-3</v>
      </c>
    </row>
    <row r="238">
      <c r="A238" s="17" t="s">
        <v>2478</v>
      </c>
      <c r="B238" s="17" t="s">
        <v>2480</v>
      </c>
      <c r="C238" s="17" t="s">
        <v>2482</v>
      </c>
      <c r="E238" s="60" t="str">
        <f>VLOOKUP($A238,nist_names_ids!A:B,2,false)</f>
        <v>munsmun</v>
      </c>
      <c r="F238" s="61">
        <f>countif(Constants!A:A,E238)</f>
        <v>1</v>
      </c>
      <c r="G238" s="62" t="str">
        <f t="shared" si="1"/>
        <v>-1.91304276</v>
      </c>
      <c r="H238" s="62">
        <f t="shared" si="2"/>
        <v>-1.91304276</v>
      </c>
      <c r="I238" s="62" t="str">
        <f t="shared" si="3"/>
        <v>0.00000045</v>
      </c>
      <c r="J238" s="63">
        <f t="shared" si="4"/>
        <v>0.00000045</v>
      </c>
      <c r="K238" s="62" t="b">
        <f t="shared" si="5"/>
        <v>0</v>
      </c>
      <c r="L238" s="62" t="b">
        <f t="shared" si="6"/>
        <v>0</v>
      </c>
      <c r="M238" s="60" t="str">
        <f>IFERROR(__xludf.DUMMYFUNCTION("if(regexmatch(B238,""e(.*)$""),regexextract(B238,""e(.*)$""),"""")"),"")</f>
        <v/>
      </c>
    </row>
    <row r="239">
      <c r="A239" s="17" t="s">
        <v>2483</v>
      </c>
      <c r="B239" s="17" t="s">
        <v>2484</v>
      </c>
      <c r="C239" s="17" t="s">
        <v>2486</v>
      </c>
      <c r="D239" s="17" t="s">
        <v>98</v>
      </c>
      <c r="E239" s="60" t="str">
        <f>VLOOKUP($A239,nist_names_ids!A:B,2,false)</f>
        <v>mn</v>
      </c>
      <c r="F239" s="61">
        <f>countif(Constants!A:A,E239)</f>
        <v>1</v>
      </c>
      <c r="G239" s="62" t="str">
        <f t="shared" si="1"/>
        <v>1.67492750056e-27</v>
      </c>
      <c r="H239" s="62">
        <f t="shared" si="2"/>
        <v>0</v>
      </c>
      <c r="I239" s="62" t="str">
        <f t="shared" si="3"/>
        <v>0.00000000085e-27</v>
      </c>
      <c r="J239" s="63">
        <f t="shared" si="4"/>
        <v>0</v>
      </c>
      <c r="K239" s="62" t="b">
        <f t="shared" si="5"/>
        <v>0</v>
      </c>
      <c r="L239" s="62" t="b">
        <f t="shared" si="6"/>
        <v>0</v>
      </c>
      <c r="M239" s="60" t="str">
        <f>IFERROR(__xludf.DUMMYFUNCTION("if(regexmatch(B239,""e(.*)$""),regexextract(B239,""e(.*)$""),"""")"),"-27")</f>
        <v>-27</v>
      </c>
    </row>
    <row r="240">
      <c r="A240" s="17" t="s">
        <v>2490</v>
      </c>
      <c r="B240" s="17" t="s">
        <v>2491</v>
      </c>
      <c r="C240" s="17" t="s">
        <v>2492</v>
      </c>
      <c r="D240" s="17" t="s">
        <v>173</v>
      </c>
      <c r="E240" s="60" t="str">
        <f>VLOOKUP($A240,nist_names_ids!A:B,2,false)</f>
        <v>mnc2</v>
      </c>
      <c r="F240" s="61">
        <f>countif(Constants!A:A,E240)</f>
        <v>1</v>
      </c>
      <c r="G240" s="62" t="str">
        <f t="shared" si="1"/>
        <v>1.50534976514e-10</v>
      </c>
      <c r="H240" s="62">
        <f t="shared" si="2"/>
        <v>0.0000000001505349765</v>
      </c>
      <c r="I240" s="62" t="str">
        <f t="shared" si="3"/>
        <v>0.00000000076e-10</v>
      </c>
      <c r="J240" s="63">
        <f t="shared" si="4"/>
        <v>0</v>
      </c>
      <c r="K240" s="62" t="b">
        <f t="shared" si="5"/>
        <v>0</v>
      </c>
      <c r="L240" s="62" t="b">
        <f t="shared" si="6"/>
        <v>0</v>
      </c>
      <c r="M240" s="60" t="str">
        <f>IFERROR(__xludf.DUMMYFUNCTION("if(regexmatch(B240,""e(.*)$""),regexextract(B240,""e(.*)$""),"""")"),"-10")</f>
        <v>-10</v>
      </c>
    </row>
    <row r="241">
      <c r="A241" s="17" t="s">
        <v>2495</v>
      </c>
      <c r="B241" s="17" t="s">
        <v>2496</v>
      </c>
      <c r="C241" s="17" t="s">
        <v>2497</v>
      </c>
      <c r="D241" s="17" t="s">
        <v>224</v>
      </c>
      <c r="E241" s="60" t="str">
        <f>VLOOKUP($A241,nist_names_ids!A:B,2,false)</f>
        <v>mnc2mev</v>
      </c>
      <c r="F241" s="61">
        <f>countif(Constants!A:A,E241)</f>
        <v>1</v>
      </c>
      <c r="G241" s="62" t="str">
        <f t="shared" si="1"/>
        <v>939.56542194</v>
      </c>
      <c r="H241" s="62">
        <f t="shared" si="2"/>
        <v>939.5654219</v>
      </c>
      <c r="I241" s="62" t="str">
        <f t="shared" si="3"/>
        <v>0.00000048</v>
      </c>
      <c r="J241" s="63">
        <f t="shared" si="4"/>
        <v>0.00000048</v>
      </c>
      <c r="K241" s="62" t="b">
        <f t="shared" si="5"/>
        <v>0</v>
      </c>
      <c r="L241" s="62" t="b">
        <f t="shared" si="6"/>
        <v>0</v>
      </c>
      <c r="M241" s="60" t="str">
        <f>IFERROR(__xludf.DUMMYFUNCTION("if(regexmatch(B241,""e(.*)$""),regexextract(B241,""e(.*)$""),"""")"),"")</f>
        <v/>
      </c>
    </row>
    <row r="242">
      <c r="A242" s="17" t="s">
        <v>2504</v>
      </c>
      <c r="B242" s="17" t="s">
        <v>2505</v>
      </c>
      <c r="C242" s="17" t="s">
        <v>2506</v>
      </c>
      <c r="D242" s="17" t="s">
        <v>249</v>
      </c>
      <c r="E242" s="60" t="str">
        <f>VLOOKUP($A242,nist_names_ids!A:B,2,false)</f>
        <v>mnu</v>
      </c>
      <c r="F242" s="61">
        <f>countif(Constants!A:A,E242)</f>
        <v>1</v>
      </c>
      <c r="G242" s="62" t="str">
        <f t="shared" si="1"/>
        <v>1.00866491606</v>
      </c>
      <c r="H242" s="62">
        <f t="shared" si="2"/>
        <v>1.008664916</v>
      </c>
      <c r="I242" s="62" t="str">
        <f t="shared" si="3"/>
        <v>0.00000000040</v>
      </c>
      <c r="J242" s="63">
        <f t="shared" si="4"/>
        <v>0.0000000004</v>
      </c>
      <c r="K242" s="62" t="b">
        <f t="shared" si="5"/>
        <v>0</v>
      </c>
      <c r="L242" s="62" t="b">
        <f t="shared" si="6"/>
        <v>0</v>
      </c>
      <c r="M242" s="60" t="str">
        <f>IFERROR(__xludf.DUMMYFUNCTION("if(regexmatch(B242,""e(.*)$""),regexextract(B242,""e(.*)$""),"""")"),"")</f>
        <v/>
      </c>
    </row>
    <row r="243">
      <c r="A243" s="17" t="s">
        <v>2508</v>
      </c>
      <c r="B243" s="17" t="s">
        <v>2509</v>
      </c>
      <c r="C243" s="17" t="s">
        <v>2510</v>
      </c>
      <c r="D243" s="17" t="s">
        <v>286</v>
      </c>
      <c r="E243" s="60" t="str">
        <f>VLOOKUP($A243,nist_names_ids!A:B,2,false)</f>
        <v>mmn</v>
      </c>
      <c r="F243" s="61">
        <f>countif(Constants!A:A,E243)</f>
        <v>1</v>
      </c>
      <c r="G243" s="62" t="str">
        <f t="shared" si="1"/>
        <v>1.00866491712e-3</v>
      </c>
      <c r="H243" s="62">
        <f t="shared" si="2"/>
        <v>0.001008664917</v>
      </c>
      <c r="I243" s="62" t="str">
        <f t="shared" si="3"/>
        <v>0.00000000051e-3</v>
      </c>
      <c r="J243" s="63">
        <f t="shared" si="4"/>
        <v>0</v>
      </c>
      <c r="K243" s="62" t="b">
        <f t="shared" si="5"/>
        <v>0</v>
      </c>
      <c r="L243" s="62" t="b">
        <f t="shared" si="6"/>
        <v>0</v>
      </c>
      <c r="M243" s="60" t="str">
        <f>IFERROR(__xludf.DUMMYFUNCTION("if(regexmatch(B243,""e(.*)$""),regexextract(B243,""e(.*)$""),"""")"),"-3")</f>
        <v>-3</v>
      </c>
    </row>
    <row r="244">
      <c r="A244" s="17" t="s">
        <v>2513</v>
      </c>
      <c r="B244" s="17" t="s">
        <v>2514</v>
      </c>
      <c r="C244" s="17" t="s">
        <v>2348</v>
      </c>
      <c r="E244" s="60" t="str">
        <f>VLOOKUP($A244,nist_names_ids!A:B,2,false)</f>
        <v>mnsmmu</v>
      </c>
      <c r="F244" s="61">
        <f>countif(Constants!A:A,E244)</f>
        <v>1</v>
      </c>
      <c r="G244" s="62" t="str">
        <f t="shared" si="1"/>
        <v>8.89248408</v>
      </c>
      <c r="H244" s="62">
        <f t="shared" si="2"/>
        <v>8.89248408</v>
      </c>
      <c r="I244" s="62" t="str">
        <f t="shared" si="3"/>
        <v>0.00000020</v>
      </c>
      <c r="J244" s="63">
        <f t="shared" si="4"/>
        <v>0.0000002</v>
      </c>
      <c r="K244" s="62" t="b">
        <f t="shared" si="5"/>
        <v>0</v>
      </c>
      <c r="L244" s="62" t="b">
        <f t="shared" si="6"/>
        <v>0</v>
      </c>
      <c r="M244" s="60" t="str">
        <f>IFERROR(__xludf.DUMMYFUNCTION("if(regexmatch(B244,""e(.*)$""),regexextract(B244,""e(.*)$""),"""")"),"")</f>
        <v/>
      </c>
    </row>
    <row r="245">
      <c r="A245" s="17" t="s">
        <v>2516</v>
      </c>
      <c r="B245" s="17" t="s">
        <v>2517</v>
      </c>
      <c r="C245" s="17" t="s">
        <v>2020</v>
      </c>
      <c r="E245" s="60" t="str">
        <f>VLOOKUP($A245,nist_names_ids!A:B,2,false)</f>
        <v>munsmup</v>
      </c>
      <c r="F245" s="61">
        <f>countif(Constants!A:A,E245)</f>
        <v>1</v>
      </c>
      <c r="G245" s="62" t="str">
        <f t="shared" si="1"/>
        <v>-0.68497935</v>
      </c>
      <c r="H245" s="62">
        <f t="shared" si="2"/>
        <v>-0.68497935</v>
      </c>
      <c r="I245" s="62" t="str">
        <f t="shared" si="3"/>
        <v>0.00000016</v>
      </c>
      <c r="J245" s="63">
        <f t="shared" si="4"/>
        <v>0.00000016</v>
      </c>
      <c r="K245" s="62" t="b">
        <f t="shared" si="5"/>
        <v>0</v>
      </c>
      <c r="L245" s="62" t="b">
        <f t="shared" si="6"/>
        <v>0</v>
      </c>
      <c r="M245" s="60" t="str">
        <f>IFERROR(__xludf.DUMMYFUNCTION("if(regexmatch(B245,""e(.*)$""),regexextract(B245,""e(.*)$""),"""")"),"")</f>
        <v/>
      </c>
    </row>
    <row r="246">
      <c r="A246" s="17" t="s">
        <v>2523</v>
      </c>
      <c r="B246" s="17" t="s">
        <v>2524</v>
      </c>
      <c r="C246" s="17" t="s">
        <v>2525</v>
      </c>
      <c r="D246" s="17" t="s">
        <v>98</v>
      </c>
      <c r="E246" s="60" t="str">
        <f>VLOOKUP($A246,nist_names_ids!A:B,2,false)</f>
        <v>mnmmp</v>
      </c>
      <c r="F246" s="61">
        <f>countif(Constants!A:A,E246)</f>
        <v>1</v>
      </c>
      <c r="G246" s="62" t="str">
        <f t="shared" si="1"/>
        <v>2.30557461e-30</v>
      </c>
      <c r="H246" s="62">
        <f t="shared" si="2"/>
        <v>0</v>
      </c>
      <c r="I246" s="62" t="str">
        <f t="shared" si="3"/>
        <v>0.00000067e-30</v>
      </c>
      <c r="J246" s="63">
        <f t="shared" si="4"/>
        <v>0</v>
      </c>
      <c r="K246" s="62" t="b">
        <f t="shared" si="5"/>
        <v>0</v>
      </c>
      <c r="L246" s="62" t="b">
        <f t="shared" si="6"/>
        <v>0</v>
      </c>
      <c r="M246" s="60" t="str">
        <f>IFERROR(__xludf.DUMMYFUNCTION("if(regexmatch(B246,""e(.*)$""),regexextract(B246,""e(.*)$""),"""")"),"-30")</f>
        <v>-30</v>
      </c>
    </row>
    <row r="247">
      <c r="A247" s="17" t="s">
        <v>2528</v>
      </c>
      <c r="B247" s="17" t="s">
        <v>2529</v>
      </c>
      <c r="C247" s="17" t="s">
        <v>2530</v>
      </c>
      <c r="D247" s="17" t="s">
        <v>173</v>
      </c>
      <c r="E247" s="60" t="str">
        <f>VLOOKUP($A247,nist_names_ids!A:B,2,false)</f>
        <v>mnmmpc2</v>
      </c>
      <c r="F247" s="61">
        <f>countif(Constants!A:A,E247)</f>
        <v>1</v>
      </c>
      <c r="G247" s="62" t="str">
        <f t="shared" si="1"/>
        <v>2.07214712e-13</v>
      </c>
      <c r="H247" s="62">
        <f t="shared" si="2"/>
        <v>0</v>
      </c>
      <c r="I247" s="62" t="str">
        <f t="shared" si="3"/>
        <v>0.00000060e-13</v>
      </c>
      <c r="J247" s="63">
        <f t="shared" si="4"/>
        <v>0</v>
      </c>
      <c r="K247" s="62" t="b">
        <f t="shared" si="5"/>
        <v>0</v>
      </c>
      <c r="L247" s="62" t="b">
        <f t="shared" si="6"/>
        <v>0</v>
      </c>
      <c r="M247" s="60" t="str">
        <f>IFERROR(__xludf.DUMMYFUNCTION("if(regexmatch(B247,""e(.*)$""),regexextract(B247,""e(.*)$""),"""")"),"-13")</f>
        <v>-13</v>
      </c>
    </row>
    <row r="248">
      <c r="A248" s="17" t="s">
        <v>2532</v>
      </c>
      <c r="B248" s="17" t="s">
        <v>2533</v>
      </c>
      <c r="C248" s="17" t="s">
        <v>2534</v>
      </c>
      <c r="D248" s="17" t="s">
        <v>224</v>
      </c>
      <c r="E248" s="60" t="str">
        <f>VLOOKUP($A248,nist_names_ids!A:B,2,false)</f>
        <v>mnmmpc2mev</v>
      </c>
      <c r="F248" s="61">
        <f>countif(Constants!A:A,E248)</f>
        <v>1</v>
      </c>
      <c r="G248" s="62" t="str">
        <f t="shared" si="1"/>
        <v>1.29333251</v>
      </c>
      <c r="H248" s="62">
        <f t="shared" si="2"/>
        <v>1.29333251</v>
      </c>
      <c r="I248" s="62" t="str">
        <f t="shared" si="3"/>
        <v>0.00000038</v>
      </c>
      <c r="J248" s="63">
        <f t="shared" si="4"/>
        <v>0.00000038</v>
      </c>
      <c r="K248" s="62" t="b">
        <f t="shared" si="5"/>
        <v>0</v>
      </c>
      <c r="L248" s="62" t="b">
        <f t="shared" si="6"/>
        <v>0</v>
      </c>
      <c r="M248" s="60" t="str">
        <f>IFERROR(__xludf.DUMMYFUNCTION("if(regexmatch(B248,""e(.*)$""),regexextract(B248,""e(.*)$""),"""")"),"")</f>
        <v/>
      </c>
    </row>
    <row r="249">
      <c r="A249" s="17" t="s">
        <v>2538</v>
      </c>
      <c r="B249" s="17" t="s">
        <v>2539</v>
      </c>
      <c r="C249" s="17" t="s">
        <v>2540</v>
      </c>
      <c r="D249" s="17" t="s">
        <v>249</v>
      </c>
      <c r="E249" s="60" t="str">
        <f>VLOOKUP($A249,nist_names_ids!A:B,2,false)</f>
        <v>mnmmpu</v>
      </c>
      <c r="F249" s="61">
        <f>countif(Constants!A:A,E249)</f>
        <v>1</v>
      </c>
      <c r="G249" s="62" t="str">
        <f t="shared" si="1"/>
        <v>1.38844948e-3</v>
      </c>
      <c r="H249" s="62">
        <f t="shared" si="2"/>
        <v>0.00138844948</v>
      </c>
      <c r="I249" s="62" t="str">
        <f t="shared" si="3"/>
        <v>0.00000040e-3</v>
      </c>
      <c r="J249" s="63">
        <f t="shared" si="4"/>
        <v>0.0000000004</v>
      </c>
      <c r="K249" s="62" t="b">
        <f t="shared" si="5"/>
        <v>0</v>
      </c>
      <c r="L249" s="62" t="b">
        <f t="shared" si="6"/>
        <v>0</v>
      </c>
      <c r="M249" s="60" t="str">
        <f>IFERROR(__xludf.DUMMYFUNCTION("if(regexmatch(B249,""e(.*)$""),regexextract(B249,""e(.*)$""),"""")"),"-3")</f>
        <v>-3</v>
      </c>
    </row>
    <row r="250">
      <c r="A250" s="17" t="s">
        <v>2544</v>
      </c>
      <c r="B250" s="17" t="s">
        <v>2545</v>
      </c>
      <c r="C250" s="17" t="s">
        <v>2506</v>
      </c>
      <c r="E250" s="60" t="str">
        <f>VLOOKUP($A250,nist_names_ids!A:B,2,false)</f>
        <v>mnsmp</v>
      </c>
      <c r="F250" s="61">
        <f>countif(Constants!A:A,E250)</f>
        <v>1</v>
      </c>
      <c r="G250" s="62" t="str">
        <f t="shared" si="1"/>
        <v>1.00137841946</v>
      </c>
      <c r="H250" s="62">
        <f t="shared" si="2"/>
        <v>1.001378419</v>
      </c>
      <c r="I250" s="62" t="str">
        <f t="shared" si="3"/>
        <v>0.00000000040</v>
      </c>
      <c r="J250" s="63">
        <f t="shared" si="4"/>
        <v>0.0000000004</v>
      </c>
      <c r="K250" s="62" t="b">
        <f t="shared" si="5"/>
        <v>0</v>
      </c>
      <c r="L250" s="62" t="b">
        <f t="shared" si="6"/>
        <v>0</v>
      </c>
      <c r="M250" s="60" t="str">
        <f>IFERROR(__xludf.DUMMYFUNCTION("if(regexmatch(B250,""e(.*)$""),regexextract(B250,""e(.*)$""),"""")"),"")</f>
        <v/>
      </c>
    </row>
    <row r="251">
      <c r="A251" s="17" t="s">
        <v>2546</v>
      </c>
      <c r="B251" s="17" t="s">
        <v>2505</v>
      </c>
      <c r="C251" s="17" t="s">
        <v>2506</v>
      </c>
      <c r="E251" s="60" t="str">
        <f>VLOOKUP($A251,nist_names_ids!A:B,2,false)</f>
        <v>arn</v>
      </c>
      <c r="F251" s="61">
        <f>countif(Constants!A:A,E251)</f>
        <v>1</v>
      </c>
      <c r="G251" s="62" t="str">
        <f t="shared" si="1"/>
        <v>1.00866491606</v>
      </c>
      <c r="H251" s="62">
        <f t="shared" si="2"/>
        <v>1.008664916</v>
      </c>
      <c r="I251" s="62" t="str">
        <f t="shared" si="3"/>
        <v>0.00000000040</v>
      </c>
      <c r="J251" s="63">
        <f t="shared" si="4"/>
        <v>0.0000000004</v>
      </c>
      <c r="K251" s="62" t="b">
        <f t="shared" si="5"/>
        <v>0</v>
      </c>
      <c r="L251" s="62" t="b">
        <f t="shared" si="6"/>
        <v>0</v>
      </c>
      <c r="M251" s="60" t="str">
        <f>IFERROR(__xludf.DUMMYFUNCTION("if(regexmatch(B251,""e(.*)$""),regexextract(B251,""e(.*)$""),"""")"),"")</f>
        <v/>
      </c>
    </row>
    <row r="252">
      <c r="A252" s="17" t="s">
        <v>2551</v>
      </c>
      <c r="B252" s="17" t="s">
        <v>2552</v>
      </c>
      <c r="C252" s="17" t="s">
        <v>2553</v>
      </c>
      <c r="E252" s="60" t="str">
        <f>VLOOKUP($A252,nist_names_ids!A:B,2,false)</f>
        <v>mnsmtau</v>
      </c>
      <c r="F252" s="61">
        <f>countif(Constants!A:A,E252)</f>
        <v>1</v>
      </c>
      <c r="G252" s="62" t="str">
        <f t="shared" si="1"/>
        <v>0.528779</v>
      </c>
      <c r="H252" s="62">
        <f t="shared" si="2"/>
        <v>0.528779</v>
      </c>
      <c r="I252" s="62" t="str">
        <f t="shared" si="3"/>
        <v>0.000036</v>
      </c>
      <c r="J252" s="63">
        <f t="shared" si="4"/>
        <v>0.000036</v>
      </c>
      <c r="K252" s="62" t="b">
        <f t="shared" si="5"/>
        <v>0</v>
      </c>
      <c r="L252" s="62" t="b">
        <f t="shared" si="6"/>
        <v>0</v>
      </c>
      <c r="M252" s="60" t="str">
        <f>IFERROR(__xludf.DUMMYFUNCTION("if(regexmatch(B252,""e(.*)$""),regexextract(B252,""e(.*)$""),"""")"),"")</f>
        <v/>
      </c>
    </row>
    <row r="253">
      <c r="A253" s="17" t="s">
        <v>2556</v>
      </c>
      <c r="B253" s="17" t="s">
        <v>2557</v>
      </c>
      <c r="C253" s="17" t="s">
        <v>2020</v>
      </c>
      <c r="E253" s="60" t="str">
        <f>VLOOKUP($A253,nist_names_ids!A:B,2,false)</f>
        <v>munsmupp</v>
      </c>
      <c r="F253" s="61">
        <f>countif(Constants!A:A,E253)</f>
        <v>1</v>
      </c>
      <c r="G253" s="62" t="str">
        <f t="shared" si="1"/>
        <v>-0.68499694</v>
      </c>
      <c r="H253" s="62">
        <f t="shared" si="2"/>
        <v>-0.68499694</v>
      </c>
      <c r="I253" s="62" t="str">
        <f t="shared" si="3"/>
        <v>0.00000016</v>
      </c>
      <c r="J253" s="63">
        <f t="shared" si="4"/>
        <v>0.00000016</v>
      </c>
      <c r="K253" s="62" t="b">
        <f t="shared" si="5"/>
        <v>0</v>
      </c>
      <c r="L253" s="62" t="b">
        <f t="shared" si="6"/>
        <v>0</v>
      </c>
      <c r="M253" s="60" t="str">
        <f>IFERROR(__xludf.DUMMYFUNCTION("if(regexmatch(B253,""e(.*)$""),regexextract(B253,""e(.*)$""),"""")"),"")</f>
        <v/>
      </c>
    </row>
    <row r="254">
      <c r="A254" s="17" t="s">
        <v>2558</v>
      </c>
      <c r="B254" s="17" t="s">
        <v>2559</v>
      </c>
      <c r="C254" s="17" t="s">
        <v>2560</v>
      </c>
      <c r="D254" s="17" t="s">
        <v>2561</v>
      </c>
      <c r="E254" s="60" t="str">
        <f>VLOOKUP($A254,nist_names_ids!A:B,2,false)</f>
        <v>bg</v>
      </c>
      <c r="F254" s="61">
        <f>countif(Constants!A:A,E254)</f>
        <v>1</v>
      </c>
      <c r="G254" s="62" t="str">
        <f t="shared" si="1"/>
        <v>6.67430e-11</v>
      </c>
      <c r="H254" s="62">
        <f t="shared" si="2"/>
        <v>0</v>
      </c>
      <c r="I254" s="62" t="str">
        <f t="shared" si="3"/>
        <v>0.00015e-11</v>
      </c>
      <c r="J254" s="63">
        <f t="shared" si="4"/>
        <v>0</v>
      </c>
      <c r="K254" s="62" t="b">
        <f t="shared" si="5"/>
        <v>0</v>
      </c>
      <c r="L254" s="62" t="b">
        <f t="shared" si="6"/>
        <v>0</v>
      </c>
      <c r="M254" s="60" t="str">
        <f>IFERROR(__xludf.DUMMYFUNCTION("if(regexmatch(B254,""e(.*)$""),regexextract(B254,""e(.*)$""),"""")"),"-11")</f>
        <v>-11</v>
      </c>
    </row>
    <row r="255">
      <c r="A255" s="17" t="s">
        <v>2566</v>
      </c>
      <c r="B255" s="17" t="s">
        <v>2567</v>
      </c>
      <c r="C255" s="17" t="s">
        <v>2568</v>
      </c>
      <c r="D255" s="17" t="s">
        <v>2569</v>
      </c>
      <c r="E255" s="60" t="str">
        <f>VLOOKUP($A255,nist_names_ids!A:B,2,false)</f>
        <v>bgspu</v>
      </c>
      <c r="F255" s="61">
        <f>countif(Constants!A:A,E255)</f>
        <v>1</v>
      </c>
      <c r="G255" s="62" t="str">
        <f t="shared" si="1"/>
        <v>6.70883e-39</v>
      </c>
      <c r="H255" s="62">
        <f t="shared" si="2"/>
        <v>0</v>
      </c>
      <c r="I255" s="62" t="str">
        <f t="shared" si="3"/>
        <v>0.00015e-39</v>
      </c>
      <c r="J255" s="63">
        <f t="shared" si="4"/>
        <v>0</v>
      </c>
      <c r="K255" s="62" t="b">
        <f t="shared" si="5"/>
        <v>0</v>
      </c>
      <c r="L255" s="62" t="b">
        <f t="shared" si="6"/>
        <v>0</v>
      </c>
      <c r="M255" s="60" t="str">
        <f>IFERROR(__xludf.DUMMYFUNCTION("if(regexmatch(B255,""e(.*)$""),regexextract(B255,""e(.*)$""),"""")"),"-39")</f>
        <v>-39</v>
      </c>
    </row>
    <row r="256">
      <c r="A256" s="17" t="s">
        <v>2572</v>
      </c>
      <c r="B256" s="17" t="s">
        <v>2573</v>
      </c>
      <c r="C256" s="17" t="s">
        <v>2054</v>
      </c>
      <c r="D256" s="17" t="s">
        <v>964</v>
      </c>
      <c r="E256" s="60" t="str">
        <f>VLOOKUP($A256,nist_names_ids!A:B,2,false)</f>
        <v>mun</v>
      </c>
      <c r="F256" s="61">
        <f>countif(Constants!A:A,E256)</f>
        <v>1</v>
      </c>
      <c r="G256" s="62" t="str">
        <f t="shared" si="1"/>
        <v>5.0507837393e-27</v>
      </c>
      <c r="H256" s="62">
        <f t="shared" si="2"/>
        <v>0</v>
      </c>
      <c r="I256" s="62" t="str">
        <f t="shared" si="3"/>
        <v>0.0000000016e-27</v>
      </c>
      <c r="J256" s="63">
        <f t="shared" si="4"/>
        <v>0</v>
      </c>
      <c r="K256" s="62" t="b">
        <f t="shared" si="5"/>
        <v>0</v>
      </c>
      <c r="L256" s="62" t="b">
        <f t="shared" si="6"/>
        <v>0</v>
      </c>
      <c r="M256" s="60" t="str">
        <f>IFERROR(__xludf.DUMMYFUNCTION("if(regexmatch(B256,""e(.*)$""),regexextract(B256,""e(.*)$""),"""")"),"-27")</f>
        <v>-27</v>
      </c>
    </row>
    <row r="257">
      <c r="A257" s="17" t="s">
        <v>2578</v>
      </c>
      <c r="B257" s="17" t="s">
        <v>2579</v>
      </c>
      <c r="C257" s="17" t="s">
        <v>2580</v>
      </c>
      <c r="D257" s="17" t="s">
        <v>1165</v>
      </c>
      <c r="E257" s="60" t="str">
        <f>VLOOKUP($A257,nist_names_ids!A:B,2,false)</f>
        <v>munev</v>
      </c>
      <c r="F257" s="61">
        <f>countif(Constants!A:A,E257)</f>
        <v>1</v>
      </c>
      <c r="G257" s="62" t="str">
        <f t="shared" si="1"/>
        <v>3.15245125417e-8</v>
      </c>
      <c r="H257" s="62">
        <f t="shared" si="2"/>
        <v>0.00000003152451254</v>
      </c>
      <c r="I257" s="62" t="str">
        <f t="shared" si="3"/>
        <v>0.00000000098e-8</v>
      </c>
      <c r="J257" s="63">
        <f t="shared" si="4"/>
        <v>0</v>
      </c>
      <c r="K257" s="62" t="b">
        <f t="shared" si="5"/>
        <v>0</v>
      </c>
      <c r="L257" s="62" t="b">
        <f t="shared" si="6"/>
        <v>0</v>
      </c>
      <c r="M257" s="60" t="str">
        <f>IFERROR(__xludf.DUMMYFUNCTION("if(regexmatch(B257,""e(.*)$""),regexextract(B257,""e(.*)$""),"""")"),"-8")</f>
        <v>-8</v>
      </c>
    </row>
    <row r="258">
      <c r="A258" s="17" t="s">
        <v>2582</v>
      </c>
      <c r="B258" s="17" t="s">
        <v>2583</v>
      </c>
      <c r="C258" s="17" t="s">
        <v>2584</v>
      </c>
      <c r="D258" s="17" t="s">
        <v>1205</v>
      </c>
      <c r="E258" s="60" t="str">
        <f>VLOOKUP($A258,nist_names_ids!A:B,2,false)</f>
        <v>munshcminv</v>
      </c>
      <c r="F258" s="61">
        <f>countif(Constants!A:A,E258)</f>
        <v>1</v>
      </c>
      <c r="G258" s="62" t="str">
        <f t="shared" si="1"/>
        <v>2.54262341009e-2</v>
      </c>
      <c r="H258" s="62">
        <f t="shared" si="2"/>
        <v>0.0254262341</v>
      </c>
      <c r="I258" s="62" t="str">
        <f t="shared" si="3"/>
        <v>0.00000000079e-2</v>
      </c>
      <c r="J258" s="63">
        <f t="shared" si="4"/>
        <v>0</v>
      </c>
      <c r="K258" s="62" t="b">
        <f t="shared" si="5"/>
        <v>0</v>
      </c>
      <c r="L258" s="62" t="b">
        <f t="shared" si="6"/>
        <v>0</v>
      </c>
      <c r="M258" s="60" t="str">
        <f>IFERROR(__xludf.DUMMYFUNCTION("if(regexmatch(B258,""e(.*)$""),regexextract(B258,""e(.*)$""),"""")"),"-2")</f>
        <v>-2</v>
      </c>
    </row>
    <row r="259">
      <c r="A259" s="17" t="s">
        <v>2586</v>
      </c>
      <c r="B259" s="17" t="s">
        <v>2587</v>
      </c>
      <c r="C259" s="17" t="s">
        <v>2588</v>
      </c>
      <c r="D259" s="17" t="s">
        <v>1226</v>
      </c>
      <c r="E259" s="60" t="str">
        <f>VLOOKUP($A259,nist_names_ids!A:B,2,false)</f>
        <v>munskk</v>
      </c>
      <c r="F259" s="61">
        <f>countif(Constants!A:A,E259)</f>
        <v>1</v>
      </c>
      <c r="G259" s="62" t="str">
        <f t="shared" si="1"/>
        <v>3.6582677706e-4</v>
      </c>
      <c r="H259" s="62">
        <f t="shared" si="2"/>
        <v>0.0003658267771</v>
      </c>
      <c r="I259" s="62" t="str">
        <f t="shared" si="3"/>
        <v>0.0000000011e-4</v>
      </c>
      <c r="J259" s="63">
        <f t="shared" si="4"/>
        <v>0</v>
      </c>
      <c r="K259" s="62" t="b">
        <f t="shared" si="5"/>
        <v>0</v>
      </c>
      <c r="L259" s="62" t="b">
        <f t="shared" si="6"/>
        <v>0</v>
      </c>
      <c r="M259" s="60" t="str">
        <f>IFERROR(__xludf.DUMMYFUNCTION("if(regexmatch(B259,""e(.*)$""),regexextract(B259,""e(.*)$""),"""")"),"-4")</f>
        <v>-4</v>
      </c>
    </row>
    <row r="260">
      <c r="A260" s="17" t="s">
        <v>2589</v>
      </c>
      <c r="B260" s="17" t="s">
        <v>2591</v>
      </c>
      <c r="C260" s="17" t="s">
        <v>2592</v>
      </c>
      <c r="D260" s="17" t="s">
        <v>1733</v>
      </c>
      <c r="E260" s="60" t="str">
        <f>VLOOKUP($A260,nist_names_ids!A:B,2,false)</f>
        <v>munshhz</v>
      </c>
      <c r="F260" s="61">
        <f>countif(Constants!A:A,E260)</f>
        <v>1</v>
      </c>
      <c r="G260" s="62" t="str">
        <f t="shared" si="1"/>
        <v>7.6225932188</v>
      </c>
      <c r="H260" s="62">
        <f t="shared" si="2"/>
        <v>7.622593219</v>
      </c>
      <c r="I260" s="62" t="str">
        <f t="shared" si="3"/>
        <v>0.0000000024</v>
      </c>
      <c r="J260" s="63">
        <f t="shared" si="4"/>
        <v>0.0000000024</v>
      </c>
      <c r="K260" s="62" t="b">
        <f t="shared" si="5"/>
        <v>0</v>
      </c>
      <c r="L260" s="62" t="b">
        <f t="shared" si="6"/>
        <v>0</v>
      </c>
      <c r="M260" s="60" t="str">
        <f>IFERROR(__xludf.DUMMYFUNCTION("if(regexmatch(B260,""e(.*)$""),regexextract(B260,""e(.*)$""),"""")"),"")</f>
        <v/>
      </c>
    </row>
    <row r="261">
      <c r="A261" s="17" t="s">
        <v>2595</v>
      </c>
      <c r="B261" s="17" t="s">
        <v>2111</v>
      </c>
      <c r="C261" s="17" t="s">
        <v>1501</v>
      </c>
      <c r="D261" s="17" t="s">
        <v>2597</v>
      </c>
      <c r="E261" s="60" t="str">
        <f>VLOOKUP($A261,nist_names_ids!A:B,2,false)</f>
        <v>h</v>
      </c>
      <c r="F261" s="61">
        <f>countif(Constants!A:A,E261)</f>
        <v>1</v>
      </c>
      <c r="G261" s="62" t="str">
        <f t="shared" si="1"/>
        <v>6.62607015e-34</v>
      </c>
      <c r="H261" s="62">
        <f t="shared" si="2"/>
        <v>0</v>
      </c>
      <c r="I261" s="62" t="str">
        <f t="shared" si="3"/>
        <v>(exact)</v>
      </c>
      <c r="J261" s="63" t="str">
        <f t="shared" si="4"/>
        <v/>
      </c>
      <c r="K261" s="62" t="b">
        <f t="shared" si="5"/>
        <v>1</v>
      </c>
      <c r="L261" s="62" t="b">
        <f t="shared" si="6"/>
        <v>0</v>
      </c>
      <c r="M261" s="60" t="str">
        <f>IFERROR(__xludf.DUMMYFUNCTION("if(regexmatch(B261,""e(.*)$""),regexextract(B261,""e(.*)$""),"""")"),"-34")</f>
        <v>-34</v>
      </c>
    </row>
    <row r="262">
      <c r="A262" s="17" t="s">
        <v>2599</v>
      </c>
      <c r="B262" s="17" t="s">
        <v>2100</v>
      </c>
      <c r="C262" s="17" t="s">
        <v>1501</v>
      </c>
      <c r="D262" s="17" t="s">
        <v>2602</v>
      </c>
      <c r="E262" s="60" t="str">
        <f>VLOOKUP($A262,nist_names_ids!A:B,2,false)</f>
        <v>hev</v>
      </c>
      <c r="F262" s="61">
        <f>countif(Constants!A:A,E262)</f>
        <v>1</v>
      </c>
      <c r="G262" s="62" t="str">
        <f t="shared" si="1"/>
        <v>4.135667696e-15</v>
      </c>
      <c r="H262" s="62">
        <f t="shared" si="2"/>
        <v>0</v>
      </c>
      <c r="I262" s="62" t="str">
        <f t="shared" si="3"/>
        <v>(exact)</v>
      </c>
      <c r="J262" s="63" t="str">
        <f t="shared" si="4"/>
        <v/>
      </c>
      <c r="K262" s="62" t="b">
        <f t="shared" si="5"/>
        <v>1</v>
      </c>
      <c r="L262" s="62" t="b">
        <f t="shared" si="6"/>
        <v>0</v>
      </c>
      <c r="M262" s="60" t="str">
        <f>IFERROR(__xludf.DUMMYFUNCTION("if(regexmatch(B262,""e(.*)$""),regexextract(B262,""e(.*)$""),"""")"),"-15")</f>
        <v>-15</v>
      </c>
    </row>
    <row r="263">
      <c r="A263" s="17" t="s">
        <v>2605</v>
      </c>
      <c r="B263" s="17" t="s">
        <v>2606</v>
      </c>
      <c r="C263" s="17" t="s">
        <v>2607</v>
      </c>
      <c r="D263" s="17" t="s">
        <v>381</v>
      </c>
      <c r="E263" s="60" t="str">
        <f>VLOOKUP($A263,nist_names_ids!A:B,2,false)</f>
        <v>plkl</v>
      </c>
      <c r="F263" s="61">
        <f>countif(Constants!A:A,E263)</f>
        <v>1</v>
      </c>
      <c r="G263" s="62" t="str">
        <f t="shared" si="1"/>
        <v>1.616255e-35</v>
      </c>
      <c r="H263" s="62">
        <f t="shared" si="2"/>
        <v>0</v>
      </c>
      <c r="I263" s="62" t="str">
        <f t="shared" si="3"/>
        <v>0.000018e-35</v>
      </c>
      <c r="J263" s="63">
        <f t="shared" si="4"/>
        <v>0</v>
      </c>
      <c r="K263" s="62" t="b">
        <f t="shared" si="5"/>
        <v>0</v>
      </c>
      <c r="L263" s="62" t="b">
        <f t="shared" si="6"/>
        <v>0</v>
      </c>
      <c r="M263" s="60" t="str">
        <f>IFERROR(__xludf.DUMMYFUNCTION("if(regexmatch(B263,""e(.*)$""),regexextract(B263,""e(.*)$""),"""")"),"-35")</f>
        <v>-35</v>
      </c>
    </row>
    <row r="264">
      <c r="A264" s="17" t="s">
        <v>2608</v>
      </c>
      <c r="B264" s="17" t="s">
        <v>2609</v>
      </c>
      <c r="C264" s="17" t="s">
        <v>2611</v>
      </c>
      <c r="D264" s="17" t="s">
        <v>98</v>
      </c>
      <c r="E264" s="60" t="str">
        <f>VLOOKUP($A264,nist_names_ids!A:B,2,false)</f>
        <v>plkm</v>
      </c>
      <c r="F264" s="61">
        <f>countif(Constants!A:A,E264)</f>
        <v>1</v>
      </c>
      <c r="G264" s="62" t="str">
        <f t="shared" si="1"/>
        <v>2.176434e-8</v>
      </c>
      <c r="H264" s="62">
        <f t="shared" si="2"/>
        <v>0.00000002176434</v>
      </c>
      <c r="I264" s="62" t="str">
        <f t="shared" si="3"/>
        <v>0.000024e-8</v>
      </c>
      <c r="J264" s="63">
        <f t="shared" si="4"/>
        <v>0</v>
      </c>
      <c r="K264" s="62" t="b">
        <f t="shared" si="5"/>
        <v>0</v>
      </c>
      <c r="L264" s="62" t="b">
        <f t="shared" si="6"/>
        <v>0</v>
      </c>
      <c r="M264" s="60" t="str">
        <f>IFERROR(__xludf.DUMMYFUNCTION("if(regexmatch(B264,""e(.*)$""),regexextract(B264,""e(.*)$""),"""")"),"-8")</f>
        <v>-8</v>
      </c>
    </row>
    <row r="265">
      <c r="A265" s="17" t="s">
        <v>2614</v>
      </c>
      <c r="B265" s="17" t="s">
        <v>2615</v>
      </c>
      <c r="C265" s="17" t="s">
        <v>2616</v>
      </c>
      <c r="D265" s="17" t="s">
        <v>234</v>
      </c>
      <c r="E265" s="60" t="str">
        <f>VLOOKUP($A265,nist_names_ids!A:B,2,false)</f>
        <v>plkmc2gev</v>
      </c>
      <c r="F265" s="61">
        <f>countif(Constants!A:A,E265)</f>
        <v>1</v>
      </c>
      <c r="G265" s="62" t="str">
        <f t="shared" si="1"/>
        <v>1.220890e19</v>
      </c>
      <c r="H265" s="62">
        <f t="shared" si="2"/>
        <v>1.22089E+19</v>
      </c>
      <c r="I265" s="62" t="str">
        <f t="shared" si="3"/>
        <v>0.000014e19</v>
      </c>
      <c r="J265" s="63">
        <f t="shared" si="4"/>
        <v>140000000000000</v>
      </c>
      <c r="K265" s="62" t="b">
        <f t="shared" si="5"/>
        <v>0</v>
      </c>
      <c r="L265" s="62" t="b">
        <f t="shared" si="6"/>
        <v>0</v>
      </c>
      <c r="M265" s="60" t="str">
        <f>IFERROR(__xludf.DUMMYFUNCTION("if(regexmatch(B265,""e(.*)$""),regexextract(B265,""e(.*)$""),"""")"),"19")</f>
        <v>19</v>
      </c>
    </row>
    <row r="266">
      <c r="A266" s="17" t="s">
        <v>2619</v>
      </c>
      <c r="B266" s="17" t="s">
        <v>2621</v>
      </c>
      <c r="C266" s="17" t="s">
        <v>2622</v>
      </c>
      <c r="D266" s="17" t="s">
        <v>345</v>
      </c>
      <c r="E266" s="60" t="str">
        <f>VLOOKUP($A266,nist_names_ids!A:B,2,false)</f>
        <v>plktmp</v>
      </c>
      <c r="F266" s="61">
        <f>countif(Constants!A:A,E266)</f>
        <v>1</v>
      </c>
      <c r="G266" s="62" t="str">
        <f t="shared" si="1"/>
        <v>1.416784e32</v>
      </c>
      <c r="H266" s="62">
        <f t="shared" si="2"/>
        <v>1.41678E+32</v>
      </c>
      <c r="I266" s="62" t="str">
        <f t="shared" si="3"/>
        <v>0.000016e32</v>
      </c>
      <c r="J266" s="63">
        <f t="shared" si="4"/>
        <v>1.6E+27</v>
      </c>
      <c r="K266" s="62" t="b">
        <f t="shared" si="5"/>
        <v>0</v>
      </c>
      <c r="L266" s="62" t="b">
        <f t="shared" si="6"/>
        <v>0</v>
      </c>
      <c r="M266" s="60" t="str">
        <f>IFERROR(__xludf.DUMMYFUNCTION("if(regexmatch(B266,""e(.*)$""),regexextract(B266,""e(.*)$""),"""")"),"32")</f>
        <v>32</v>
      </c>
    </row>
    <row r="267">
      <c r="A267" s="17" t="s">
        <v>2623</v>
      </c>
      <c r="B267" s="17" t="s">
        <v>2624</v>
      </c>
      <c r="C267" s="17" t="s">
        <v>2625</v>
      </c>
      <c r="D267" s="17" t="s">
        <v>520</v>
      </c>
      <c r="E267" s="60" t="str">
        <f>VLOOKUP($A267,nist_names_ids!A:B,2,false)</f>
        <v>plkt</v>
      </c>
      <c r="F267" s="61">
        <f>countif(Constants!A:A,E267)</f>
        <v>1</v>
      </c>
      <c r="G267" s="62" t="str">
        <f t="shared" si="1"/>
        <v>5.391247e-44</v>
      </c>
      <c r="H267" s="62">
        <f t="shared" si="2"/>
        <v>0</v>
      </c>
      <c r="I267" s="62" t="str">
        <f t="shared" si="3"/>
        <v>0.000060e-44</v>
      </c>
      <c r="J267" s="63">
        <f t="shared" si="4"/>
        <v>0</v>
      </c>
      <c r="K267" s="62" t="b">
        <f t="shared" si="5"/>
        <v>0</v>
      </c>
      <c r="L267" s="62" t="b">
        <f t="shared" si="6"/>
        <v>0</v>
      </c>
      <c r="M267" s="60" t="str">
        <f>IFERROR(__xludf.DUMMYFUNCTION("if(regexmatch(B267,""e(.*)$""),regexextract(B267,""e(.*)$""),"""")"),"-44")</f>
        <v>-44</v>
      </c>
    </row>
    <row r="268">
      <c r="A268" s="17" t="s">
        <v>2628</v>
      </c>
      <c r="B268" s="17" t="s">
        <v>2629</v>
      </c>
      <c r="C268" s="17" t="s">
        <v>2630</v>
      </c>
      <c r="D268" s="17" t="s">
        <v>1689</v>
      </c>
      <c r="E268" s="60" t="str">
        <f>VLOOKUP($A268,nist_names_ids!A:B,2,false)</f>
        <v>esmp</v>
      </c>
      <c r="F268" s="61">
        <f>countif(Constants!A:A,E268)</f>
        <v>1</v>
      </c>
      <c r="G268" s="62" t="str">
        <f t="shared" si="1"/>
        <v>9.5788331430e7</v>
      </c>
      <c r="H268" s="62">
        <f t="shared" si="2"/>
        <v>95788331.43</v>
      </c>
      <c r="I268" s="62" t="str">
        <f t="shared" si="3"/>
        <v>0.0000000030e7</v>
      </c>
      <c r="J268" s="63">
        <f t="shared" si="4"/>
        <v>0.03</v>
      </c>
      <c r="K268" s="62" t="b">
        <f t="shared" si="5"/>
        <v>0</v>
      </c>
      <c r="L268" s="62" t="b">
        <f t="shared" si="6"/>
        <v>0</v>
      </c>
      <c r="M268" s="60" t="str">
        <f>IFERROR(__xludf.DUMMYFUNCTION("if(regexmatch(B268,""e(.*)$""),regexextract(B268,""e(.*)$""),"""")"),"7")</f>
        <v>7</v>
      </c>
    </row>
    <row r="269">
      <c r="A269" s="17" t="s">
        <v>2633</v>
      </c>
      <c r="B269" s="17" t="s">
        <v>2634</v>
      </c>
      <c r="C269" s="17" t="s">
        <v>2132</v>
      </c>
      <c r="D269" s="17" t="s">
        <v>381</v>
      </c>
      <c r="E269" s="60" t="str">
        <f>VLOOKUP($A269,nist_names_ids!A:B,2,false)</f>
        <v>pcomwl</v>
      </c>
      <c r="F269" s="61">
        <f>countif(Constants!A:A,E269)</f>
        <v>1</v>
      </c>
      <c r="G269" s="62" t="str">
        <f t="shared" si="1"/>
        <v>1.32140985360e-15</v>
      </c>
      <c r="H269" s="62">
        <f t="shared" si="2"/>
        <v>0</v>
      </c>
      <c r="I269" s="62" t="str">
        <f t="shared" si="3"/>
        <v>0.00000000041e-15</v>
      </c>
      <c r="J269" s="63">
        <f t="shared" si="4"/>
        <v>0</v>
      </c>
      <c r="K269" s="62" t="b">
        <f t="shared" si="5"/>
        <v>0</v>
      </c>
      <c r="L269" s="62" t="b">
        <f t="shared" si="6"/>
        <v>0</v>
      </c>
      <c r="M269" s="60" t="str">
        <f>IFERROR(__xludf.DUMMYFUNCTION("if(regexmatch(B269,""e(.*)$""),regexextract(B269,""e(.*)$""),"""")"),"-15")</f>
        <v>-15</v>
      </c>
    </row>
    <row r="270">
      <c r="A270" s="17" t="s">
        <v>2636</v>
      </c>
      <c r="B270" s="17" t="s">
        <v>2637</v>
      </c>
      <c r="C270" s="17" t="s">
        <v>1839</v>
      </c>
      <c r="E270" s="60" t="str">
        <f>VLOOKUP($A270,nist_names_ids!A:B,2,false)</f>
        <v>mpsme</v>
      </c>
      <c r="F270" s="61">
        <f>countif(Constants!A:A,E270)</f>
        <v>1</v>
      </c>
      <c r="G270" s="62" t="str">
        <f t="shared" si="1"/>
        <v>1836.152673426</v>
      </c>
      <c r="H270" s="62">
        <f t="shared" si="2"/>
        <v>1836.152673</v>
      </c>
      <c r="I270" s="62" t="str">
        <f t="shared" si="3"/>
        <v>0.000000032</v>
      </c>
      <c r="J270" s="63">
        <f t="shared" si="4"/>
        <v>0.000000032</v>
      </c>
      <c r="K270" s="62" t="b">
        <f t="shared" si="5"/>
        <v>0</v>
      </c>
      <c r="L270" s="62" t="b">
        <f t="shared" si="6"/>
        <v>0</v>
      </c>
      <c r="M270" s="60" t="str">
        <f>IFERROR(__xludf.DUMMYFUNCTION("if(regexmatch(B270,""e(.*)$""),regexextract(B270,""e(.*)$""),"""")"),"")</f>
        <v/>
      </c>
    </row>
    <row r="271">
      <c r="A271" s="17" t="s">
        <v>2640</v>
      </c>
      <c r="B271" s="17" t="s">
        <v>2641</v>
      </c>
      <c r="C271" s="17" t="s">
        <v>2642</v>
      </c>
      <c r="E271" s="60" t="str">
        <f>VLOOKUP($A271,nist_names_ids!A:B,2,false)</f>
        <v>gp</v>
      </c>
      <c r="F271" s="61">
        <f>countif(Constants!A:A,E271)</f>
        <v>1</v>
      </c>
      <c r="G271" s="62" t="str">
        <f t="shared" si="1"/>
        <v>5.5856946893</v>
      </c>
      <c r="H271" s="62">
        <f t="shared" si="2"/>
        <v>5.585694689</v>
      </c>
      <c r="I271" s="62" t="str">
        <f t="shared" si="3"/>
        <v>0.0000000016</v>
      </c>
      <c r="J271" s="63">
        <f t="shared" si="4"/>
        <v>0.0000000016</v>
      </c>
      <c r="K271" s="62" t="b">
        <f t="shared" si="5"/>
        <v>0</v>
      </c>
      <c r="L271" s="62" t="b">
        <f t="shared" si="6"/>
        <v>0</v>
      </c>
      <c r="M271" s="60" t="str">
        <f>IFERROR(__xludf.DUMMYFUNCTION("if(regexmatch(B271,""e(.*)$""),regexextract(B271,""e(.*)$""),"""")"),"")</f>
        <v/>
      </c>
    </row>
    <row r="272">
      <c r="A272" s="17" t="s">
        <v>2644</v>
      </c>
      <c r="B272" s="17" t="s">
        <v>2645</v>
      </c>
      <c r="C272" s="17" t="s">
        <v>2646</v>
      </c>
      <c r="D272" s="17" t="s">
        <v>1717</v>
      </c>
      <c r="E272" s="60" t="str">
        <f>VLOOKUP($A272,nist_names_ids!A:B,2,false)</f>
        <v>gammap</v>
      </c>
      <c r="F272" s="61">
        <f>countif(Constants!A:A,E272)</f>
        <v>1</v>
      </c>
      <c r="G272" s="62" t="str">
        <f t="shared" si="1"/>
        <v>2.6752218708e8</v>
      </c>
      <c r="H272" s="62">
        <f t="shared" si="2"/>
        <v>267522187.1</v>
      </c>
      <c r="I272" s="62" t="str">
        <f t="shared" si="3"/>
        <v>0.0000000011e8</v>
      </c>
      <c r="J272" s="63">
        <f t="shared" si="4"/>
        <v>0.11</v>
      </c>
      <c r="K272" s="62" t="b">
        <f t="shared" si="5"/>
        <v>0</v>
      </c>
      <c r="L272" s="62" t="b">
        <f t="shared" si="6"/>
        <v>0</v>
      </c>
      <c r="M272" s="60" t="str">
        <f>IFERROR(__xludf.DUMMYFUNCTION("if(regexmatch(B272,""e(.*)$""),regexextract(B272,""e(.*)$""),"""")"),"8")</f>
        <v>8</v>
      </c>
    </row>
    <row r="273">
      <c r="A273" s="17" t="s">
        <v>2648</v>
      </c>
      <c r="B273" s="17" t="s">
        <v>2649</v>
      </c>
      <c r="C273" s="17" t="s">
        <v>2650</v>
      </c>
      <c r="D273" s="17" t="s">
        <v>1733</v>
      </c>
      <c r="E273" s="60" t="str">
        <f>VLOOKUP($A273,nist_names_ids!A:B,2,false)</f>
        <v>gammapbar</v>
      </c>
      <c r="F273" s="61">
        <f>countif(Constants!A:A,E273)</f>
        <v>1</v>
      </c>
      <c r="G273" s="62" t="str">
        <f t="shared" si="1"/>
        <v>42.577478461</v>
      </c>
      <c r="H273" s="62">
        <f t="shared" si="2"/>
        <v>42.57747846</v>
      </c>
      <c r="I273" s="62" t="str">
        <f t="shared" si="3"/>
        <v>0.000000018</v>
      </c>
      <c r="J273" s="63">
        <f t="shared" si="4"/>
        <v>0.000000018</v>
      </c>
      <c r="K273" s="62" t="b">
        <f t="shared" si="5"/>
        <v>0</v>
      </c>
      <c r="L273" s="62" t="b">
        <f t="shared" si="6"/>
        <v>0</v>
      </c>
      <c r="M273" s="60" t="str">
        <f>IFERROR(__xludf.DUMMYFUNCTION("if(regexmatch(B273,""e(.*)$""),regexextract(B273,""e(.*)$""),"""")"),"")</f>
        <v/>
      </c>
    </row>
    <row r="274">
      <c r="A274" s="17" t="s">
        <v>2653</v>
      </c>
      <c r="B274" s="17" t="s">
        <v>2654</v>
      </c>
      <c r="C274" s="17" t="s">
        <v>2655</v>
      </c>
      <c r="D274" s="17" t="s">
        <v>964</v>
      </c>
      <c r="E274" s="60" t="str">
        <f>VLOOKUP($A274,nist_names_ids!A:B,2,false)</f>
        <v>mup</v>
      </c>
      <c r="F274" s="61">
        <f>countif(Constants!A:A,E274)</f>
        <v>1</v>
      </c>
      <c r="G274" s="62" t="str">
        <f t="shared" si="1"/>
        <v>1.41060679545e-26</v>
      </c>
      <c r="H274" s="62">
        <f t="shared" si="2"/>
        <v>0</v>
      </c>
      <c r="I274" s="62" t="str">
        <f t="shared" si="3"/>
        <v>0.00000000060e-26</v>
      </c>
      <c r="J274" s="63">
        <f t="shared" si="4"/>
        <v>0</v>
      </c>
      <c r="K274" s="62" t="b">
        <f t="shared" si="5"/>
        <v>0</v>
      </c>
      <c r="L274" s="62" t="b">
        <f t="shared" si="6"/>
        <v>0</v>
      </c>
      <c r="M274" s="60" t="str">
        <f>IFERROR(__xludf.DUMMYFUNCTION("if(regexmatch(B274,""e(.*)$""),regexextract(B274,""e(.*)$""),"""")"),"-26")</f>
        <v>-26</v>
      </c>
    </row>
    <row r="275">
      <c r="A275" s="17" t="s">
        <v>2658</v>
      </c>
      <c r="B275" s="17" t="s">
        <v>2659</v>
      </c>
      <c r="C275" s="17" t="s">
        <v>2660</v>
      </c>
      <c r="E275" s="60" t="str">
        <f>VLOOKUP($A275,nist_names_ids!A:B,2,false)</f>
        <v>mupsmub</v>
      </c>
      <c r="F275" s="61">
        <f>countif(Constants!A:A,E275)</f>
        <v>1</v>
      </c>
      <c r="G275" s="62" t="str">
        <f t="shared" si="1"/>
        <v>1.52103220230e-3</v>
      </c>
      <c r="H275" s="62">
        <f t="shared" si="2"/>
        <v>0.001521032202</v>
      </c>
      <c r="I275" s="62" t="str">
        <f t="shared" si="3"/>
        <v>0.00000000045e-3</v>
      </c>
      <c r="J275" s="63">
        <f t="shared" si="4"/>
        <v>0</v>
      </c>
      <c r="K275" s="62" t="b">
        <f t="shared" si="5"/>
        <v>0</v>
      </c>
      <c r="L275" s="62" t="b">
        <f t="shared" si="6"/>
        <v>0</v>
      </c>
      <c r="M275" s="60" t="str">
        <f>IFERROR(__xludf.DUMMYFUNCTION("if(regexmatch(B275,""e(.*)$""),regexextract(B275,""e(.*)$""),"""")"),"-3")</f>
        <v>-3</v>
      </c>
    </row>
    <row r="276">
      <c r="A276" s="17" t="s">
        <v>2662</v>
      </c>
      <c r="B276" s="17" t="s">
        <v>2663</v>
      </c>
      <c r="C276" s="17" t="s">
        <v>2332</v>
      </c>
      <c r="E276" s="60" t="str">
        <f>VLOOKUP($A276,nist_names_ids!A:B,2,false)</f>
        <v>mupsmun</v>
      </c>
      <c r="F276" s="61">
        <f>countif(Constants!A:A,E276)</f>
        <v>1</v>
      </c>
      <c r="G276" s="62" t="str">
        <f t="shared" si="1"/>
        <v>2.79284734463</v>
      </c>
      <c r="H276" s="62">
        <f t="shared" si="2"/>
        <v>2.792847345</v>
      </c>
      <c r="I276" s="62" t="str">
        <f t="shared" si="3"/>
        <v>0.00000000082</v>
      </c>
      <c r="J276" s="63">
        <f t="shared" si="4"/>
        <v>0.00000000082</v>
      </c>
      <c r="K276" s="62" t="b">
        <f t="shared" si="5"/>
        <v>0</v>
      </c>
      <c r="L276" s="62" t="b">
        <f t="shared" si="6"/>
        <v>0</v>
      </c>
      <c r="M276" s="60" t="str">
        <f>IFERROR(__xludf.DUMMYFUNCTION("if(regexmatch(B276,""e(.*)$""),regexextract(B276,""e(.*)$""),"""")"),"")</f>
        <v/>
      </c>
    </row>
    <row r="277">
      <c r="A277" s="17" t="s">
        <v>2669</v>
      </c>
      <c r="B277" s="17" t="s">
        <v>2670</v>
      </c>
      <c r="C277" s="17" t="s">
        <v>2671</v>
      </c>
      <c r="E277" s="60" t="str">
        <f>VLOOKUP($A277,nist_names_ids!A:B,2,false)</f>
        <v>sigmapp</v>
      </c>
      <c r="F277" s="61">
        <f>countif(Constants!A:A,E277)</f>
        <v>1</v>
      </c>
      <c r="G277" s="62" t="str">
        <f t="shared" si="1"/>
        <v>2.56715e-5</v>
      </c>
      <c r="H277" s="62">
        <f t="shared" si="2"/>
        <v>0.0000256715</v>
      </c>
      <c r="I277" s="62" t="str">
        <f t="shared" si="3"/>
        <v>0.00041e-5</v>
      </c>
      <c r="J277" s="63">
        <f t="shared" si="4"/>
        <v>0.0000000041</v>
      </c>
      <c r="K277" s="62" t="b">
        <f t="shared" si="5"/>
        <v>0</v>
      </c>
      <c r="L277" s="62" t="b">
        <f t="shared" si="6"/>
        <v>0</v>
      </c>
      <c r="M277" s="60" t="str">
        <f>IFERROR(__xludf.DUMMYFUNCTION("if(regexmatch(B277,""e(.*)$""),regexextract(B277,""e(.*)$""),"""")"),"-5")</f>
        <v>-5</v>
      </c>
    </row>
    <row r="278">
      <c r="A278" s="17" t="s">
        <v>2673</v>
      </c>
      <c r="B278" s="17" t="s">
        <v>2674</v>
      </c>
      <c r="C278" s="17" t="s">
        <v>1459</v>
      </c>
      <c r="D278" s="17" t="s">
        <v>98</v>
      </c>
      <c r="E278" s="60" t="str">
        <f>VLOOKUP($A278,nist_names_ids!A:B,2,false)</f>
        <v>mp</v>
      </c>
      <c r="F278" s="61">
        <f>countif(Constants!A:A,E278)</f>
        <v>1</v>
      </c>
      <c r="G278" s="62" t="str">
        <f t="shared" si="1"/>
        <v>1.67262192595e-27</v>
      </c>
      <c r="H278" s="62">
        <f t="shared" si="2"/>
        <v>0</v>
      </c>
      <c r="I278" s="62" t="str">
        <f t="shared" si="3"/>
        <v>0.00000000052e-27</v>
      </c>
      <c r="J278" s="63">
        <f t="shared" si="4"/>
        <v>0</v>
      </c>
      <c r="K278" s="62" t="b">
        <f t="shared" si="5"/>
        <v>0</v>
      </c>
      <c r="L278" s="62" t="b">
        <f t="shared" si="6"/>
        <v>0</v>
      </c>
      <c r="M278" s="60" t="str">
        <f>IFERROR(__xludf.DUMMYFUNCTION("if(regexmatch(B278,""e(.*)$""),regexextract(B278,""e(.*)$""),"""")"),"-27")</f>
        <v>-27</v>
      </c>
    </row>
    <row r="279">
      <c r="A279" s="17" t="s">
        <v>2675</v>
      </c>
      <c r="B279" s="17" t="s">
        <v>2676</v>
      </c>
      <c r="C279" s="17" t="s">
        <v>2677</v>
      </c>
      <c r="D279" s="17" t="s">
        <v>173</v>
      </c>
      <c r="E279" s="60" t="str">
        <f>VLOOKUP($A279,nist_names_ids!A:B,2,false)</f>
        <v>mpc2</v>
      </c>
      <c r="F279" s="61">
        <f>countif(Constants!A:A,E279)</f>
        <v>1</v>
      </c>
      <c r="G279" s="62" t="str">
        <f t="shared" si="1"/>
        <v>1.50327761802e-10</v>
      </c>
      <c r="H279" s="62">
        <f t="shared" si="2"/>
        <v>0.0000000001503277618</v>
      </c>
      <c r="I279" s="62" t="str">
        <f t="shared" si="3"/>
        <v>0.00000000047e-10</v>
      </c>
      <c r="J279" s="63">
        <f t="shared" si="4"/>
        <v>0</v>
      </c>
      <c r="K279" s="62" t="b">
        <f t="shared" si="5"/>
        <v>0</v>
      </c>
      <c r="L279" s="62" t="b">
        <f t="shared" si="6"/>
        <v>0</v>
      </c>
      <c r="M279" s="60" t="str">
        <f>IFERROR(__xludf.DUMMYFUNCTION("if(regexmatch(B279,""e(.*)$""),regexextract(B279,""e(.*)$""),"""")"),"-10")</f>
        <v>-10</v>
      </c>
    </row>
    <row r="280">
      <c r="A280" s="17" t="s">
        <v>2682</v>
      </c>
      <c r="B280" s="17" t="s">
        <v>2683</v>
      </c>
      <c r="C280" s="17" t="s">
        <v>1465</v>
      </c>
      <c r="D280" s="17" t="s">
        <v>224</v>
      </c>
      <c r="E280" s="60" t="str">
        <f>VLOOKUP($A280,nist_names_ids!A:B,2,false)</f>
        <v>mpc2mev</v>
      </c>
      <c r="F280" s="61">
        <f>countif(Constants!A:A,E280)</f>
        <v>1</v>
      </c>
      <c r="G280" s="62" t="str">
        <f t="shared" si="1"/>
        <v>938.27208943</v>
      </c>
      <c r="H280" s="62">
        <f t="shared" si="2"/>
        <v>938.2720894</v>
      </c>
      <c r="I280" s="62" t="str">
        <f t="shared" si="3"/>
        <v>0.00000029</v>
      </c>
      <c r="J280" s="63">
        <f t="shared" si="4"/>
        <v>0.00000029</v>
      </c>
      <c r="K280" s="62" t="b">
        <f t="shared" si="5"/>
        <v>0</v>
      </c>
      <c r="L280" s="62" t="b">
        <f t="shared" si="6"/>
        <v>0</v>
      </c>
      <c r="M280" s="60" t="str">
        <f>IFERROR(__xludf.DUMMYFUNCTION("if(regexmatch(B280,""e(.*)$""),regexextract(B280,""e(.*)$""),"""")"),"")</f>
        <v/>
      </c>
    </row>
    <row r="281">
      <c r="A281" s="17" t="s">
        <v>2689</v>
      </c>
      <c r="B281" s="17" t="s">
        <v>2690</v>
      </c>
      <c r="C281" s="17" t="s">
        <v>2691</v>
      </c>
      <c r="D281" s="17" t="s">
        <v>249</v>
      </c>
      <c r="E281" s="60" t="str">
        <f>VLOOKUP($A281,nist_names_ids!A:B,2,false)</f>
        <v>mpu</v>
      </c>
      <c r="F281" s="61">
        <f>countif(Constants!A:A,E281)</f>
        <v>1</v>
      </c>
      <c r="G281" s="62" t="str">
        <f t="shared" si="1"/>
        <v>1.0072764665789</v>
      </c>
      <c r="H281" s="62">
        <f t="shared" si="2"/>
        <v>1.007276467</v>
      </c>
      <c r="I281" s="62" t="str">
        <f t="shared" si="3"/>
        <v>0.0000000000083</v>
      </c>
      <c r="J281" s="63">
        <f t="shared" si="4"/>
        <v>0</v>
      </c>
      <c r="K281" s="62" t="b">
        <f t="shared" si="5"/>
        <v>0</v>
      </c>
      <c r="L281" s="62" t="b">
        <f t="shared" si="6"/>
        <v>0</v>
      </c>
      <c r="M281" s="60" t="str">
        <f>IFERROR(__xludf.DUMMYFUNCTION("if(regexmatch(B281,""e(.*)$""),regexextract(B281,""e(.*)$""),"""")"),"")</f>
        <v/>
      </c>
    </row>
    <row r="282">
      <c r="A282" s="17" t="s">
        <v>2695</v>
      </c>
      <c r="B282" s="17" t="s">
        <v>2696</v>
      </c>
      <c r="C282" s="17" t="s">
        <v>2289</v>
      </c>
      <c r="D282" s="17" t="s">
        <v>286</v>
      </c>
      <c r="E282" s="60" t="str">
        <f>VLOOKUP($A282,nist_names_ids!A:B,2,false)</f>
        <v>mmp</v>
      </c>
      <c r="F282" s="61">
        <f>countif(Constants!A:A,E282)</f>
        <v>1</v>
      </c>
      <c r="G282" s="62" t="str">
        <f t="shared" si="1"/>
        <v>1.00727646764e-3</v>
      </c>
      <c r="H282" s="62">
        <f t="shared" si="2"/>
        <v>0.001007276468</v>
      </c>
      <c r="I282" s="62" t="str">
        <f t="shared" si="3"/>
        <v>0.00000000031e-3</v>
      </c>
      <c r="J282" s="63">
        <f t="shared" si="4"/>
        <v>0</v>
      </c>
      <c r="K282" s="62" t="b">
        <f t="shared" si="5"/>
        <v>0</v>
      </c>
      <c r="L282" s="62" t="b">
        <f t="shared" si="6"/>
        <v>0</v>
      </c>
      <c r="M282" s="60" t="str">
        <f>IFERROR(__xludf.DUMMYFUNCTION("if(regexmatch(B282,""e(.*)$""),regexextract(B282,""e(.*)$""),"""")"),"-3")</f>
        <v>-3</v>
      </c>
    </row>
    <row r="283">
      <c r="A283" s="17" t="s">
        <v>2697</v>
      </c>
      <c r="B283" s="17" t="s">
        <v>2698</v>
      </c>
      <c r="C283" s="17" t="s">
        <v>2348</v>
      </c>
      <c r="E283" s="60" t="str">
        <f>VLOOKUP($A283,nist_names_ids!A:B,2,false)</f>
        <v>mpsmmu</v>
      </c>
      <c r="F283" s="61">
        <f>countif(Constants!A:A,E283)</f>
        <v>1</v>
      </c>
      <c r="G283" s="62" t="str">
        <f t="shared" si="1"/>
        <v>8.88024338</v>
      </c>
      <c r="H283" s="62">
        <f t="shared" si="2"/>
        <v>8.88024338</v>
      </c>
      <c r="I283" s="62" t="str">
        <f t="shared" si="3"/>
        <v>0.00000020</v>
      </c>
      <c r="J283" s="63">
        <f t="shared" si="4"/>
        <v>0.0000002</v>
      </c>
      <c r="K283" s="62" t="b">
        <f t="shared" si="5"/>
        <v>0</v>
      </c>
      <c r="L283" s="62" t="b">
        <f t="shared" si="6"/>
        <v>0</v>
      </c>
      <c r="M283" s="60" t="str">
        <f>IFERROR(__xludf.DUMMYFUNCTION("if(regexmatch(B283,""e(.*)$""),regexextract(B283,""e(.*)$""),"""")"),"")</f>
        <v/>
      </c>
    </row>
    <row r="284">
      <c r="A284" s="17" t="s">
        <v>2700</v>
      </c>
      <c r="B284" s="17" t="s">
        <v>2701</v>
      </c>
      <c r="C284" s="17" t="s">
        <v>2702</v>
      </c>
      <c r="E284" s="60" t="str">
        <f>VLOOKUP($A284,nist_names_ids!A:B,2,false)</f>
        <v>mupsmunn</v>
      </c>
      <c r="F284" s="61">
        <f>countif(Constants!A:A,E284)</f>
        <v>1</v>
      </c>
      <c r="G284" s="62" t="str">
        <f t="shared" si="1"/>
        <v>-1.45989802</v>
      </c>
      <c r="H284" s="62">
        <f t="shared" si="2"/>
        <v>-1.45989802</v>
      </c>
      <c r="I284" s="62" t="str">
        <f t="shared" si="3"/>
        <v>0.00000034</v>
      </c>
      <c r="J284" s="63">
        <f t="shared" si="4"/>
        <v>0.00000034</v>
      </c>
      <c r="K284" s="62" t="b">
        <f t="shared" si="5"/>
        <v>0</v>
      </c>
      <c r="L284" s="62" t="b">
        <f t="shared" si="6"/>
        <v>0</v>
      </c>
      <c r="M284" s="60" t="str">
        <f>IFERROR(__xludf.DUMMYFUNCTION("if(regexmatch(B284,""e(.*)$""),regexextract(B284,""e(.*)$""),"""")"),"")</f>
        <v/>
      </c>
    </row>
    <row r="285">
      <c r="A285" s="17" t="s">
        <v>2705</v>
      </c>
      <c r="B285" s="17" t="s">
        <v>2706</v>
      </c>
      <c r="C285" s="17" t="s">
        <v>2506</v>
      </c>
      <c r="E285" s="60" t="str">
        <f>VLOOKUP($A285,nist_names_ids!A:B,2,false)</f>
        <v>mpsmn</v>
      </c>
      <c r="F285" s="61">
        <f>countif(Constants!A:A,E285)</f>
        <v>1</v>
      </c>
      <c r="G285" s="62" t="str">
        <f t="shared" si="1"/>
        <v>0.99862347797</v>
      </c>
      <c r="H285" s="62">
        <f t="shared" si="2"/>
        <v>0.998623478</v>
      </c>
      <c r="I285" s="62" t="str">
        <f t="shared" si="3"/>
        <v>0.00000000040</v>
      </c>
      <c r="J285" s="63">
        <f t="shared" si="4"/>
        <v>0.0000000004</v>
      </c>
      <c r="K285" s="62" t="b">
        <f t="shared" si="5"/>
        <v>0</v>
      </c>
      <c r="L285" s="62" t="b">
        <f t="shared" si="6"/>
        <v>0</v>
      </c>
      <c r="M285" s="60" t="str">
        <f>IFERROR(__xludf.DUMMYFUNCTION("if(regexmatch(B285,""e(.*)$""),regexextract(B285,""e(.*)$""),"""")"),"")</f>
        <v/>
      </c>
    </row>
    <row r="286">
      <c r="A286" s="17" t="s">
        <v>2707</v>
      </c>
      <c r="B286" s="17" t="s">
        <v>2690</v>
      </c>
      <c r="C286" s="17" t="s">
        <v>2691</v>
      </c>
      <c r="E286" s="60" t="str">
        <f>VLOOKUP($A286,nist_names_ids!A:B,2,false)</f>
        <v>arp</v>
      </c>
      <c r="F286" s="61">
        <f>countif(Constants!A:A,E286)</f>
        <v>1</v>
      </c>
      <c r="G286" s="62" t="str">
        <f t="shared" si="1"/>
        <v>1.0072764665789</v>
      </c>
      <c r="H286" s="62">
        <f t="shared" si="2"/>
        <v>1.007276467</v>
      </c>
      <c r="I286" s="62" t="str">
        <f t="shared" si="3"/>
        <v>0.0000000000083</v>
      </c>
      <c r="J286" s="63">
        <f t="shared" si="4"/>
        <v>0</v>
      </c>
      <c r="K286" s="62" t="b">
        <f t="shared" si="5"/>
        <v>0</v>
      </c>
      <c r="L286" s="62" t="b">
        <f t="shared" si="6"/>
        <v>0</v>
      </c>
      <c r="M286" s="60" t="str">
        <f>IFERROR(__xludf.DUMMYFUNCTION("if(regexmatch(B286,""e(.*)$""),regexextract(B286,""e(.*)$""),"""")"),"")</f>
        <v/>
      </c>
    </row>
    <row r="287">
      <c r="A287" s="17" t="s">
        <v>2711</v>
      </c>
      <c r="B287" s="64" t="s">
        <v>2712</v>
      </c>
      <c r="C287" s="64" t="s">
        <v>2713</v>
      </c>
      <c r="D287" s="17" t="s">
        <v>381</v>
      </c>
      <c r="E287" s="60" t="str">
        <f>VLOOKUP($A287,nist_names_ids!A:B,2,false)</f>
        <v>rp</v>
      </c>
      <c r="F287" s="61">
        <f>countif(Constants!A:A,E287)</f>
        <v>1</v>
      </c>
      <c r="G287" s="62" t="str">
        <f t="shared" si="1"/>
        <v>8.4075e-16</v>
      </c>
      <c r="H287" s="62">
        <f t="shared" si="2"/>
        <v>0</v>
      </c>
      <c r="I287" s="62" t="str">
        <f t="shared" si="3"/>
        <v>0.0064e-16</v>
      </c>
      <c r="J287" s="63">
        <f t="shared" si="4"/>
        <v>0</v>
      </c>
      <c r="K287" s="62" t="b">
        <f t="shared" si="5"/>
        <v>0</v>
      </c>
      <c r="L287" s="62" t="b">
        <f t="shared" si="6"/>
        <v>0</v>
      </c>
      <c r="M287" s="60" t="str">
        <f>IFERROR(__xludf.DUMMYFUNCTION("if(regexmatch(B287,""e(.*)$""),regexextract(B287,""e(.*)$""),"""")"),"-16")</f>
        <v>-16</v>
      </c>
    </row>
    <row r="288">
      <c r="A288" s="17" t="s">
        <v>2715</v>
      </c>
      <c r="B288" s="17" t="s">
        <v>2716</v>
      </c>
      <c r="C288" s="17" t="s">
        <v>2553</v>
      </c>
      <c r="E288" s="60" t="str">
        <f>VLOOKUP($A288,nist_names_ids!A:B,2,false)</f>
        <v>mpsmtau</v>
      </c>
      <c r="F288" s="61">
        <f>countif(Constants!A:A,E288)</f>
        <v>1</v>
      </c>
      <c r="G288" s="62" t="str">
        <f t="shared" si="1"/>
        <v>0.528051</v>
      </c>
      <c r="H288" s="62">
        <f t="shared" si="2"/>
        <v>0.528051</v>
      </c>
      <c r="I288" s="62" t="str">
        <f t="shared" si="3"/>
        <v>0.000036</v>
      </c>
      <c r="J288" s="63">
        <f t="shared" si="4"/>
        <v>0.000036</v>
      </c>
      <c r="K288" s="62" t="b">
        <f t="shared" si="5"/>
        <v>0</v>
      </c>
      <c r="L288" s="62" t="b">
        <f t="shared" si="6"/>
        <v>0</v>
      </c>
      <c r="M288" s="60" t="str">
        <f>IFERROR(__xludf.DUMMYFUNCTION("if(regexmatch(B288,""e(.*)$""),regexextract(B288,""e(.*)$""),"""")"),"")</f>
        <v/>
      </c>
    </row>
    <row r="289">
      <c r="A289" s="17" t="s">
        <v>2719</v>
      </c>
      <c r="B289" s="17" t="s">
        <v>2720</v>
      </c>
      <c r="C289" s="17" t="s">
        <v>2588</v>
      </c>
      <c r="D289" s="17" t="s">
        <v>2721</v>
      </c>
      <c r="E289" s="60" t="str">
        <f>VLOOKUP($A289,nist_names_ids!A:B,2,false)</f>
        <v>qucirchs2me</v>
      </c>
      <c r="F289" s="61">
        <f>countif(Constants!A:A,E289)</f>
        <v>1</v>
      </c>
      <c r="G289" s="62" t="str">
        <f t="shared" si="1"/>
        <v>3.6369475467e-4</v>
      </c>
      <c r="H289" s="62">
        <f t="shared" si="2"/>
        <v>0.0003636947547</v>
      </c>
      <c r="I289" s="62" t="str">
        <f t="shared" si="3"/>
        <v>0.0000000011e-4</v>
      </c>
      <c r="J289" s="63">
        <f t="shared" si="4"/>
        <v>0</v>
      </c>
      <c r="K289" s="62" t="b">
        <f t="shared" si="5"/>
        <v>0</v>
      </c>
      <c r="L289" s="62" t="b">
        <f t="shared" si="6"/>
        <v>0</v>
      </c>
      <c r="M289" s="60" t="str">
        <f>IFERROR(__xludf.DUMMYFUNCTION("if(regexmatch(B289,""e(.*)$""),regexextract(B289,""e(.*)$""),"""")"),"-4")</f>
        <v>-4</v>
      </c>
    </row>
    <row r="290">
      <c r="A290" s="17" t="s">
        <v>2727</v>
      </c>
      <c r="B290" s="17" t="s">
        <v>2728</v>
      </c>
      <c r="C290" s="17" t="s">
        <v>2729</v>
      </c>
      <c r="D290" s="17" t="s">
        <v>2721</v>
      </c>
      <c r="E290" s="60" t="str">
        <f>VLOOKUP($A290,nist_names_ids!A:B,2,false)</f>
        <v>hsme</v>
      </c>
      <c r="F290" s="61">
        <f>countif(Constants!A:A,E290)</f>
        <v>1</v>
      </c>
      <c r="G290" s="62" t="str">
        <f t="shared" si="1"/>
        <v>7.2738950934e-4</v>
      </c>
      <c r="H290" s="62">
        <f t="shared" si="2"/>
        <v>0.0007273895093</v>
      </c>
      <c r="I290" s="62" t="str">
        <f t="shared" si="3"/>
        <v>0.0000000023e-4</v>
      </c>
      <c r="J290" s="63">
        <f t="shared" si="4"/>
        <v>0</v>
      </c>
      <c r="K290" s="62" t="b">
        <f t="shared" si="5"/>
        <v>0</v>
      </c>
      <c r="L290" s="62" t="b">
        <f t="shared" si="6"/>
        <v>0</v>
      </c>
      <c r="M290" s="60" t="str">
        <f>IFERROR(__xludf.DUMMYFUNCTION("if(regexmatch(B290,""e(.*)$""),regexextract(B290,""e(.*)$""),"""")"),"-4")</f>
        <v>-4</v>
      </c>
    </row>
    <row r="291">
      <c r="A291" s="17" t="s">
        <v>2732</v>
      </c>
      <c r="B291" s="17" t="s">
        <v>2411</v>
      </c>
      <c r="C291" s="17" t="s">
        <v>2412</v>
      </c>
      <c r="D291" s="17" t="s">
        <v>381</v>
      </c>
      <c r="E291" s="60" t="str">
        <f>VLOOKUP($A291,nist_names_ids!A:B,2,false)</f>
        <v>ecomwlbar</v>
      </c>
      <c r="F291" s="61">
        <f>countif(Constants!A:A,E291)</f>
        <v>1</v>
      </c>
      <c r="G291" s="62" t="str">
        <f t="shared" si="1"/>
        <v>3.8615926744e-13</v>
      </c>
      <c r="H291" s="62">
        <f t="shared" si="2"/>
        <v>0</v>
      </c>
      <c r="I291" s="62" t="str">
        <f t="shared" si="3"/>
        <v>0.0000000012e-13</v>
      </c>
      <c r="J291" s="63">
        <f t="shared" si="4"/>
        <v>0</v>
      </c>
      <c r="K291" s="62" t="b">
        <f t="shared" si="5"/>
        <v>0</v>
      </c>
      <c r="L291" s="62" t="b">
        <f t="shared" si="6"/>
        <v>0</v>
      </c>
      <c r="M291" s="60" t="str">
        <f>IFERROR(__xludf.DUMMYFUNCTION("if(regexmatch(B291,""e(.*)$""),regexextract(B291,""e(.*)$""),"""")"),"-13")</f>
        <v>-13</v>
      </c>
    </row>
    <row r="292">
      <c r="A292" s="17" t="s">
        <v>2735</v>
      </c>
      <c r="B292" s="17" t="s">
        <v>2736</v>
      </c>
      <c r="C292" s="17" t="s">
        <v>2737</v>
      </c>
      <c r="D292" s="17" t="s">
        <v>381</v>
      </c>
      <c r="E292" s="60" t="str">
        <f>VLOOKUP($A292,nist_names_ids!A:B,2,false)</f>
        <v>mcomwlbar</v>
      </c>
      <c r="F292" s="61">
        <f>countif(Constants!A:A,E292)</f>
        <v>1</v>
      </c>
      <c r="G292" s="62" t="str">
        <f t="shared" si="1"/>
        <v>1.867594306e-15</v>
      </c>
      <c r="H292" s="62">
        <f t="shared" si="2"/>
        <v>0</v>
      </c>
      <c r="I292" s="62" t="str">
        <f t="shared" si="3"/>
        <v>0.000000042e-15</v>
      </c>
      <c r="J292" s="63">
        <f t="shared" si="4"/>
        <v>0</v>
      </c>
      <c r="K292" s="62" t="b">
        <f t="shared" si="5"/>
        <v>0</v>
      </c>
      <c r="L292" s="62" t="b">
        <f t="shared" si="6"/>
        <v>0</v>
      </c>
      <c r="M292" s="60" t="str">
        <f>IFERROR(__xludf.DUMMYFUNCTION("if(regexmatch(B292,""e(.*)$""),regexextract(B292,""e(.*)$""),"""")"),"-15")</f>
        <v>-15</v>
      </c>
    </row>
    <row r="293">
      <c r="A293" s="17" t="s">
        <v>2741</v>
      </c>
      <c r="B293" s="17" t="s">
        <v>2742</v>
      </c>
      <c r="C293" s="17" t="s">
        <v>2743</v>
      </c>
      <c r="D293" s="17" t="s">
        <v>381</v>
      </c>
      <c r="E293" s="60" t="str">
        <f>VLOOKUP($A293,nist_names_ids!A:B,2,false)</f>
        <v>ncomwlbar</v>
      </c>
      <c r="F293" s="61">
        <f>countif(Constants!A:A,E293)</f>
        <v>1</v>
      </c>
      <c r="G293" s="62" t="str">
        <f t="shared" si="1"/>
        <v>2.1001941520e-16</v>
      </c>
      <c r="H293" s="62">
        <f t="shared" si="2"/>
        <v>0</v>
      </c>
      <c r="I293" s="62" t="str">
        <f t="shared" si="3"/>
        <v>0.0000000011e-16</v>
      </c>
      <c r="J293" s="63">
        <f t="shared" si="4"/>
        <v>0</v>
      </c>
      <c r="K293" s="62" t="b">
        <f t="shared" si="5"/>
        <v>0</v>
      </c>
      <c r="L293" s="62" t="b">
        <f t="shared" si="6"/>
        <v>0</v>
      </c>
      <c r="M293" s="60" t="str">
        <f>IFERROR(__xludf.DUMMYFUNCTION("if(regexmatch(B293,""e(.*)$""),regexextract(B293,""e(.*)$""),"""")"),"-16")</f>
        <v>-16</v>
      </c>
    </row>
    <row r="294">
      <c r="A294" s="17" t="s">
        <v>2746</v>
      </c>
      <c r="B294" s="17" t="s">
        <v>1500</v>
      </c>
      <c r="C294" s="17" t="s">
        <v>1501</v>
      </c>
      <c r="D294" s="17" t="s">
        <v>714</v>
      </c>
      <c r="E294" s="60" t="str">
        <f>VLOOKUP($A294,nist_names_ids!A:B,2,false)</f>
        <v>hbar</v>
      </c>
      <c r="F294" s="61">
        <f>countif(Constants!A:A,E294)</f>
        <v>1</v>
      </c>
      <c r="G294" s="62" t="str">
        <f t="shared" si="1"/>
        <v>1.054571817e-34</v>
      </c>
      <c r="H294" s="62">
        <f t="shared" si="2"/>
        <v>0</v>
      </c>
      <c r="I294" s="62" t="str">
        <f t="shared" si="3"/>
        <v>(exact)</v>
      </c>
      <c r="J294" s="63" t="str">
        <f t="shared" si="4"/>
        <v/>
      </c>
      <c r="K294" s="62" t="b">
        <f t="shared" si="5"/>
        <v>1</v>
      </c>
      <c r="L294" s="62" t="b">
        <f t="shared" si="6"/>
        <v>0</v>
      </c>
      <c r="M294" s="60" t="str">
        <f>IFERROR(__xludf.DUMMYFUNCTION("if(regexmatch(B294,""e(.*)$""),regexextract(B294,""e(.*)$""),"""")"),"-34")</f>
        <v>-34</v>
      </c>
    </row>
    <row r="295">
      <c r="A295" s="17" t="s">
        <v>2749</v>
      </c>
      <c r="B295" s="17" t="s">
        <v>2401</v>
      </c>
      <c r="C295" s="17" t="s">
        <v>1501</v>
      </c>
      <c r="D295" s="17" t="s">
        <v>2402</v>
      </c>
      <c r="E295" s="60" t="str">
        <f>VLOOKUP($A295,nist_names_ids!A:B,2,false)</f>
        <v>hbarev</v>
      </c>
      <c r="F295" s="61">
        <f>countif(Constants!A:A,E295)</f>
        <v>1</v>
      </c>
      <c r="G295" s="62" t="str">
        <f t="shared" si="1"/>
        <v>6.582119569e-16</v>
      </c>
      <c r="H295" s="62">
        <f t="shared" si="2"/>
        <v>0</v>
      </c>
      <c r="I295" s="62" t="str">
        <f t="shared" si="3"/>
        <v>(exact)</v>
      </c>
      <c r="J295" s="63" t="str">
        <f t="shared" si="4"/>
        <v/>
      </c>
      <c r="K295" s="62" t="b">
        <f t="shared" si="5"/>
        <v>1</v>
      </c>
      <c r="L295" s="62" t="b">
        <f t="shared" si="6"/>
        <v>0</v>
      </c>
      <c r="M295" s="60" t="str">
        <f>IFERROR(__xludf.DUMMYFUNCTION("if(regexmatch(B295,""e(.*)$""),regexextract(B295,""e(.*)$""),"""")"),"-16")</f>
        <v>-16</v>
      </c>
    </row>
    <row r="296">
      <c r="A296" s="17" t="s">
        <v>2752</v>
      </c>
      <c r="B296" s="17" t="s">
        <v>2753</v>
      </c>
      <c r="C296" s="17" t="s">
        <v>1501</v>
      </c>
      <c r="D296" s="17" t="s">
        <v>2754</v>
      </c>
      <c r="E296" s="60" t="str">
        <f>VLOOKUP($A296,nist_names_ids!A:B,2,false)</f>
        <v>hbcmevf</v>
      </c>
      <c r="F296" s="61">
        <f>countif(Constants!A:A,E296)</f>
        <v>1</v>
      </c>
      <c r="G296" s="62" t="str">
        <f t="shared" si="1"/>
        <v>197.3269804</v>
      </c>
      <c r="H296" s="62">
        <f t="shared" si="2"/>
        <v>197.3269804</v>
      </c>
      <c r="I296" s="62" t="str">
        <f t="shared" si="3"/>
        <v>(exact)</v>
      </c>
      <c r="J296" s="63" t="str">
        <f t="shared" si="4"/>
        <v/>
      </c>
      <c r="K296" s="62" t="b">
        <f t="shared" si="5"/>
        <v>1</v>
      </c>
      <c r="L296" s="62" t="b">
        <f t="shared" si="6"/>
        <v>0</v>
      </c>
      <c r="M296" s="60" t="str">
        <f>IFERROR(__xludf.DUMMYFUNCTION("if(regexmatch(B296,""e(.*)$""),regexextract(B296,""e(.*)$""),"""")"),"")</f>
        <v/>
      </c>
    </row>
    <row r="297">
      <c r="A297" s="17" t="s">
        <v>2757</v>
      </c>
      <c r="B297" s="17" t="s">
        <v>2758</v>
      </c>
      <c r="C297" s="17" t="s">
        <v>2759</v>
      </c>
      <c r="D297" s="17" t="s">
        <v>381</v>
      </c>
      <c r="E297" s="60" t="str">
        <f>VLOOKUP($A297,nist_names_ids!A:B,2,false)</f>
        <v>pcomwlbar</v>
      </c>
      <c r="F297" s="61">
        <f>countif(Constants!A:A,E297)</f>
        <v>1</v>
      </c>
      <c r="G297" s="62" t="str">
        <f t="shared" si="1"/>
        <v>2.10308910051e-16</v>
      </c>
      <c r="H297" s="62">
        <f t="shared" si="2"/>
        <v>0</v>
      </c>
      <c r="I297" s="62" t="str">
        <f t="shared" si="3"/>
        <v>0.00000000066e-16</v>
      </c>
      <c r="J297" s="63">
        <f t="shared" si="4"/>
        <v>0</v>
      </c>
      <c r="K297" s="62" t="b">
        <f t="shared" si="5"/>
        <v>0</v>
      </c>
      <c r="L297" s="62" t="b">
        <f t="shared" si="6"/>
        <v>0</v>
      </c>
      <c r="M297" s="60" t="str">
        <f>IFERROR(__xludf.DUMMYFUNCTION("if(regexmatch(B297,""e(.*)$""),regexextract(B297,""e(.*)$""),"""")"),"-16")</f>
        <v>-16</v>
      </c>
    </row>
    <row r="298">
      <c r="A298" s="17" t="s">
        <v>2765</v>
      </c>
      <c r="B298" s="17" t="s">
        <v>2766</v>
      </c>
      <c r="C298" s="17" t="s">
        <v>2767</v>
      </c>
      <c r="D298" s="17" t="s">
        <v>381</v>
      </c>
      <c r="E298" s="60" t="str">
        <f>VLOOKUP($A298,nist_names_ids!A:B,2,false)</f>
        <v>tcomwlbar</v>
      </c>
      <c r="F298" s="61">
        <f>countif(Constants!A:A,E298)</f>
        <v>1</v>
      </c>
      <c r="G298" s="62" t="str">
        <f t="shared" si="1"/>
        <v>1.110538e-16</v>
      </c>
      <c r="H298" s="62">
        <f t="shared" si="2"/>
        <v>0</v>
      </c>
      <c r="I298" s="62" t="str">
        <f t="shared" si="3"/>
        <v>0.000075e-16</v>
      </c>
      <c r="J298" s="63">
        <f t="shared" si="4"/>
        <v>0</v>
      </c>
      <c r="K298" s="62" t="b">
        <f t="shared" si="5"/>
        <v>0</v>
      </c>
      <c r="L298" s="62" t="b">
        <f t="shared" si="6"/>
        <v>0</v>
      </c>
      <c r="M298" s="60" t="str">
        <f>IFERROR(__xludf.DUMMYFUNCTION("if(regexmatch(B298,""e(.*)$""),regexextract(B298,""e(.*)$""),"""")"),"-16")</f>
        <v>-16</v>
      </c>
    </row>
    <row r="299">
      <c r="A299" s="17" t="s">
        <v>2769</v>
      </c>
      <c r="B299" s="17" t="s">
        <v>2770</v>
      </c>
      <c r="C299" s="17" t="s">
        <v>2771</v>
      </c>
      <c r="D299" s="17" t="s">
        <v>561</v>
      </c>
      <c r="E299" s="60" t="str">
        <f>VLOOKUP($A299,nist_names_ids!A:B,2,false)</f>
        <v>ryd</v>
      </c>
      <c r="F299" s="61">
        <f>countif(Constants!A:A,E299)</f>
        <v>1</v>
      </c>
      <c r="G299" s="62" t="str">
        <f t="shared" si="1"/>
        <v>10973731.568157</v>
      </c>
      <c r="H299" s="62">
        <f t="shared" si="2"/>
        <v>10973731.57</v>
      </c>
      <c r="I299" s="62" t="str">
        <f t="shared" si="3"/>
        <v>0.000012</v>
      </c>
      <c r="J299" s="63">
        <f t="shared" si="4"/>
        <v>0.000012</v>
      </c>
      <c r="K299" s="62" t="b">
        <f t="shared" si="5"/>
        <v>0</v>
      </c>
      <c r="L299" s="62" t="b">
        <f t="shared" si="6"/>
        <v>0</v>
      </c>
      <c r="M299" s="60" t="str">
        <f>IFERROR(__xludf.DUMMYFUNCTION("if(regexmatch(B299,""e(.*)$""),regexextract(B299,""e(.*)$""),"""")"),"")</f>
        <v/>
      </c>
    </row>
    <row r="300">
      <c r="A300" s="17" t="s">
        <v>2774</v>
      </c>
      <c r="B300" s="17" t="s">
        <v>2775</v>
      </c>
      <c r="C300" s="17" t="s">
        <v>2776</v>
      </c>
      <c r="D300" s="17" t="s">
        <v>257</v>
      </c>
      <c r="E300" s="60" t="str">
        <f>VLOOKUP($A300,nist_names_ids!A:B,2,false)</f>
        <v>rydchz</v>
      </c>
      <c r="F300" s="61">
        <f>countif(Constants!A:A,E300)</f>
        <v>1</v>
      </c>
      <c r="G300" s="62" t="str">
        <f t="shared" si="1"/>
        <v>3.2898419602500e15</v>
      </c>
      <c r="H300" s="62">
        <f t="shared" si="2"/>
        <v>3.28984E+15</v>
      </c>
      <c r="I300" s="62" t="str">
        <f t="shared" si="3"/>
        <v>0.0000000000036e15</v>
      </c>
      <c r="J300" s="63">
        <f t="shared" si="4"/>
        <v>3600</v>
      </c>
      <c r="K300" s="62" t="b">
        <f t="shared" si="5"/>
        <v>0</v>
      </c>
      <c r="L300" s="62" t="b">
        <f t="shared" si="6"/>
        <v>0</v>
      </c>
      <c r="M300" s="60" t="str">
        <f>IFERROR(__xludf.DUMMYFUNCTION("if(regexmatch(B300,""e(.*)$""),regexextract(B300,""e(.*)$""),"""")"),"15")</f>
        <v>15</v>
      </c>
    </row>
    <row r="301">
      <c r="A301" s="17" t="s">
        <v>2780</v>
      </c>
      <c r="B301" s="17" t="s">
        <v>2781</v>
      </c>
      <c r="C301" s="17" t="s">
        <v>1770</v>
      </c>
      <c r="D301" s="17" t="s">
        <v>181</v>
      </c>
      <c r="E301" s="60" t="str">
        <f>VLOOKUP($A301,nist_names_ids!A:B,2,false)</f>
        <v>rydhcev</v>
      </c>
      <c r="F301" s="61">
        <f>countif(Constants!A:A,E301)</f>
        <v>1</v>
      </c>
      <c r="G301" s="62" t="str">
        <f t="shared" si="1"/>
        <v>13.605693122990</v>
      </c>
      <c r="H301" s="62">
        <f t="shared" si="2"/>
        <v>13.60569312</v>
      </c>
      <c r="I301" s="62" t="str">
        <f t="shared" si="3"/>
        <v>0.000000000015</v>
      </c>
      <c r="J301" s="63">
        <f t="shared" si="4"/>
        <v>0</v>
      </c>
      <c r="K301" s="62" t="b">
        <f t="shared" si="5"/>
        <v>0</v>
      </c>
      <c r="L301" s="62" t="b">
        <f t="shared" si="6"/>
        <v>0</v>
      </c>
      <c r="M301" s="60" t="str">
        <f>IFERROR(__xludf.DUMMYFUNCTION("if(regexmatch(B301,""e(.*)$""),regexextract(B301,""e(.*)$""),"""")"),"")</f>
        <v/>
      </c>
    </row>
    <row r="302">
      <c r="A302" s="17" t="s">
        <v>2784</v>
      </c>
      <c r="B302" s="17" t="s">
        <v>2785</v>
      </c>
      <c r="C302" s="17" t="s">
        <v>2786</v>
      </c>
      <c r="D302" s="17" t="s">
        <v>173</v>
      </c>
      <c r="E302" s="60" t="str">
        <f>VLOOKUP($A302,nist_names_ids!A:B,2,false)</f>
        <v>rydhcj</v>
      </c>
      <c r="F302" s="61">
        <f>countif(Constants!A:A,E302)</f>
        <v>1</v>
      </c>
      <c r="G302" s="62" t="str">
        <f t="shared" si="1"/>
        <v>2.1798723611030e-18</v>
      </c>
      <c r="H302" s="62">
        <f t="shared" si="2"/>
        <v>0</v>
      </c>
      <c r="I302" s="62" t="str">
        <f t="shared" si="3"/>
        <v>0.0000000000024e-18</v>
      </c>
      <c r="J302" s="63">
        <f t="shared" si="4"/>
        <v>0</v>
      </c>
      <c r="K302" s="62" t="b">
        <f t="shared" si="5"/>
        <v>0</v>
      </c>
      <c r="L302" s="62" t="b">
        <f t="shared" si="6"/>
        <v>0</v>
      </c>
      <c r="M302" s="60" t="str">
        <f>IFERROR(__xludf.DUMMYFUNCTION("if(regexmatch(B302,""e(.*)$""),regexextract(B302,""e(.*)$""),"""")"),"-18")</f>
        <v>-18</v>
      </c>
    </row>
    <row r="303">
      <c r="A303" s="17" t="s">
        <v>2788</v>
      </c>
      <c r="B303" s="17" t="s">
        <v>2789</v>
      </c>
      <c r="C303" s="17" t="s">
        <v>2790</v>
      </c>
      <c r="E303" s="60" t="str">
        <f>VLOOKUP($A303,nist_names_ids!A:B,2,false)</f>
        <v>s0sr</v>
      </c>
      <c r="F303" s="61">
        <f>countif(Constants!A:A,E303)</f>
        <v>1</v>
      </c>
      <c r="G303" s="62" t="str">
        <f t="shared" si="1"/>
        <v>-1.15170753496</v>
      </c>
      <c r="H303" s="62">
        <f t="shared" si="2"/>
        <v>-1.151707535</v>
      </c>
      <c r="I303" s="62" t="str">
        <f t="shared" si="3"/>
        <v>0.00000000047</v>
      </c>
      <c r="J303" s="63">
        <f t="shared" si="4"/>
        <v>0.00000000047</v>
      </c>
      <c r="K303" s="62" t="b">
        <f t="shared" si="5"/>
        <v>0</v>
      </c>
      <c r="L303" s="62" t="b">
        <f t="shared" si="6"/>
        <v>0</v>
      </c>
      <c r="M303" s="60" t="str">
        <f>IFERROR(__xludf.DUMMYFUNCTION("if(regexmatch(B303,""e(.*)$""),regexextract(B303,""e(.*)$""),"""")"),"")</f>
        <v/>
      </c>
    </row>
    <row r="304">
      <c r="A304" s="17" t="s">
        <v>2795</v>
      </c>
      <c r="B304" s="17" t="s">
        <v>2796</v>
      </c>
      <c r="C304" s="17" t="s">
        <v>2790</v>
      </c>
      <c r="E304" s="60" t="str">
        <f>VLOOKUP($A304,nist_names_ids!A:B,2,false)</f>
        <v>s0srstd</v>
      </c>
      <c r="F304" s="61">
        <f>countif(Constants!A:A,E304)</f>
        <v>1</v>
      </c>
      <c r="G304" s="62" t="str">
        <f t="shared" si="1"/>
        <v>-1.16487052149</v>
      </c>
      <c r="H304" s="62">
        <f t="shared" si="2"/>
        <v>-1.164870521</v>
      </c>
      <c r="I304" s="62" t="str">
        <f t="shared" si="3"/>
        <v>0.00000000047</v>
      </c>
      <c r="J304" s="63">
        <f t="shared" si="4"/>
        <v>0.00000000047</v>
      </c>
      <c r="K304" s="62" t="b">
        <f t="shared" si="5"/>
        <v>0</v>
      </c>
      <c r="L304" s="62" t="b">
        <f t="shared" si="6"/>
        <v>0</v>
      </c>
      <c r="M304" s="60" t="str">
        <f>IFERROR(__xludf.DUMMYFUNCTION("if(regexmatch(B304,""e(.*)$""),regexextract(B304,""e(.*)$""),"""")"),"")</f>
        <v/>
      </c>
    </row>
    <row r="305">
      <c r="A305" s="17" t="s">
        <v>2799</v>
      </c>
      <c r="B305" s="17" t="s">
        <v>2151</v>
      </c>
      <c r="C305" s="17" t="s">
        <v>1501</v>
      </c>
      <c r="D305" s="17" t="s">
        <v>2800</v>
      </c>
      <c r="E305" s="60" t="str">
        <f>VLOOKUP($A305,nist_names_ids!A:B,2,false)</f>
        <v>c22ndrc</v>
      </c>
      <c r="F305" s="61">
        <f>countif(Constants!A:A,E305)</f>
        <v>1</v>
      </c>
      <c r="G305" s="62" t="str">
        <f t="shared" si="1"/>
        <v>1.438776877e-2</v>
      </c>
      <c r="H305" s="62">
        <f t="shared" si="2"/>
        <v>0.01438776877</v>
      </c>
      <c r="I305" s="62" t="str">
        <f t="shared" si="3"/>
        <v>(exact)</v>
      </c>
      <c r="J305" s="63" t="str">
        <f t="shared" si="4"/>
        <v/>
      </c>
      <c r="K305" s="62" t="b">
        <f t="shared" si="5"/>
        <v>1</v>
      </c>
      <c r="L305" s="62" t="b">
        <f t="shared" si="6"/>
        <v>0</v>
      </c>
      <c r="M305" s="60" t="str">
        <f>IFERROR(__xludf.DUMMYFUNCTION("if(regexmatch(B305,""e(.*)$""),regexextract(B305,""e(.*)$""),"""")"),"-2")</f>
        <v>-2</v>
      </c>
    </row>
    <row r="306">
      <c r="A306" s="17" t="s">
        <v>2802</v>
      </c>
      <c r="B306" s="17" t="s">
        <v>2803</v>
      </c>
      <c r="C306" s="17" t="s">
        <v>2804</v>
      </c>
      <c r="D306" s="17" t="s">
        <v>1717</v>
      </c>
      <c r="E306" s="60" t="str">
        <f>VLOOKUP($A306,nist_names_ids!A:B,2,false)</f>
        <v>gammahp</v>
      </c>
      <c r="F306" s="61">
        <f>countif(Constants!A:A,E306)</f>
        <v>1</v>
      </c>
      <c r="G306" s="62" t="str">
        <f t="shared" si="1"/>
        <v>2.0378946078e8</v>
      </c>
      <c r="H306" s="62">
        <f t="shared" si="2"/>
        <v>203789460.8</v>
      </c>
      <c r="I306" s="62" t="str">
        <f t="shared" si="3"/>
        <v>0.0000000018e8</v>
      </c>
      <c r="J306" s="63">
        <f t="shared" si="4"/>
        <v>0.18</v>
      </c>
      <c r="K306" s="62" t="b">
        <f t="shared" si="5"/>
        <v>0</v>
      </c>
      <c r="L306" s="62" t="b">
        <f t="shared" si="6"/>
        <v>0</v>
      </c>
      <c r="M306" s="60" t="str">
        <f>IFERROR(__xludf.DUMMYFUNCTION("if(regexmatch(B306,""e(.*)$""),regexextract(B306,""e(.*)$""),"""")"),"8")</f>
        <v>8</v>
      </c>
    </row>
    <row r="307">
      <c r="A307" s="17" t="s">
        <v>2810</v>
      </c>
      <c r="B307" s="17" t="s">
        <v>2811</v>
      </c>
      <c r="C307" s="17" t="s">
        <v>2812</v>
      </c>
      <c r="D307" s="17" t="s">
        <v>1733</v>
      </c>
      <c r="E307" s="60" t="str">
        <f>VLOOKUP($A307,nist_names_ids!A:B,2,false)</f>
        <v>gammahpbar</v>
      </c>
      <c r="F307" s="61">
        <f>countif(Constants!A:A,E307)</f>
        <v>1</v>
      </c>
      <c r="G307" s="62" t="str">
        <f t="shared" si="1"/>
        <v>32.434100033</v>
      </c>
      <c r="H307" s="62">
        <f t="shared" si="2"/>
        <v>32.43410003</v>
      </c>
      <c r="I307" s="62" t="str">
        <f t="shared" si="3"/>
        <v>0.000000028</v>
      </c>
      <c r="J307" s="63">
        <f t="shared" si="4"/>
        <v>0.000000028</v>
      </c>
      <c r="K307" s="62" t="b">
        <f t="shared" si="5"/>
        <v>0</v>
      </c>
      <c r="L307" s="62" t="b">
        <f t="shared" si="6"/>
        <v>0</v>
      </c>
      <c r="M307" s="60" t="str">
        <f>IFERROR(__xludf.DUMMYFUNCTION("if(regexmatch(B307,""e(.*)$""),regexextract(B307,""e(.*)$""),"""")"),"")</f>
        <v/>
      </c>
    </row>
    <row r="308">
      <c r="A308" s="17" t="s">
        <v>2814</v>
      </c>
      <c r="B308" s="17" t="s">
        <v>2815</v>
      </c>
      <c r="C308" s="17" t="s">
        <v>2039</v>
      </c>
      <c r="D308" s="17" t="s">
        <v>964</v>
      </c>
      <c r="E308" s="60" t="str">
        <f>VLOOKUP($A308,nist_names_ids!A:B,2,false)</f>
        <v>muhp</v>
      </c>
      <c r="F308" s="61">
        <f>countif(Constants!A:A,E308)</f>
        <v>1</v>
      </c>
      <c r="G308" s="62" t="str">
        <f t="shared" si="1"/>
        <v>-1.07455311035e-26</v>
      </c>
      <c r="H308" s="62">
        <f t="shared" si="2"/>
        <v>0</v>
      </c>
      <c r="I308" s="62" t="str">
        <f t="shared" si="3"/>
        <v>0.00000000093e-26</v>
      </c>
      <c r="J308" s="63">
        <f t="shared" si="4"/>
        <v>0</v>
      </c>
      <c r="K308" s="62" t="b">
        <f t="shared" si="5"/>
        <v>0</v>
      </c>
      <c r="L308" s="62" t="b">
        <f t="shared" si="6"/>
        <v>0</v>
      </c>
      <c r="M308" s="60" t="str">
        <f>IFERROR(__xludf.DUMMYFUNCTION("if(regexmatch(B308,""e(.*)$""),regexextract(B308,""e(.*)$""),"""")"),"-26")</f>
        <v>-26</v>
      </c>
    </row>
    <row r="309">
      <c r="A309" s="17" t="s">
        <v>2817</v>
      </c>
      <c r="B309" s="17" t="s">
        <v>2818</v>
      </c>
      <c r="C309" s="17" t="s">
        <v>2044</v>
      </c>
      <c r="E309" s="60" t="str">
        <f>VLOOKUP($A309,nist_names_ids!A:B,2,false)</f>
        <v>muhpsmub</v>
      </c>
      <c r="F309" s="61">
        <f>countif(Constants!A:A,E309)</f>
        <v>1</v>
      </c>
      <c r="G309" s="62" t="str">
        <f t="shared" si="1"/>
        <v>-1.15867149457e-3</v>
      </c>
      <c r="H309" s="62">
        <f t="shared" si="2"/>
        <v>-0.001158671495</v>
      </c>
      <c r="I309" s="62" t="str">
        <f t="shared" si="3"/>
        <v>0.00000000094e-3</v>
      </c>
      <c r="J309" s="63">
        <f t="shared" si="4"/>
        <v>0</v>
      </c>
      <c r="K309" s="62" t="b">
        <f t="shared" si="5"/>
        <v>0</v>
      </c>
      <c r="L309" s="62" t="b">
        <f t="shared" si="6"/>
        <v>0</v>
      </c>
      <c r="M309" s="60" t="str">
        <f>IFERROR(__xludf.DUMMYFUNCTION("if(regexmatch(B309,""e(.*)$""),regexextract(B309,""e(.*)$""),"""")"),"-3")</f>
        <v>-3</v>
      </c>
    </row>
    <row r="310">
      <c r="A310" s="17" t="s">
        <v>2823</v>
      </c>
      <c r="B310" s="17" t="s">
        <v>2826</v>
      </c>
      <c r="C310" s="17" t="s">
        <v>2047</v>
      </c>
      <c r="E310" s="60" t="str">
        <f>VLOOKUP($A310,nist_names_ids!A:B,2,false)</f>
        <v>muhpsmun</v>
      </c>
      <c r="F310" s="61">
        <f>countif(Constants!A:A,E310)</f>
        <v>1</v>
      </c>
      <c r="G310" s="62" t="str">
        <f t="shared" si="1"/>
        <v>-2.1274977624</v>
      </c>
      <c r="H310" s="62">
        <f t="shared" si="2"/>
        <v>-2.127497762</v>
      </c>
      <c r="I310" s="62" t="str">
        <f t="shared" si="3"/>
        <v>0.0000000017</v>
      </c>
      <c r="J310" s="63">
        <f t="shared" si="4"/>
        <v>0.0000000017</v>
      </c>
      <c r="K310" s="62" t="b">
        <f t="shared" si="5"/>
        <v>0</v>
      </c>
      <c r="L310" s="62" t="b">
        <f t="shared" si="6"/>
        <v>0</v>
      </c>
      <c r="M310" s="60" t="str">
        <f>IFERROR(__xludf.DUMMYFUNCTION("if(regexmatch(B310,""e(.*)$""),regexextract(B310,""e(.*)$""),"""")"),"")</f>
        <v/>
      </c>
    </row>
    <row r="311">
      <c r="A311" s="17" t="s">
        <v>2834</v>
      </c>
      <c r="B311" s="17" t="s">
        <v>2835</v>
      </c>
      <c r="C311" s="17" t="s">
        <v>2836</v>
      </c>
      <c r="E311" s="60" t="str">
        <f>VLOOKUP($A311,nist_names_ids!A:B,2,false)</f>
        <v>muhpsmup</v>
      </c>
      <c r="F311" s="61">
        <f>countif(Constants!A:A,E311)</f>
        <v>1</v>
      </c>
      <c r="G311" s="62" t="str">
        <f t="shared" si="1"/>
        <v>-0.76176657721</v>
      </c>
      <c r="H311" s="62">
        <f t="shared" si="2"/>
        <v>-0.7617665772</v>
      </c>
      <c r="I311" s="62" t="str">
        <f t="shared" si="3"/>
        <v>0.00000000066</v>
      </c>
      <c r="J311" s="63">
        <f t="shared" si="4"/>
        <v>0.00000000066</v>
      </c>
      <c r="K311" s="62" t="b">
        <f t="shared" si="5"/>
        <v>0</v>
      </c>
      <c r="L311" s="62" t="b">
        <f t="shared" si="6"/>
        <v>0</v>
      </c>
      <c r="M311" s="60" t="str">
        <f>IFERROR(__xludf.DUMMYFUNCTION("if(regexmatch(B311,""e(.*)$""),regexextract(B311,""e(.*)$""),"""")"),"")</f>
        <v/>
      </c>
    </row>
    <row r="312">
      <c r="A312" s="17" t="s">
        <v>2838</v>
      </c>
      <c r="B312" s="17" t="s">
        <v>2839</v>
      </c>
      <c r="C312" s="17" t="s">
        <v>2840</v>
      </c>
      <c r="E312" s="60" t="str">
        <f>VLOOKUP($A312,nist_names_ids!A:B,2,false)</f>
        <v>muhpsmupp</v>
      </c>
      <c r="F312" s="61">
        <f>countif(Constants!A:A,E312)</f>
        <v>1</v>
      </c>
      <c r="G312" s="62" t="str">
        <f t="shared" si="1"/>
        <v>-0.7617861334</v>
      </c>
      <c r="H312" s="62">
        <f t="shared" si="2"/>
        <v>-0.7617861334</v>
      </c>
      <c r="I312" s="62" t="str">
        <f t="shared" si="3"/>
        <v>0.0000000031</v>
      </c>
      <c r="J312" s="63">
        <f t="shared" si="4"/>
        <v>0.0000000031</v>
      </c>
      <c r="K312" s="62" t="b">
        <f t="shared" si="5"/>
        <v>0</v>
      </c>
      <c r="L312" s="62" t="b">
        <f t="shared" si="6"/>
        <v>0</v>
      </c>
      <c r="M312" s="60" t="str">
        <f>IFERROR(__xludf.DUMMYFUNCTION("if(regexmatch(B312,""e(.*)$""),regexextract(B312,""e(.*)$""),"""")"),"")</f>
        <v/>
      </c>
    </row>
    <row r="313">
      <c r="A313" s="17" t="s">
        <v>2845</v>
      </c>
      <c r="B313" s="17" t="s">
        <v>2846</v>
      </c>
      <c r="C313" s="17" t="s">
        <v>2847</v>
      </c>
      <c r="D313" s="17" t="s">
        <v>1717</v>
      </c>
      <c r="E313" s="60" t="str">
        <f>VLOOKUP($A313,nist_names_ids!A:B,2,false)</f>
        <v>gammapp</v>
      </c>
      <c r="F313" s="61">
        <f>countif(Constants!A:A,E313)</f>
        <v>1</v>
      </c>
      <c r="G313" s="62" t="str">
        <f t="shared" si="1"/>
        <v>2.675153194e8</v>
      </c>
      <c r="H313" s="62">
        <f t="shared" si="2"/>
        <v>267515319.4</v>
      </c>
      <c r="I313" s="62" t="str">
        <f t="shared" si="3"/>
        <v>0.000000011e8</v>
      </c>
      <c r="J313" s="63">
        <f t="shared" si="4"/>
        <v>1.1</v>
      </c>
      <c r="K313" s="62" t="b">
        <f t="shared" si="5"/>
        <v>0</v>
      </c>
      <c r="L313" s="62" t="b">
        <f t="shared" si="6"/>
        <v>0</v>
      </c>
      <c r="M313" s="60" t="str">
        <f>IFERROR(__xludf.DUMMYFUNCTION("if(regexmatch(B313,""e(.*)$""),regexextract(B313,""e(.*)$""),"""")"),"8")</f>
        <v>8</v>
      </c>
    </row>
    <row r="314">
      <c r="A314" s="17" t="s">
        <v>2850</v>
      </c>
      <c r="B314" s="17" t="s">
        <v>2851</v>
      </c>
      <c r="C314" s="17" t="s">
        <v>1419</v>
      </c>
      <c r="D314" s="17" t="s">
        <v>1733</v>
      </c>
      <c r="E314" s="60" t="str">
        <f>VLOOKUP($A314,nist_names_ids!A:B,2,false)</f>
        <v>gammappbar</v>
      </c>
      <c r="F314" s="61">
        <f>countif(Constants!A:A,E314)</f>
        <v>1</v>
      </c>
      <c r="G314" s="62" t="str">
        <f t="shared" si="1"/>
        <v>42.57638543</v>
      </c>
      <c r="H314" s="62">
        <f t="shared" si="2"/>
        <v>42.57638543</v>
      </c>
      <c r="I314" s="62" t="str">
        <f t="shared" si="3"/>
        <v>0.00000017</v>
      </c>
      <c r="J314" s="63">
        <f t="shared" si="4"/>
        <v>0.00000017</v>
      </c>
      <c r="K314" s="62" t="b">
        <f t="shared" si="5"/>
        <v>0</v>
      </c>
      <c r="L314" s="62" t="b">
        <f t="shared" si="6"/>
        <v>0</v>
      </c>
      <c r="M314" s="60" t="str">
        <f>IFERROR(__xludf.DUMMYFUNCTION("if(regexmatch(B314,""e(.*)$""),regexextract(B314,""e(.*)$""),"""")"),"")</f>
        <v/>
      </c>
    </row>
    <row r="315">
      <c r="A315" s="17" t="s">
        <v>2853</v>
      </c>
      <c r="B315" s="17" t="s">
        <v>2854</v>
      </c>
      <c r="C315" s="17" t="s">
        <v>2855</v>
      </c>
      <c r="D315" s="17" t="s">
        <v>964</v>
      </c>
      <c r="E315" s="60" t="str">
        <f>VLOOKUP($A315,nist_names_ids!A:B,2,false)</f>
        <v>mupp</v>
      </c>
      <c r="F315" s="61">
        <f>countif(Constants!A:A,E315)</f>
        <v>1</v>
      </c>
      <c r="G315" s="62" t="str">
        <f t="shared" si="1"/>
        <v>1.4105705830e-26</v>
      </c>
      <c r="H315" s="62">
        <f t="shared" si="2"/>
        <v>0</v>
      </c>
      <c r="I315" s="62" t="str">
        <f t="shared" si="3"/>
        <v>0.0000000058e-26</v>
      </c>
      <c r="J315" s="63">
        <f t="shared" si="4"/>
        <v>0</v>
      </c>
      <c r="K315" s="62" t="b">
        <f t="shared" si="5"/>
        <v>0</v>
      </c>
      <c r="L315" s="62" t="b">
        <f t="shared" si="6"/>
        <v>0</v>
      </c>
      <c r="M315" s="60" t="str">
        <f>IFERROR(__xludf.DUMMYFUNCTION("if(regexmatch(B315,""e(.*)$""),regexextract(B315,""e(.*)$""),"""")"),"-26")</f>
        <v>-26</v>
      </c>
    </row>
    <row r="316">
      <c r="A316" s="17" t="s">
        <v>2858</v>
      </c>
      <c r="B316" s="17" t="s">
        <v>2859</v>
      </c>
      <c r="C316" s="17" t="s">
        <v>2860</v>
      </c>
      <c r="E316" s="60" t="str">
        <f>VLOOKUP($A316,nist_names_ids!A:B,2,false)</f>
        <v>muppsmub</v>
      </c>
      <c r="F316" s="61">
        <f>countif(Constants!A:A,E316)</f>
        <v>1</v>
      </c>
      <c r="G316" s="62" t="str">
        <f t="shared" si="1"/>
        <v>1.5209931551e-3</v>
      </c>
      <c r="H316" s="62">
        <f t="shared" si="2"/>
        <v>0.001520993155</v>
      </c>
      <c r="I316" s="62" t="str">
        <f t="shared" si="3"/>
        <v>0.0000000062e-3</v>
      </c>
      <c r="J316" s="63">
        <f t="shared" si="4"/>
        <v>0</v>
      </c>
      <c r="K316" s="62" t="b">
        <f t="shared" si="5"/>
        <v>0</v>
      </c>
      <c r="L316" s="62" t="b">
        <f t="shared" si="6"/>
        <v>0</v>
      </c>
      <c r="M316" s="60" t="str">
        <f>IFERROR(__xludf.DUMMYFUNCTION("if(regexmatch(B316,""e(.*)$""),regexextract(B316,""e(.*)$""),"""")"),"-3")</f>
        <v>-3</v>
      </c>
    </row>
    <row r="317">
      <c r="A317" s="17" t="s">
        <v>2863</v>
      </c>
      <c r="B317" s="17" t="s">
        <v>2864</v>
      </c>
      <c r="C317" s="17" t="s">
        <v>2865</v>
      </c>
      <c r="E317" s="60" t="str">
        <f>VLOOKUP($A317,nist_names_ids!A:B,2,false)</f>
        <v>muppsmun</v>
      </c>
      <c r="F317" s="61">
        <f>countif(Constants!A:A,E317)</f>
        <v>1</v>
      </c>
      <c r="G317" s="62" t="str">
        <f t="shared" si="1"/>
        <v>2.792775648</v>
      </c>
      <c r="H317" s="62">
        <f t="shared" si="2"/>
        <v>2.792775648</v>
      </c>
      <c r="I317" s="62" t="str">
        <f t="shared" si="3"/>
        <v>0.000000011</v>
      </c>
      <c r="J317" s="63">
        <f t="shared" si="4"/>
        <v>0.000000011</v>
      </c>
      <c r="K317" s="62" t="b">
        <f t="shared" si="5"/>
        <v>0</v>
      </c>
      <c r="L317" s="62" t="b">
        <f t="shared" si="6"/>
        <v>0</v>
      </c>
      <c r="M317" s="60" t="str">
        <f>IFERROR(__xludf.DUMMYFUNCTION("if(regexmatch(B317,""e(.*)$""),regexextract(B317,""e(.*)$""),"""")"),"")</f>
        <v/>
      </c>
    </row>
    <row r="318">
      <c r="A318" s="17" t="s">
        <v>2866</v>
      </c>
      <c r="B318" s="17" t="s">
        <v>2868</v>
      </c>
      <c r="C318" s="17" t="s">
        <v>2869</v>
      </c>
      <c r="E318" s="60" t="str">
        <f>VLOOKUP($A318,nist_names_ids!A:B,2,false)</f>
        <v>sdp</v>
      </c>
      <c r="F318" s="61">
        <f>countif(Constants!A:A,E318)</f>
        <v>1</v>
      </c>
      <c r="G318" s="62" t="str">
        <f t="shared" si="1"/>
        <v>1.98770e-8</v>
      </c>
      <c r="H318" s="62">
        <f t="shared" si="2"/>
        <v>0.000000019877</v>
      </c>
      <c r="I318" s="62" t="str">
        <f t="shared" si="3"/>
        <v>0.00010e-8</v>
      </c>
      <c r="J318" s="63">
        <f t="shared" si="4"/>
        <v>0</v>
      </c>
      <c r="K318" s="62" t="b">
        <f t="shared" si="5"/>
        <v>0</v>
      </c>
      <c r="L318" s="62" t="b">
        <f t="shared" si="6"/>
        <v>0</v>
      </c>
      <c r="M318" s="60" t="str">
        <f>IFERROR(__xludf.DUMMYFUNCTION("if(regexmatch(B318,""e(.*)$""),regexextract(B318,""e(.*)$""),"""")"),"-8")</f>
        <v>-8</v>
      </c>
    </row>
    <row r="319">
      <c r="A319" s="17" t="s">
        <v>2872</v>
      </c>
      <c r="B319" s="17" t="s">
        <v>2873</v>
      </c>
      <c r="C319" s="17" t="s">
        <v>2874</v>
      </c>
      <c r="E319" s="60" t="str">
        <f>VLOOKUP($A319,nist_names_ids!A:B,2,false)</f>
        <v>stp</v>
      </c>
      <c r="F319" s="61">
        <f>countif(Constants!A:A,E319)</f>
        <v>1</v>
      </c>
      <c r="G319" s="62" t="str">
        <f t="shared" si="1"/>
        <v>2.39450e-8</v>
      </c>
      <c r="H319" s="62">
        <f t="shared" si="2"/>
        <v>0.000000023945</v>
      </c>
      <c r="I319" s="62" t="str">
        <f t="shared" si="3"/>
        <v>0.00020e-8</v>
      </c>
      <c r="J319" s="63">
        <f t="shared" si="4"/>
        <v>0</v>
      </c>
      <c r="K319" s="62" t="b">
        <f t="shared" si="5"/>
        <v>0</v>
      </c>
      <c r="L319" s="62" t="b">
        <f t="shared" si="6"/>
        <v>0</v>
      </c>
      <c r="M319" s="60" t="str">
        <f>IFERROR(__xludf.DUMMYFUNCTION("if(regexmatch(B319,""e(.*)$""),regexextract(B319,""e(.*)$""),"""")"),"-8")</f>
        <v>-8</v>
      </c>
    </row>
    <row r="320">
      <c r="A320" s="17" t="s">
        <v>2877</v>
      </c>
      <c r="B320" s="17" t="s">
        <v>2145</v>
      </c>
      <c r="C320" s="17" t="s">
        <v>1501</v>
      </c>
      <c r="D320" s="17" t="s">
        <v>1109</v>
      </c>
      <c r="E320" s="60" t="str">
        <f>VLOOKUP($A320,nist_names_ids!A:B,2,false)</f>
        <v>c</v>
      </c>
      <c r="F320" s="61">
        <f>countif(Constants!A:A,E320)</f>
        <v>1</v>
      </c>
      <c r="G320" s="62" t="str">
        <f t="shared" si="1"/>
        <v>299792458</v>
      </c>
      <c r="H320" s="62">
        <f t="shared" si="2"/>
        <v>299792458</v>
      </c>
      <c r="I320" s="62" t="str">
        <f t="shared" si="3"/>
        <v>(exact)</v>
      </c>
      <c r="J320" s="63" t="str">
        <f t="shared" si="4"/>
        <v/>
      </c>
      <c r="K320" s="62" t="b">
        <f t="shared" si="5"/>
        <v>1</v>
      </c>
      <c r="L320" s="62" t="b">
        <f t="shared" si="6"/>
        <v>0</v>
      </c>
      <c r="M320" s="60" t="str">
        <f>IFERROR(__xludf.DUMMYFUNCTION("if(regexmatch(B320,""e(.*)$""),regexextract(B320,""e(.*)$""),"""")"),"")</f>
        <v/>
      </c>
    </row>
    <row r="321">
      <c r="A321" s="17" t="s">
        <v>2880</v>
      </c>
      <c r="B321" s="17" t="s">
        <v>2881</v>
      </c>
      <c r="C321" s="17" t="s">
        <v>1501</v>
      </c>
      <c r="D321" s="17" t="s">
        <v>2882</v>
      </c>
      <c r="E321" s="60" t="str">
        <f>VLOOKUP($A321,nist_names_ids!A:B,2,false)</f>
        <v>gn</v>
      </c>
      <c r="F321" s="61">
        <f>countif(Constants!A:A,E321)</f>
        <v>1</v>
      </c>
      <c r="G321" s="62" t="str">
        <f t="shared" si="1"/>
        <v>9.80665</v>
      </c>
      <c r="H321" s="62">
        <f t="shared" si="2"/>
        <v>9.80665</v>
      </c>
      <c r="I321" s="62" t="str">
        <f t="shared" si="3"/>
        <v>(exact)</v>
      </c>
      <c r="J321" s="63" t="str">
        <f t="shared" si="4"/>
        <v/>
      </c>
      <c r="K321" s="62" t="b">
        <f t="shared" si="5"/>
        <v>1</v>
      </c>
      <c r="L321" s="62" t="b">
        <f t="shared" si="6"/>
        <v>0</v>
      </c>
      <c r="M321" s="60" t="str">
        <f>IFERROR(__xludf.DUMMYFUNCTION("if(regexmatch(B321,""e(.*)$""),regexextract(B321,""e(.*)$""),"""")"),"")</f>
        <v/>
      </c>
    </row>
    <row r="322">
      <c r="A322" s="17" t="s">
        <v>2886</v>
      </c>
      <c r="B322" s="17" t="s">
        <v>2887</v>
      </c>
      <c r="C322" s="17" t="s">
        <v>1501</v>
      </c>
      <c r="D322" s="17" t="s">
        <v>512</v>
      </c>
      <c r="E322" s="60" t="str">
        <f>VLOOKUP($A322,nist_names_ids!A:B,2,false)</f>
        <v>stdatm</v>
      </c>
      <c r="F322" s="61">
        <f>countif(Constants!A:A,E322)</f>
        <v>1</v>
      </c>
      <c r="G322" s="62" t="str">
        <f t="shared" si="1"/>
        <v>101325</v>
      </c>
      <c r="H322" s="62">
        <f t="shared" si="2"/>
        <v>101325</v>
      </c>
      <c r="I322" s="62" t="str">
        <f t="shared" si="3"/>
        <v>(exact)</v>
      </c>
      <c r="J322" s="63" t="str">
        <f t="shared" si="4"/>
        <v/>
      </c>
      <c r="K322" s="62" t="b">
        <f t="shared" si="5"/>
        <v>1</v>
      </c>
      <c r="L322" s="62" t="b">
        <f t="shared" si="6"/>
        <v>0</v>
      </c>
      <c r="M322" s="60" t="str">
        <f>IFERROR(__xludf.DUMMYFUNCTION("if(regexmatch(B322,""e(.*)$""),regexextract(B322,""e(.*)$""),"""")"),"")</f>
        <v/>
      </c>
    </row>
    <row r="323">
      <c r="A323" s="17" t="s">
        <v>2888</v>
      </c>
      <c r="B323" s="17" t="s">
        <v>2889</v>
      </c>
      <c r="C323" s="17" t="s">
        <v>1501</v>
      </c>
      <c r="D323" s="17" t="s">
        <v>512</v>
      </c>
      <c r="E323" s="60" t="str">
        <f>VLOOKUP($A323,nist_names_ids!A:B,2,false)</f>
        <v>stdspr</v>
      </c>
      <c r="F323" s="61">
        <f>countif(Constants!A:A,E323)</f>
        <v>1</v>
      </c>
      <c r="G323" s="62" t="str">
        <f t="shared" si="1"/>
        <v>100000</v>
      </c>
      <c r="H323" s="62">
        <f t="shared" si="2"/>
        <v>100000</v>
      </c>
      <c r="I323" s="62" t="str">
        <f t="shared" si="3"/>
        <v>(exact)</v>
      </c>
      <c r="J323" s="63" t="str">
        <f t="shared" si="4"/>
        <v/>
      </c>
      <c r="K323" s="62" t="b">
        <f t="shared" si="5"/>
        <v>1</v>
      </c>
      <c r="L323" s="62" t="b">
        <f t="shared" si="6"/>
        <v>0</v>
      </c>
      <c r="M323" s="60" t="str">
        <f>IFERROR(__xludf.DUMMYFUNCTION("if(regexmatch(B323,""e(.*)$""),regexextract(B323,""e(.*)$""),"""")"),"")</f>
        <v/>
      </c>
    </row>
    <row r="324">
      <c r="A324" s="17" t="s">
        <v>2890</v>
      </c>
      <c r="B324" s="17" t="s">
        <v>2891</v>
      </c>
      <c r="C324" s="17" t="s">
        <v>1501</v>
      </c>
      <c r="D324" s="17" t="s">
        <v>2892</v>
      </c>
      <c r="E324" s="60" t="str">
        <f>VLOOKUP($A324,nist_names_ids!A:B,2,false)</f>
        <v>sigma</v>
      </c>
      <c r="F324" s="61">
        <f>countif(Constants!A:A,E324)</f>
        <v>1</v>
      </c>
      <c r="G324" s="62" t="str">
        <f t="shared" si="1"/>
        <v>5.670374419e-8</v>
      </c>
      <c r="H324" s="62">
        <f t="shared" si="2"/>
        <v>0.00000005670374419</v>
      </c>
      <c r="I324" s="62" t="str">
        <f t="shared" si="3"/>
        <v>(exact)</v>
      </c>
      <c r="J324" s="63" t="str">
        <f t="shared" si="4"/>
        <v/>
      </c>
      <c r="K324" s="62" t="b">
        <f t="shared" si="5"/>
        <v>1</v>
      </c>
      <c r="L324" s="62" t="b">
        <f t="shared" si="6"/>
        <v>0</v>
      </c>
      <c r="M324" s="60" t="str">
        <f>IFERROR(__xludf.DUMMYFUNCTION("if(regexmatch(B324,""e(.*)$""),regexextract(B324,""e(.*)$""),"""")"),"-8")</f>
        <v>-8</v>
      </c>
    </row>
    <row r="325">
      <c r="A325" s="17" t="s">
        <v>2896</v>
      </c>
      <c r="B325" s="17" t="s">
        <v>2897</v>
      </c>
      <c r="C325" s="17" t="s">
        <v>2898</v>
      </c>
      <c r="D325" s="17" t="s">
        <v>381</v>
      </c>
      <c r="E325" s="60" t="str">
        <f>VLOOKUP($A325,nist_names_ids!A:B,2,false)</f>
        <v>tcomwl</v>
      </c>
      <c r="F325" s="61">
        <f>countif(Constants!A:A,E325)</f>
        <v>1</v>
      </c>
      <c r="G325" s="62" t="str">
        <f t="shared" si="1"/>
        <v>6.97771e-16</v>
      </c>
      <c r="H325" s="62">
        <f t="shared" si="2"/>
        <v>0</v>
      </c>
      <c r="I325" s="62" t="str">
        <f t="shared" si="3"/>
        <v>0.00047e-16</v>
      </c>
      <c r="J325" s="63">
        <f t="shared" si="4"/>
        <v>0</v>
      </c>
      <c r="K325" s="62" t="b">
        <f t="shared" si="5"/>
        <v>0</v>
      </c>
      <c r="L325" s="62" t="b">
        <f t="shared" si="6"/>
        <v>0</v>
      </c>
      <c r="M325" s="60" t="str">
        <f>IFERROR(__xludf.DUMMYFUNCTION("if(regexmatch(B325,""e(.*)$""),regexextract(B325,""e(.*)$""),"""")"),"-16")</f>
        <v>-16</v>
      </c>
    </row>
    <row r="326">
      <c r="A326" s="17" t="s">
        <v>2901</v>
      </c>
      <c r="B326" s="64" t="s">
        <v>2902</v>
      </c>
      <c r="C326" s="64" t="s">
        <v>2903</v>
      </c>
      <c r="E326" s="60" t="str">
        <f>VLOOKUP($A326,nist_names_ids!A:B,2,false)</f>
        <v>mtausme</v>
      </c>
      <c r="F326" s="61">
        <f>countif(Constants!A:A,E326)</f>
        <v>1</v>
      </c>
      <c r="G326" s="62" t="str">
        <f t="shared" si="1"/>
        <v>3477.23</v>
      </c>
      <c r="H326" s="62">
        <f t="shared" si="2"/>
        <v>3477.23</v>
      </c>
      <c r="I326" s="62" t="str">
        <f t="shared" si="3"/>
        <v>0.23</v>
      </c>
      <c r="J326" s="63">
        <f t="shared" si="4"/>
        <v>0.23</v>
      </c>
      <c r="K326" s="62" t="b">
        <f t="shared" si="5"/>
        <v>0</v>
      </c>
      <c r="L326" s="62" t="b">
        <f t="shared" si="6"/>
        <v>0</v>
      </c>
      <c r="M326" s="60" t="str">
        <f>IFERROR(__xludf.DUMMYFUNCTION("if(regexmatch(B326,""e(.*)$""),regexextract(B326,""e(.*)$""),"""")"),"")</f>
        <v/>
      </c>
    </row>
    <row r="327">
      <c r="A327" s="17" t="s">
        <v>2906</v>
      </c>
      <c r="B327" s="64" t="s">
        <v>2907</v>
      </c>
      <c r="C327" s="64" t="s">
        <v>2908</v>
      </c>
      <c r="D327" s="17" t="s">
        <v>224</v>
      </c>
      <c r="E327" s="60" t="str">
        <f>VLOOKUP($A327,nist_names_ids!A:B,2,false)</f>
        <v>mtauc2mev</v>
      </c>
      <c r="F327" s="61">
        <f>countif(Constants!A:A,E327)</f>
        <v>1</v>
      </c>
      <c r="G327" s="62" t="str">
        <f t="shared" si="1"/>
        <v>1776.86</v>
      </c>
      <c r="H327" s="62">
        <f t="shared" si="2"/>
        <v>1776.86</v>
      </c>
      <c r="I327" s="62" t="str">
        <f t="shared" si="3"/>
        <v>0.12</v>
      </c>
      <c r="J327" s="63">
        <f t="shared" si="4"/>
        <v>0.12</v>
      </c>
      <c r="K327" s="62" t="b">
        <f t="shared" si="5"/>
        <v>0</v>
      </c>
      <c r="L327" s="62" t="b">
        <f t="shared" si="6"/>
        <v>0</v>
      </c>
      <c r="M327" s="60" t="str">
        <f>IFERROR(__xludf.DUMMYFUNCTION("if(regexmatch(B327,""e(.*)$""),regexextract(B327,""e(.*)$""),"""")"),"")</f>
        <v/>
      </c>
    </row>
    <row r="328">
      <c r="A328" s="17" t="s">
        <v>2910</v>
      </c>
      <c r="B328" s="17" t="s">
        <v>2911</v>
      </c>
      <c r="C328" s="17" t="s">
        <v>2912</v>
      </c>
      <c r="D328" s="17" t="s">
        <v>98</v>
      </c>
      <c r="E328" s="60" t="str">
        <f>VLOOKUP($A328,nist_names_ids!A:B,2,false)</f>
        <v>mtau</v>
      </c>
      <c r="F328" s="61">
        <f>countif(Constants!A:A,E328)</f>
        <v>1</v>
      </c>
      <c r="G328" s="62" t="str">
        <f t="shared" si="1"/>
        <v>3.16754e-27</v>
      </c>
      <c r="H328" s="62">
        <f t="shared" si="2"/>
        <v>0</v>
      </c>
      <c r="I328" s="62" t="str">
        <f t="shared" si="3"/>
        <v>0.00021e-27</v>
      </c>
      <c r="J328" s="63">
        <f t="shared" si="4"/>
        <v>0</v>
      </c>
      <c r="K328" s="62" t="b">
        <f t="shared" si="5"/>
        <v>0</v>
      </c>
      <c r="L328" s="62" t="b">
        <f t="shared" si="6"/>
        <v>0</v>
      </c>
      <c r="M328" s="60" t="str">
        <f>IFERROR(__xludf.DUMMYFUNCTION("if(regexmatch(B328,""e(.*)$""),regexextract(B328,""e(.*)$""),"""")"),"-27")</f>
        <v>-27</v>
      </c>
    </row>
    <row r="329">
      <c r="A329" s="17" t="s">
        <v>2915</v>
      </c>
      <c r="B329" s="17" t="s">
        <v>2916</v>
      </c>
      <c r="C329" s="17" t="s">
        <v>2917</v>
      </c>
      <c r="D329" s="17" t="s">
        <v>173</v>
      </c>
      <c r="E329" s="60" t="str">
        <f>VLOOKUP($A329,nist_names_ids!A:B,2,false)</f>
        <v>mtauc2</v>
      </c>
      <c r="F329" s="61">
        <f>countif(Constants!A:A,E329)</f>
        <v>1</v>
      </c>
      <c r="G329" s="62" t="str">
        <f t="shared" si="1"/>
        <v>2.84684e-10</v>
      </c>
      <c r="H329" s="62">
        <f t="shared" si="2"/>
        <v>0.000000000284684</v>
      </c>
      <c r="I329" s="62" t="str">
        <f t="shared" si="3"/>
        <v>0.00019e-10</v>
      </c>
      <c r="J329" s="63">
        <f t="shared" si="4"/>
        <v>0</v>
      </c>
      <c r="K329" s="62" t="b">
        <f t="shared" si="5"/>
        <v>0</v>
      </c>
      <c r="L329" s="62" t="b">
        <f t="shared" si="6"/>
        <v>0</v>
      </c>
      <c r="M329" s="60" t="str">
        <f>IFERROR(__xludf.DUMMYFUNCTION("if(regexmatch(B329,""e(.*)$""),regexextract(B329,""e(.*)$""),"""")"),"-10")</f>
        <v>-10</v>
      </c>
    </row>
    <row r="330">
      <c r="A330" s="17" t="s">
        <v>2920</v>
      </c>
      <c r="B330" s="17" t="s">
        <v>2921</v>
      </c>
      <c r="C330" s="17" t="s">
        <v>2922</v>
      </c>
      <c r="D330" s="17" t="s">
        <v>249</v>
      </c>
      <c r="E330" s="60" t="str">
        <f>VLOOKUP($A330,nist_names_ids!A:B,2,false)</f>
        <v>mtauu</v>
      </c>
      <c r="F330" s="61">
        <f>countif(Constants!A:A,E330)</f>
        <v>1</v>
      </c>
      <c r="G330" s="62" t="str">
        <f t="shared" si="1"/>
        <v>1.90754</v>
      </c>
      <c r="H330" s="62">
        <f t="shared" si="2"/>
        <v>1.90754</v>
      </c>
      <c r="I330" s="62" t="str">
        <f t="shared" si="3"/>
        <v>0.00013</v>
      </c>
      <c r="J330" s="63">
        <f t="shared" si="4"/>
        <v>0.00013</v>
      </c>
      <c r="K330" s="62" t="b">
        <f t="shared" si="5"/>
        <v>0</v>
      </c>
      <c r="L330" s="62" t="b">
        <f t="shared" si="6"/>
        <v>0</v>
      </c>
      <c r="M330" s="60" t="str">
        <f>IFERROR(__xludf.DUMMYFUNCTION("if(regexmatch(B330,""e(.*)$""),regexextract(B330,""e(.*)$""),"""")"),"")</f>
        <v/>
      </c>
    </row>
    <row r="331">
      <c r="A331" s="17" t="s">
        <v>2928</v>
      </c>
      <c r="B331" s="17" t="s">
        <v>2929</v>
      </c>
      <c r="C331" s="17" t="s">
        <v>2930</v>
      </c>
      <c r="D331" s="17" t="s">
        <v>286</v>
      </c>
      <c r="E331" s="60" t="str">
        <f>VLOOKUP($A331,nist_names_ids!A:B,2,false)</f>
        <v>mmtau</v>
      </c>
      <c r="F331" s="61">
        <f>countif(Constants!A:A,E331)</f>
        <v>1</v>
      </c>
      <c r="G331" s="62" t="str">
        <f t="shared" si="1"/>
        <v>1.90754e-3</v>
      </c>
      <c r="H331" s="62">
        <f t="shared" si="2"/>
        <v>0.00190754</v>
      </c>
      <c r="I331" s="62" t="str">
        <f t="shared" si="3"/>
        <v>0.00013e-3</v>
      </c>
      <c r="J331" s="63">
        <f t="shared" si="4"/>
        <v>0.00000013</v>
      </c>
      <c r="K331" s="62" t="b">
        <f t="shared" si="5"/>
        <v>0</v>
      </c>
      <c r="L331" s="62" t="b">
        <f t="shared" si="6"/>
        <v>0</v>
      </c>
      <c r="M331" s="60" t="str">
        <f>IFERROR(__xludf.DUMMYFUNCTION("if(regexmatch(B331,""e(.*)$""),regexextract(B331,""e(.*)$""),"""")"),"-3")</f>
        <v>-3</v>
      </c>
    </row>
    <row r="332">
      <c r="A332" s="17" t="s">
        <v>2931</v>
      </c>
      <c r="B332" s="64" t="s">
        <v>2932</v>
      </c>
      <c r="C332" s="64" t="s">
        <v>2933</v>
      </c>
      <c r="E332" s="60" t="str">
        <f>VLOOKUP($A332,nist_names_ids!A:B,2,false)</f>
        <v>mtausmmu</v>
      </c>
      <c r="F332" s="61">
        <f>countif(Constants!A:A,E332)</f>
        <v>1</v>
      </c>
      <c r="G332" s="62" t="str">
        <f t="shared" si="1"/>
        <v>16.8170</v>
      </c>
      <c r="H332" s="62">
        <f t="shared" si="2"/>
        <v>16.817</v>
      </c>
      <c r="I332" s="62" t="str">
        <f t="shared" si="3"/>
        <v>0.0011</v>
      </c>
      <c r="J332" s="63">
        <f t="shared" si="4"/>
        <v>0.0011</v>
      </c>
      <c r="K332" s="62" t="b">
        <f t="shared" si="5"/>
        <v>0</v>
      </c>
      <c r="L332" s="62" t="b">
        <f t="shared" si="6"/>
        <v>0</v>
      </c>
      <c r="M332" s="60" t="str">
        <f>IFERROR(__xludf.DUMMYFUNCTION("if(regexmatch(B332,""e(.*)$""),regexextract(B332,""e(.*)$""),"""")"),"")</f>
        <v/>
      </c>
    </row>
    <row r="333">
      <c r="A333" s="17" t="s">
        <v>2935</v>
      </c>
      <c r="B333" s="17" t="s">
        <v>2936</v>
      </c>
      <c r="C333" s="17" t="s">
        <v>2922</v>
      </c>
      <c r="E333" s="60" t="str">
        <f>VLOOKUP($A333,nist_names_ids!A:B,2,false)</f>
        <v>mtausmn</v>
      </c>
      <c r="F333" s="61">
        <f>countif(Constants!A:A,E333)</f>
        <v>1</v>
      </c>
      <c r="G333" s="62" t="str">
        <f t="shared" si="1"/>
        <v>1.89115</v>
      </c>
      <c r="H333" s="62">
        <f t="shared" si="2"/>
        <v>1.89115</v>
      </c>
      <c r="I333" s="62" t="str">
        <f t="shared" si="3"/>
        <v>0.00013</v>
      </c>
      <c r="J333" s="63">
        <f t="shared" si="4"/>
        <v>0.00013</v>
      </c>
      <c r="K333" s="62" t="b">
        <f t="shared" si="5"/>
        <v>0</v>
      </c>
      <c r="L333" s="62" t="b">
        <f t="shared" si="6"/>
        <v>0</v>
      </c>
      <c r="M333" s="60" t="str">
        <f>IFERROR(__xludf.DUMMYFUNCTION("if(regexmatch(B333,""e(.*)$""),regexextract(B333,""e(.*)$""),"""")"),"")</f>
        <v/>
      </c>
    </row>
    <row r="334">
      <c r="A334" s="17" t="s">
        <v>2941</v>
      </c>
      <c r="B334" s="17" t="s">
        <v>2942</v>
      </c>
      <c r="C334" s="17" t="s">
        <v>2922</v>
      </c>
      <c r="E334" s="60" t="str">
        <f>VLOOKUP($A334,nist_names_ids!A:B,2,false)</f>
        <v>mtausmp</v>
      </c>
      <c r="F334" s="61">
        <f>countif(Constants!A:A,E334)</f>
        <v>1</v>
      </c>
      <c r="G334" s="62" t="str">
        <f t="shared" si="1"/>
        <v>1.89376</v>
      </c>
      <c r="H334" s="62">
        <f t="shared" si="2"/>
        <v>1.89376</v>
      </c>
      <c r="I334" s="62" t="str">
        <f t="shared" si="3"/>
        <v>0.00013</v>
      </c>
      <c r="J334" s="63">
        <f t="shared" si="4"/>
        <v>0.00013</v>
      </c>
      <c r="K334" s="62" t="b">
        <f t="shared" si="5"/>
        <v>0</v>
      </c>
      <c r="L334" s="62" t="b">
        <f t="shared" si="6"/>
        <v>0</v>
      </c>
      <c r="M334" s="60" t="str">
        <f>IFERROR(__xludf.DUMMYFUNCTION("if(regexmatch(B334,""e(.*)$""),regexextract(B334,""e(.*)$""),"""")"),"")</f>
        <v/>
      </c>
    </row>
    <row r="335">
      <c r="A335" s="17" t="s">
        <v>2943</v>
      </c>
      <c r="B335" s="17" t="s">
        <v>2944</v>
      </c>
      <c r="C335" s="17" t="s">
        <v>2945</v>
      </c>
      <c r="D335" s="17" t="s">
        <v>2946</v>
      </c>
      <c r="E335" s="60" t="str">
        <f>VLOOKUP($A335,nist_names_ids!A:B,2,false)</f>
        <v>sigmae</v>
      </c>
      <c r="F335" s="61">
        <f>countif(Constants!A:A,E335)</f>
        <v>1</v>
      </c>
      <c r="G335" s="62" t="str">
        <f t="shared" si="1"/>
        <v>6.6524587051e-29</v>
      </c>
      <c r="H335" s="62">
        <f t="shared" si="2"/>
        <v>0</v>
      </c>
      <c r="I335" s="62" t="str">
        <f t="shared" si="3"/>
        <v>0.0000000062e-29</v>
      </c>
      <c r="J335" s="63">
        <f t="shared" si="4"/>
        <v>0</v>
      </c>
      <c r="K335" s="62" t="b">
        <f t="shared" si="5"/>
        <v>0</v>
      </c>
      <c r="L335" s="62" t="b">
        <f t="shared" si="6"/>
        <v>0</v>
      </c>
      <c r="M335" s="60" t="str">
        <f>IFERROR(__xludf.DUMMYFUNCTION("if(regexmatch(B335,""e(.*)$""),regexextract(B335,""e(.*)$""),"""")"),"-29")</f>
        <v>-29</v>
      </c>
    </row>
    <row r="336">
      <c r="A336" s="17" t="s">
        <v>2951</v>
      </c>
      <c r="B336" s="17" t="s">
        <v>2952</v>
      </c>
      <c r="C336" s="17" t="s">
        <v>2953</v>
      </c>
      <c r="E336" s="60" t="str">
        <f>VLOOKUP($A336,nist_names_ids!A:B,2,false)</f>
        <v>mtsme</v>
      </c>
      <c r="F336" s="61">
        <f>countif(Constants!A:A,E336)</f>
        <v>1</v>
      </c>
      <c r="G336" s="62" t="str">
        <f t="shared" si="1"/>
        <v>5496.92153551</v>
      </c>
      <c r="H336" s="62">
        <f t="shared" si="2"/>
        <v>5496.921536</v>
      </c>
      <c r="I336" s="62" t="str">
        <f t="shared" si="3"/>
        <v>0.00000021</v>
      </c>
      <c r="J336" s="63">
        <f t="shared" si="4"/>
        <v>0.00000021</v>
      </c>
      <c r="K336" s="62" t="b">
        <f t="shared" si="5"/>
        <v>0</v>
      </c>
      <c r="L336" s="62" t="b">
        <f t="shared" si="6"/>
        <v>0</v>
      </c>
      <c r="M336" s="60" t="str">
        <f>IFERROR(__xludf.DUMMYFUNCTION("if(regexmatch(B336,""e(.*)$""),regexextract(B336,""e(.*)$""),"""")"),"")</f>
        <v/>
      </c>
    </row>
    <row r="337">
      <c r="A337" s="17" t="s">
        <v>2955</v>
      </c>
      <c r="B337" s="17" t="s">
        <v>2956</v>
      </c>
      <c r="C337" s="17" t="s">
        <v>2957</v>
      </c>
      <c r="E337" s="60" t="str">
        <f>VLOOKUP($A337,nist_names_ids!A:B,2,false)</f>
        <v>gtn</v>
      </c>
      <c r="F337" s="61">
        <f>countif(Constants!A:A,E337)</f>
        <v>1</v>
      </c>
      <c r="G337" s="62" t="str">
        <f t="shared" si="1"/>
        <v>5.957924930</v>
      </c>
      <c r="H337" s="62">
        <f t="shared" si="2"/>
        <v>5.95792493</v>
      </c>
      <c r="I337" s="62" t="str">
        <f t="shared" si="3"/>
        <v>0.000000012</v>
      </c>
      <c r="J337" s="63">
        <f t="shared" si="4"/>
        <v>0.000000012</v>
      </c>
      <c r="K337" s="62" t="b">
        <f t="shared" si="5"/>
        <v>0</v>
      </c>
      <c r="L337" s="62" t="b">
        <f t="shared" si="6"/>
        <v>0</v>
      </c>
      <c r="M337" s="60" t="str">
        <f>IFERROR(__xludf.DUMMYFUNCTION("if(regexmatch(B337,""e(.*)$""),regexextract(B337,""e(.*)$""),"""")"),"")</f>
        <v/>
      </c>
    </row>
    <row r="338">
      <c r="A338" s="17" t="s">
        <v>2958</v>
      </c>
      <c r="B338" s="17" t="s">
        <v>2959</v>
      </c>
      <c r="C338" s="17" t="s">
        <v>2960</v>
      </c>
      <c r="D338" s="17" t="s">
        <v>964</v>
      </c>
      <c r="E338" s="60" t="str">
        <f>VLOOKUP($A338,nist_names_ids!A:B,2,false)</f>
        <v>mut</v>
      </c>
      <c r="F338" s="61">
        <f>countif(Constants!A:A,E338)</f>
        <v>1</v>
      </c>
      <c r="G338" s="62" t="str">
        <f t="shared" si="1"/>
        <v>1.5046095178e-26</v>
      </c>
      <c r="H338" s="62">
        <f t="shared" si="2"/>
        <v>0</v>
      </c>
      <c r="I338" s="62" t="str">
        <f t="shared" si="3"/>
        <v>0.0000000030e-26</v>
      </c>
      <c r="J338" s="63">
        <f t="shared" si="4"/>
        <v>0</v>
      </c>
      <c r="K338" s="62" t="b">
        <f t="shared" si="5"/>
        <v>0</v>
      </c>
      <c r="L338" s="62" t="b">
        <f t="shared" si="6"/>
        <v>0</v>
      </c>
      <c r="M338" s="60" t="str">
        <f>IFERROR(__xludf.DUMMYFUNCTION("if(regexmatch(B338,""e(.*)$""),regexextract(B338,""e(.*)$""),"""")"),"-26")</f>
        <v>-26</v>
      </c>
    </row>
    <row r="339">
      <c r="A339" s="17" t="s">
        <v>2965</v>
      </c>
      <c r="B339" s="17" t="s">
        <v>2966</v>
      </c>
      <c r="C339" s="17" t="s">
        <v>2967</v>
      </c>
      <c r="E339" s="60" t="str">
        <f>VLOOKUP($A339,nist_names_ids!A:B,2,false)</f>
        <v>mutsmub</v>
      </c>
      <c r="F339" s="61">
        <f>countif(Constants!A:A,E339)</f>
        <v>1</v>
      </c>
      <c r="G339" s="62" t="str">
        <f t="shared" si="1"/>
        <v>1.6223936648e-3</v>
      </c>
      <c r="H339" s="62">
        <f t="shared" si="2"/>
        <v>0.001622393665</v>
      </c>
      <c r="I339" s="62" t="str">
        <f t="shared" si="3"/>
        <v>0.0000000032e-3</v>
      </c>
      <c r="J339" s="63">
        <f t="shared" si="4"/>
        <v>0</v>
      </c>
      <c r="K339" s="62" t="b">
        <f t="shared" si="5"/>
        <v>0</v>
      </c>
      <c r="L339" s="62" t="b">
        <f t="shared" si="6"/>
        <v>0</v>
      </c>
      <c r="M339" s="60" t="str">
        <f>IFERROR(__xludf.DUMMYFUNCTION("if(regexmatch(B339,""e(.*)$""),regexextract(B339,""e(.*)$""),"""")"),"-3")</f>
        <v>-3</v>
      </c>
    </row>
    <row r="340">
      <c r="A340" s="17" t="s">
        <v>2968</v>
      </c>
      <c r="B340" s="17" t="s">
        <v>2969</v>
      </c>
      <c r="C340" s="17" t="s">
        <v>2970</v>
      </c>
      <c r="E340" s="60" t="str">
        <f>VLOOKUP($A340,nist_names_ids!A:B,2,false)</f>
        <v>mutsmun</v>
      </c>
      <c r="F340" s="61">
        <f>countif(Constants!A:A,E340)</f>
        <v>1</v>
      </c>
      <c r="G340" s="62" t="str">
        <f t="shared" si="1"/>
        <v>2.9789624650</v>
      </c>
      <c r="H340" s="62">
        <f t="shared" si="2"/>
        <v>2.978962465</v>
      </c>
      <c r="I340" s="62" t="str">
        <f t="shared" si="3"/>
        <v>0.0000000059</v>
      </c>
      <c r="J340" s="63">
        <f t="shared" si="4"/>
        <v>0.0000000059</v>
      </c>
      <c r="K340" s="62" t="b">
        <f t="shared" si="5"/>
        <v>0</v>
      </c>
      <c r="L340" s="62" t="b">
        <f t="shared" si="6"/>
        <v>0</v>
      </c>
      <c r="M340" s="60" t="str">
        <f>IFERROR(__xludf.DUMMYFUNCTION("if(regexmatch(B340,""e(.*)$""),regexextract(B340,""e(.*)$""),"""")"),"")</f>
        <v/>
      </c>
    </row>
    <row r="341">
      <c r="A341" s="17" t="s">
        <v>2972</v>
      </c>
      <c r="B341" s="17" t="s">
        <v>2973</v>
      </c>
      <c r="C341" s="17" t="s">
        <v>2054</v>
      </c>
      <c r="D341" s="17" t="s">
        <v>98</v>
      </c>
      <c r="E341" s="60" t="str">
        <f>VLOOKUP($A341,nist_names_ids!A:B,2,false)</f>
        <v>mt</v>
      </c>
      <c r="F341" s="61">
        <f>countif(Constants!A:A,E341)</f>
        <v>1</v>
      </c>
      <c r="G341" s="62" t="str">
        <f t="shared" si="1"/>
        <v>5.0073567512e-27</v>
      </c>
      <c r="H341" s="62">
        <f t="shared" si="2"/>
        <v>0</v>
      </c>
      <c r="I341" s="62" t="str">
        <f t="shared" si="3"/>
        <v>0.0000000016e-27</v>
      </c>
      <c r="J341" s="63">
        <f t="shared" si="4"/>
        <v>0</v>
      </c>
      <c r="K341" s="62" t="b">
        <f t="shared" si="5"/>
        <v>0</v>
      </c>
      <c r="L341" s="62" t="b">
        <f t="shared" si="6"/>
        <v>0</v>
      </c>
      <c r="M341" s="60" t="str">
        <f>IFERROR(__xludf.DUMMYFUNCTION("if(regexmatch(B341,""e(.*)$""),regexextract(B341,""e(.*)$""),"""")"),"-27")</f>
        <v>-27</v>
      </c>
    </row>
    <row r="342">
      <c r="A342" s="17" t="s">
        <v>2977</v>
      </c>
      <c r="B342" s="17" t="s">
        <v>2978</v>
      </c>
      <c r="C342" s="17" t="s">
        <v>2058</v>
      </c>
      <c r="D342" s="17" t="s">
        <v>173</v>
      </c>
      <c r="E342" s="60" t="str">
        <f>VLOOKUP($A342,nist_names_ids!A:B,2,false)</f>
        <v>mtc2</v>
      </c>
      <c r="F342" s="61">
        <f>countif(Constants!A:A,E342)</f>
        <v>1</v>
      </c>
      <c r="G342" s="62" t="str">
        <f t="shared" si="1"/>
        <v>4.5003878119e-10</v>
      </c>
      <c r="H342" s="62">
        <f t="shared" si="2"/>
        <v>0.0000000004500387812</v>
      </c>
      <c r="I342" s="62" t="str">
        <f t="shared" si="3"/>
        <v>0.0000000014e-10</v>
      </c>
      <c r="J342" s="63">
        <f t="shared" si="4"/>
        <v>0</v>
      </c>
      <c r="K342" s="62" t="b">
        <f t="shared" si="5"/>
        <v>0</v>
      </c>
      <c r="L342" s="62" t="b">
        <f t="shared" si="6"/>
        <v>0</v>
      </c>
      <c r="M342" s="60" t="str">
        <f>IFERROR(__xludf.DUMMYFUNCTION("if(regexmatch(B342,""e(.*)$""),regexextract(B342,""e(.*)$""),"""")"),"-10")</f>
        <v>-10</v>
      </c>
    </row>
    <row r="343">
      <c r="A343" s="17" t="s">
        <v>2980</v>
      </c>
      <c r="B343" s="17" t="s">
        <v>2981</v>
      </c>
      <c r="C343" s="17" t="s">
        <v>2065</v>
      </c>
      <c r="D343" s="17" t="s">
        <v>224</v>
      </c>
      <c r="E343" s="60" t="str">
        <f>VLOOKUP($A343,nist_names_ids!A:B,2,false)</f>
        <v>mtc2mev</v>
      </c>
      <c r="F343" s="61">
        <f>countif(Constants!A:A,E343)</f>
        <v>1</v>
      </c>
      <c r="G343" s="62" t="str">
        <f t="shared" si="1"/>
        <v>2808.92113668</v>
      </c>
      <c r="H343" s="62">
        <f t="shared" si="2"/>
        <v>2808.921137</v>
      </c>
      <c r="I343" s="62" t="str">
        <f t="shared" si="3"/>
        <v>0.00000088</v>
      </c>
      <c r="J343" s="63">
        <f t="shared" si="4"/>
        <v>0.00000088</v>
      </c>
      <c r="K343" s="62" t="b">
        <f t="shared" si="5"/>
        <v>0</v>
      </c>
      <c r="L343" s="62" t="b">
        <f t="shared" si="6"/>
        <v>0</v>
      </c>
      <c r="M343" s="60" t="str">
        <f>IFERROR(__xludf.DUMMYFUNCTION("if(regexmatch(B343,""e(.*)$""),regexextract(B343,""e(.*)$""),"""")"),"")</f>
        <v/>
      </c>
    </row>
    <row r="344">
      <c r="A344" s="17" t="s">
        <v>2983</v>
      </c>
      <c r="B344" s="17" t="s">
        <v>2984</v>
      </c>
      <c r="C344" s="17" t="s">
        <v>2985</v>
      </c>
      <c r="D344" s="17" t="s">
        <v>249</v>
      </c>
      <c r="E344" s="60" t="str">
        <f>VLOOKUP($A344,nist_names_ids!A:B,2,false)</f>
        <v>mtu</v>
      </c>
      <c r="F344" s="61">
        <f>countif(Constants!A:A,E344)</f>
        <v>1</v>
      </c>
      <c r="G344" s="62" t="str">
        <f t="shared" si="1"/>
        <v>3.01550071597</v>
      </c>
      <c r="H344" s="62">
        <f t="shared" si="2"/>
        <v>3.015500716</v>
      </c>
      <c r="I344" s="62" t="str">
        <f t="shared" si="3"/>
        <v>0.00000000010</v>
      </c>
      <c r="J344" s="63">
        <f t="shared" si="4"/>
        <v>0.0000000001</v>
      </c>
      <c r="K344" s="62" t="b">
        <f t="shared" si="5"/>
        <v>0</v>
      </c>
      <c r="L344" s="62" t="b">
        <f t="shared" si="6"/>
        <v>0</v>
      </c>
      <c r="M344" s="60" t="str">
        <f>IFERROR(__xludf.DUMMYFUNCTION("if(regexmatch(B344,""e(.*)$""),regexextract(B344,""e(.*)$""),"""")"),"")</f>
        <v/>
      </c>
    </row>
    <row r="345">
      <c r="A345" s="17" t="s">
        <v>2989</v>
      </c>
      <c r="B345" s="17" t="s">
        <v>2991</v>
      </c>
      <c r="C345" s="17" t="s">
        <v>2044</v>
      </c>
      <c r="D345" s="17" t="s">
        <v>286</v>
      </c>
      <c r="E345" s="60" t="str">
        <f>VLOOKUP($A345,nist_names_ids!A:B,2,false)</f>
        <v>mmt</v>
      </c>
      <c r="F345" s="61">
        <f>countif(Constants!A:A,E345)</f>
        <v>1</v>
      </c>
      <c r="G345" s="62" t="str">
        <f t="shared" si="1"/>
        <v>3.01550071913e-3</v>
      </c>
      <c r="H345" s="62">
        <f t="shared" si="2"/>
        <v>0.003015500719</v>
      </c>
      <c r="I345" s="62" t="str">
        <f t="shared" si="3"/>
        <v>0.00000000094e-3</v>
      </c>
      <c r="J345" s="63">
        <f t="shared" si="4"/>
        <v>0</v>
      </c>
      <c r="K345" s="62" t="b">
        <f t="shared" si="5"/>
        <v>0</v>
      </c>
      <c r="L345" s="62" t="b">
        <f t="shared" si="6"/>
        <v>0</v>
      </c>
      <c r="M345" s="60" t="str">
        <f>IFERROR(__xludf.DUMMYFUNCTION("if(regexmatch(B345,""e(.*)$""),regexextract(B345,""e(.*)$""),"""")"),"-3")</f>
        <v>-3</v>
      </c>
    </row>
    <row r="346">
      <c r="A346" s="17" t="s">
        <v>2993</v>
      </c>
      <c r="B346" s="17" t="s">
        <v>2994</v>
      </c>
      <c r="C346" s="17" t="s">
        <v>2985</v>
      </c>
      <c r="E346" s="60" t="str">
        <f>VLOOKUP($A346,nist_names_ids!A:B,2,false)</f>
        <v>mtsmp</v>
      </c>
      <c r="F346" s="61">
        <f>countif(Constants!A:A,E346)</f>
        <v>1</v>
      </c>
      <c r="G346" s="62" t="str">
        <f t="shared" si="1"/>
        <v>2.99371703403</v>
      </c>
      <c r="H346" s="62">
        <f t="shared" si="2"/>
        <v>2.993717034</v>
      </c>
      <c r="I346" s="62" t="str">
        <f t="shared" si="3"/>
        <v>0.00000000010</v>
      </c>
      <c r="J346" s="63">
        <f t="shared" si="4"/>
        <v>0.0000000001</v>
      </c>
      <c r="K346" s="62" t="b">
        <f t="shared" si="5"/>
        <v>0</v>
      </c>
      <c r="L346" s="62" t="b">
        <f t="shared" si="6"/>
        <v>0</v>
      </c>
      <c r="M346" s="60" t="str">
        <f>IFERROR(__xludf.DUMMYFUNCTION("if(regexmatch(B346,""e(.*)$""),regexextract(B346,""e(.*)$""),"""")"),"")</f>
        <v/>
      </c>
    </row>
    <row r="347">
      <c r="A347" s="17" t="s">
        <v>2997</v>
      </c>
      <c r="B347" s="17" t="s">
        <v>2984</v>
      </c>
      <c r="C347" s="17" t="s">
        <v>2985</v>
      </c>
      <c r="E347" s="60" t="str">
        <f>VLOOKUP($A347,nist_names_ids!A:B,2,false)</f>
        <v>art</v>
      </c>
      <c r="F347" s="61">
        <f>countif(Constants!A:A,E347)</f>
        <v>1</v>
      </c>
      <c r="G347" s="62" t="str">
        <f t="shared" si="1"/>
        <v>3.01550071597</v>
      </c>
      <c r="H347" s="62">
        <f t="shared" si="2"/>
        <v>3.015500716</v>
      </c>
      <c r="I347" s="62" t="str">
        <f t="shared" si="3"/>
        <v>0.00000000010</v>
      </c>
      <c r="J347" s="63">
        <f t="shared" si="4"/>
        <v>0.0000000001</v>
      </c>
      <c r="K347" s="62" t="b">
        <f t="shared" si="5"/>
        <v>0</v>
      </c>
      <c r="L347" s="62" t="b">
        <f t="shared" si="6"/>
        <v>0</v>
      </c>
      <c r="M347" s="60" t="str">
        <f>IFERROR(__xludf.DUMMYFUNCTION("if(regexmatch(B347,""e(.*)$""),regexextract(B347,""e(.*)$""),"""")"),"")</f>
        <v/>
      </c>
    </row>
    <row r="348">
      <c r="A348" s="17" t="s">
        <v>3001</v>
      </c>
      <c r="B348" s="17" t="s">
        <v>3002</v>
      </c>
      <c r="C348" s="17" t="s">
        <v>3003</v>
      </c>
      <c r="E348" s="60" t="str">
        <f>VLOOKUP($A348,nist_names_ids!A:B,2,false)</f>
        <v>mutsmup</v>
      </c>
      <c r="F348" s="61">
        <f>countif(Constants!A:A,E348)</f>
        <v>1</v>
      </c>
      <c r="G348" s="62" t="str">
        <f t="shared" si="1"/>
        <v>1.0666399189</v>
      </c>
      <c r="H348" s="62">
        <f t="shared" si="2"/>
        <v>1.066639919</v>
      </c>
      <c r="I348" s="62" t="str">
        <f t="shared" si="3"/>
        <v>0.0000000021</v>
      </c>
      <c r="J348" s="63">
        <f t="shared" si="4"/>
        <v>0.0000000021</v>
      </c>
      <c r="K348" s="62" t="b">
        <f t="shared" si="5"/>
        <v>0</v>
      </c>
      <c r="L348" s="62" t="b">
        <f t="shared" si="6"/>
        <v>0</v>
      </c>
      <c r="M348" s="60" t="str">
        <f>IFERROR(__xludf.DUMMYFUNCTION("if(regexmatch(B348,""e(.*)$""),regexextract(B348,""e(.*)$""),"""")"),"")</f>
        <v/>
      </c>
    </row>
    <row r="349">
      <c r="A349" s="17" t="s">
        <v>3004</v>
      </c>
      <c r="B349" s="17" t="s">
        <v>1458</v>
      </c>
      <c r="C349" s="17" t="s">
        <v>1459</v>
      </c>
      <c r="D349" s="17" t="s">
        <v>98</v>
      </c>
      <c r="E349" s="60" t="str">
        <f>VLOOKUP($A349,nist_names_ids!A:B,2,false)</f>
        <v>ukg</v>
      </c>
      <c r="F349" s="61">
        <f>countif(Constants!A:A,E349)</f>
        <v>1</v>
      </c>
      <c r="G349" s="62" t="str">
        <f t="shared" si="1"/>
        <v>1.66053906892e-27</v>
      </c>
      <c r="H349" s="62">
        <f t="shared" si="2"/>
        <v>0</v>
      </c>
      <c r="I349" s="62" t="str">
        <f t="shared" si="3"/>
        <v>0.00000000052e-27</v>
      </c>
      <c r="J349" s="63">
        <f t="shared" si="4"/>
        <v>0</v>
      </c>
      <c r="K349" s="62" t="b">
        <f t="shared" si="5"/>
        <v>0</v>
      </c>
      <c r="L349" s="62" t="b">
        <f t="shared" si="6"/>
        <v>0</v>
      </c>
      <c r="M349" s="60" t="str">
        <f>IFERROR(__xludf.DUMMYFUNCTION("if(regexmatch(B349,""e(.*)$""),regexextract(B349,""e(.*)$""),"""")"),"-27")</f>
        <v>-27</v>
      </c>
    </row>
    <row r="350">
      <c r="A350" s="17" t="s">
        <v>3005</v>
      </c>
      <c r="B350" s="17" t="s">
        <v>3006</v>
      </c>
      <c r="C350" s="17" t="s">
        <v>3007</v>
      </c>
      <c r="D350" s="17" t="s">
        <v>1078</v>
      </c>
      <c r="E350" s="60" t="str">
        <f>VLOOKUP($A350,nist_names_ids!A:B,2,false)</f>
        <v>ep0</v>
      </c>
      <c r="F350" s="61">
        <f>countif(Constants!A:A,E350)</f>
        <v>1</v>
      </c>
      <c r="G350" s="62" t="str">
        <f t="shared" si="1"/>
        <v>8.8541878188e-12</v>
      </c>
      <c r="H350" s="62">
        <f t="shared" si="2"/>
        <v>0</v>
      </c>
      <c r="I350" s="62" t="str">
        <f t="shared" si="3"/>
        <v>0.0000000014e-12</v>
      </c>
      <c r="J350" s="63">
        <f t="shared" si="4"/>
        <v>0</v>
      </c>
      <c r="K350" s="62" t="b">
        <f t="shared" si="5"/>
        <v>0</v>
      </c>
      <c r="L350" s="62" t="b">
        <f t="shared" si="6"/>
        <v>0</v>
      </c>
      <c r="M350" s="60" t="str">
        <f>IFERROR(__xludf.DUMMYFUNCTION("if(regexmatch(B350,""e(.*)$""),regexextract(B350,""e(.*)$""),"""")"),"-12")</f>
        <v>-12</v>
      </c>
    </row>
    <row r="351">
      <c r="A351" s="17" t="s">
        <v>3008</v>
      </c>
      <c r="B351" s="17" t="s">
        <v>3009</v>
      </c>
      <c r="C351" s="17" t="s">
        <v>3010</v>
      </c>
      <c r="D351" s="17" t="s">
        <v>3011</v>
      </c>
      <c r="E351" s="60" t="str">
        <f>VLOOKUP($A351,nist_names_ids!A:B,2,false)</f>
        <v>mu0</v>
      </c>
      <c r="F351" s="61">
        <f>countif(Constants!A:A,E351)</f>
        <v>1</v>
      </c>
      <c r="G351" s="62" t="str">
        <f t="shared" si="1"/>
        <v>1.25663706127e-6</v>
      </c>
      <c r="H351" s="62">
        <f t="shared" si="2"/>
        <v>0.000001256637061</v>
      </c>
      <c r="I351" s="62" t="str">
        <f t="shared" si="3"/>
        <v>0.00000000020e-6</v>
      </c>
      <c r="J351" s="63">
        <f t="shared" si="4"/>
        <v>0</v>
      </c>
      <c r="K351" s="62" t="b">
        <f t="shared" si="5"/>
        <v>0</v>
      </c>
      <c r="L351" s="62" t="b">
        <f t="shared" si="6"/>
        <v>0</v>
      </c>
      <c r="M351" s="60" t="str">
        <f>IFERROR(__xludf.DUMMYFUNCTION("if(regexmatch(B351,""e(.*)$""),regexextract(B351,""e(.*)$""),"""")"),"-6")</f>
        <v>-6</v>
      </c>
    </row>
    <row r="352">
      <c r="A352" s="17" t="s">
        <v>3012</v>
      </c>
      <c r="B352" s="17" t="s">
        <v>3013</v>
      </c>
      <c r="C352" s="17" t="s">
        <v>1501</v>
      </c>
      <c r="D352" s="17" t="s">
        <v>500</v>
      </c>
      <c r="E352" s="60" t="str">
        <f>VLOOKUP($A352,nist_names_ids!A:B,2,false)</f>
        <v>rk</v>
      </c>
      <c r="F352" s="61">
        <f>countif(Constants!A:A,E352)</f>
        <v>1</v>
      </c>
      <c r="G352" s="62" t="str">
        <f t="shared" si="1"/>
        <v>25812.80745</v>
      </c>
      <c r="H352" s="62">
        <f t="shared" si="2"/>
        <v>25812.80745</v>
      </c>
      <c r="I352" s="62" t="str">
        <f t="shared" si="3"/>
        <v>(exact)</v>
      </c>
      <c r="J352" s="63" t="str">
        <f t="shared" si="4"/>
        <v/>
      </c>
      <c r="K352" s="62" t="b">
        <f t="shared" si="5"/>
        <v>1</v>
      </c>
      <c r="L352" s="62" t="b">
        <f t="shared" si="6"/>
        <v>0</v>
      </c>
      <c r="M352" s="60" t="str">
        <f>IFERROR(__xludf.DUMMYFUNCTION("if(regexmatch(B352,""e(.*)$""),regexextract(B352,""e(.*)$""),"""")"),"")</f>
        <v/>
      </c>
    </row>
    <row r="353">
      <c r="A353" s="17" t="s">
        <v>3014</v>
      </c>
      <c r="B353" s="17" t="s">
        <v>3015</v>
      </c>
      <c r="C353" s="17" t="s">
        <v>1874</v>
      </c>
      <c r="E353" s="60" t="str">
        <f>VLOOKUP($A353,nist_names_ids!A:B,2,false)</f>
        <v>sin2th</v>
      </c>
      <c r="F353" s="61">
        <f>countif(Constants!A:A,E353)</f>
        <v>1</v>
      </c>
      <c r="G353" s="62" t="str">
        <f t="shared" si="1"/>
        <v>0.22305</v>
      </c>
      <c r="H353" s="62">
        <f t="shared" si="2"/>
        <v>0.22305</v>
      </c>
      <c r="I353" s="62" t="str">
        <f t="shared" si="3"/>
        <v>0.00023</v>
      </c>
      <c r="J353" s="63">
        <f t="shared" si="4"/>
        <v>0.00023</v>
      </c>
      <c r="K353" s="62" t="b">
        <f t="shared" si="5"/>
        <v>0</v>
      </c>
      <c r="L353" s="62" t="b">
        <f t="shared" si="6"/>
        <v>0</v>
      </c>
      <c r="M353" s="60" t="str">
        <f>IFERROR(__xludf.DUMMYFUNCTION("if(regexmatch(B353,""e(.*)$""),regexextract(B353,""e(.*)$""),"""")"),"")</f>
        <v/>
      </c>
    </row>
    <row r="354">
      <c r="A354" s="17" t="s">
        <v>3018</v>
      </c>
      <c r="B354" s="17" t="s">
        <v>3019</v>
      </c>
      <c r="C354" s="17" t="s">
        <v>1501</v>
      </c>
      <c r="D354" s="17" t="s">
        <v>1303</v>
      </c>
      <c r="E354" s="60" t="str">
        <f>VLOOKUP($A354,nist_names_ids!A:B,2,false)</f>
        <v>bpwien</v>
      </c>
      <c r="F354" s="61">
        <f>countif(Constants!A:A,E354)</f>
        <v>1</v>
      </c>
      <c r="G354" s="62" t="str">
        <f t="shared" si="1"/>
        <v>5.878925757e10</v>
      </c>
      <c r="H354" s="62">
        <f t="shared" si="2"/>
        <v>58789257570</v>
      </c>
      <c r="I354" s="62" t="str">
        <f t="shared" si="3"/>
        <v>(exact)</v>
      </c>
      <c r="J354" s="63" t="str">
        <f t="shared" si="4"/>
        <v/>
      </c>
      <c r="K354" s="62" t="b">
        <f t="shared" si="5"/>
        <v>1</v>
      </c>
      <c r="L354" s="62" t="b">
        <f t="shared" si="6"/>
        <v>0</v>
      </c>
      <c r="M354" s="60" t="str">
        <f>IFERROR(__xludf.DUMMYFUNCTION("if(regexmatch(B354,""e(.*)$""),regexextract(B354,""e(.*)$""),"""")"),"10")</f>
        <v>10</v>
      </c>
    </row>
    <row r="355">
      <c r="A355" s="17" t="s">
        <v>3022</v>
      </c>
      <c r="B355" s="17" t="s">
        <v>3023</v>
      </c>
      <c r="C355" s="17" t="s">
        <v>1501</v>
      </c>
      <c r="D355" s="17" t="s">
        <v>2800</v>
      </c>
      <c r="E355" s="60" t="str">
        <f>VLOOKUP($A355,nist_names_ids!A:B,2,false)</f>
        <v>bwien</v>
      </c>
      <c r="F355" s="61">
        <f>countif(Constants!A:A,E355)</f>
        <v>1</v>
      </c>
      <c r="G355" s="62" t="str">
        <f t="shared" si="1"/>
        <v>2.897771955e-3</v>
      </c>
      <c r="H355" s="62">
        <f t="shared" si="2"/>
        <v>0.002897771955</v>
      </c>
      <c r="I355" s="62" t="str">
        <f t="shared" si="3"/>
        <v>(exact)</v>
      </c>
      <c r="J355" s="63" t="str">
        <f t="shared" si="4"/>
        <v/>
      </c>
      <c r="K355" s="62" t="b">
        <f t="shared" si="5"/>
        <v>1</v>
      </c>
      <c r="L355" s="62" t="b">
        <f t="shared" si="6"/>
        <v>0</v>
      </c>
      <c r="M355" s="60" t="str">
        <f>IFERROR(__xludf.DUMMYFUNCTION("if(regexmatch(B355,""e(.*)$""),regexextract(B355,""e(.*)$""),"""")"),"-3")</f>
        <v>-3</v>
      </c>
    </row>
    <row r="356">
      <c r="A356" s="17" t="s">
        <v>3024</v>
      </c>
      <c r="B356" s="17" t="s">
        <v>3025</v>
      </c>
      <c r="C356" s="17" t="s">
        <v>2922</v>
      </c>
      <c r="E356" s="60" t="str">
        <f>VLOOKUP($A356,nist_names_ids!A:B,2,false)</f>
        <v>rmwmz</v>
      </c>
      <c r="F356" s="61">
        <f>countif(Constants!A:A,E356)</f>
        <v>1</v>
      </c>
      <c r="G356" s="62" t="str">
        <f t="shared" si="1"/>
        <v>0.88145</v>
      </c>
      <c r="H356" s="62">
        <f t="shared" si="2"/>
        <v>0.88145</v>
      </c>
      <c r="I356" s="62" t="str">
        <f t="shared" si="3"/>
        <v>0.00013</v>
      </c>
      <c r="J356" s="63">
        <f t="shared" si="4"/>
        <v>0.00013</v>
      </c>
      <c r="K356" s="62" t="b">
        <f t="shared" si="5"/>
        <v>0</v>
      </c>
      <c r="L356" s="62" t="b">
        <f t="shared" si="6"/>
        <v>0</v>
      </c>
      <c r="M356" s="60" t="str">
        <f>IFERROR(__xludf.DUMMYFUNCTION("if(regexmatch(B356,""e(.*)$""),regexextract(B356,""e(.*)$""),"""")"),"")</f>
        <v/>
      </c>
    </row>
  </sheetData>
  <conditionalFormatting sqref="F1:F356">
    <cfRule type="cellIs" dxfId="3" priority="1" operator="equal">
      <formula>0</formula>
    </cfRule>
  </conditionalFormatting>
  <conditionalFormatting sqref="E1:E3 E5:E6 E8:E356">
    <cfRule type="expression" dxfId="0" priority="2">
      <formula>iserror(E1)</formula>
    </cfRule>
  </conditionalFormatting>
  <conditionalFormatting sqref="E1:E3 E5:E6 E8:E356">
    <cfRule type="expression" dxfId="0" priority="3">
      <formula>countif(E:E,E1)&gt;1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3.38"/>
    <col customWidth="1" min="2" max="2" width="20.13"/>
    <col customWidth="1" min="3" max="3" width="19.63"/>
    <col customWidth="1" min="4" max="4" width="12.13"/>
    <col customWidth="1" min="5" max="6" width="12.5"/>
    <col customWidth="1" min="7" max="7" width="17.75"/>
    <col customWidth="1" min="8" max="8" width="18.0"/>
    <col customWidth="1" min="9" max="9" width="17.75"/>
    <col customWidth="1" min="10" max="10" width="11.88"/>
    <col customWidth="1" min="11" max="11" width="8.0"/>
    <col customWidth="1" min="12" max="12" width="10.88"/>
    <col customWidth="1" min="13" max="13" width="8.38"/>
  </cols>
  <sheetData>
    <row r="1">
      <c r="A1" s="7" t="s">
        <v>1</v>
      </c>
      <c r="B1" s="7" t="s">
        <v>1406</v>
      </c>
      <c r="C1" s="7" t="s">
        <v>1407</v>
      </c>
      <c r="D1" s="7" t="s">
        <v>1408</v>
      </c>
      <c r="E1" s="58" t="s">
        <v>0</v>
      </c>
      <c r="F1" s="10" t="s">
        <v>1409</v>
      </c>
      <c r="G1" s="58" t="s">
        <v>1410</v>
      </c>
      <c r="H1" s="58" t="s">
        <v>1412</v>
      </c>
      <c r="I1" s="58" t="s">
        <v>1413</v>
      </c>
      <c r="J1" s="59" t="s">
        <v>1414</v>
      </c>
      <c r="K1" s="58" t="s">
        <v>1415</v>
      </c>
      <c r="L1" s="58" t="s">
        <v>1416</v>
      </c>
      <c r="M1" s="58" t="s">
        <v>1417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idden="1">
      <c r="A2" s="17" t="s">
        <v>1153</v>
      </c>
      <c r="B2" s="17" t="s">
        <v>2298</v>
      </c>
      <c r="C2" s="17" t="s">
        <v>2299</v>
      </c>
      <c r="E2" s="60" t="str">
        <f>VLOOKUP($A2,nist_names_ids!A:B,2,false)</f>
        <v>malsme</v>
      </c>
      <c r="F2" s="61">
        <f>countif(Constants!A:A,E2)</f>
        <v>1</v>
      </c>
      <c r="G2" s="62" t="str">
        <f t="shared" ref="G2:G355" si="1">SUBSTITUTE(SUBSTITUTE(B2," ",""),"...","")</f>
        <v>7294.29954142</v>
      </c>
      <c r="H2" s="62">
        <f t="shared" ref="H2:H355" si="2">value(G2)</f>
        <v>7294.299541</v>
      </c>
      <c r="I2" s="62" t="str">
        <f t="shared" ref="I2:I355" si="3">SUBSTITUTE(C2," ","")</f>
        <v>0.00000024</v>
      </c>
      <c r="J2" s="63">
        <f t="shared" ref="J2:J355" si="4">if(I2="(exact)","",value(I2))</f>
        <v>0.00000024</v>
      </c>
      <c r="K2" s="62" t="b">
        <f t="shared" ref="K2:K355" si="5">if(I2="(exact)", TRUE,FALSE)</f>
        <v>0</v>
      </c>
      <c r="L2" s="62" t="b">
        <f t="shared" ref="L2:L355" si="6">ISNUMBER(search("...",B2))</f>
        <v>0</v>
      </c>
      <c r="M2" s="60" t="str">
        <f>IFERROR(__xludf.DUMMYFUNCTION("if(regexmatch(B2,""e(.*)$""),regexextract(B2,""e(.*)$""),"""")"),"")</f>
        <v/>
      </c>
    </row>
    <row r="3" hidden="1">
      <c r="A3" s="17" t="s">
        <v>96</v>
      </c>
      <c r="B3" s="17" t="s">
        <v>2311</v>
      </c>
      <c r="C3" s="17" t="s">
        <v>2312</v>
      </c>
      <c r="D3" s="17" t="s">
        <v>98</v>
      </c>
      <c r="E3" s="60" t="str">
        <f>VLOOKUP($A3,nist_names_ids!A:B,2,false)</f>
        <v>mal</v>
      </c>
      <c r="F3" s="61">
        <f>countif(Constants!A:A,E3)</f>
        <v>1</v>
      </c>
      <c r="G3" s="62" t="str">
        <f t="shared" si="1"/>
        <v>6.6446573357e-27</v>
      </c>
      <c r="H3" s="62">
        <f t="shared" si="2"/>
        <v>0</v>
      </c>
      <c r="I3" s="62" t="str">
        <f t="shared" si="3"/>
        <v>0.0000000020e-27</v>
      </c>
      <c r="J3" s="63">
        <f t="shared" si="4"/>
        <v>0</v>
      </c>
      <c r="K3" s="62" t="b">
        <f t="shared" si="5"/>
        <v>0</v>
      </c>
      <c r="L3" s="62" t="b">
        <f t="shared" si="6"/>
        <v>0</v>
      </c>
      <c r="M3" s="60" t="str">
        <f>IFERROR(__xludf.DUMMYFUNCTION("if(regexmatch(B3,""e(.*)$""),regexextract(B3,""e(.*)$""),"""")"),"-27")</f>
        <v>-27</v>
      </c>
    </row>
    <row r="4" hidden="1">
      <c r="A4" s="17" t="s">
        <v>176</v>
      </c>
      <c r="B4" s="17" t="s">
        <v>2316</v>
      </c>
      <c r="C4" s="17" t="s">
        <v>2317</v>
      </c>
      <c r="D4" s="17" t="s">
        <v>173</v>
      </c>
      <c r="E4" s="60" t="str">
        <f>VLOOKUP($A4,nist_names_ids!A:B,2,false)</f>
        <v>malc2</v>
      </c>
      <c r="F4" s="61">
        <f>countif(Constants!A:A,E4)</f>
        <v>1</v>
      </c>
      <c r="G4" s="62" t="str">
        <f t="shared" si="1"/>
        <v>5.9719201914e-10</v>
      </c>
      <c r="H4" s="62">
        <f t="shared" si="2"/>
        <v>0.0000000005971920191</v>
      </c>
      <c r="I4" s="62" t="str">
        <f t="shared" si="3"/>
        <v>0.0000000018e-10</v>
      </c>
      <c r="J4" s="63">
        <f t="shared" si="4"/>
        <v>0</v>
      </c>
      <c r="K4" s="62" t="b">
        <f t="shared" si="5"/>
        <v>0</v>
      </c>
      <c r="L4" s="62" t="b">
        <f t="shared" si="6"/>
        <v>0</v>
      </c>
      <c r="M4" s="60" t="str">
        <f>IFERROR(__xludf.DUMMYFUNCTION("if(regexmatch(B4,""e(.*)$""),regexextract(B4,""e(.*)$""),"""")"),"-10")</f>
        <v>-10</v>
      </c>
    </row>
    <row r="5" hidden="1">
      <c r="A5" s="17" t="s">
        <v>222</v>
      </c>
      <c r="B5" s="17" t="s">
        <v>2324</v>
      </c>
      <c r="C5" s="17" t="s">
        <v>2325</v>
      </c>
      <c r="D5" s="17" t="s">
        <v>224</v>
      </c>
      <c r="E5" s="60" t="str">
        <f>VLOOKUP($A5,nist_names_ids!A:B,2,false)</f>
        <v>malc2mev</v>
      </c>
      <c r="F5" s="61">
        <f>countif(Constants!A:A,E5)</f>
        <v>1</v>
      </c>
      <c r="G5" s="62" t="str">
        <f t="shared" si="1"/>
        <v>3727.3794066</v>
      </c>
      <c r="H5" s="62">
        <f t="shared" si="2"/>
        <v>3727.379407</v>
      </c>
      <c r="I5" s="62" t="str">
        <f t="shared" si="3"/>
        <v>0.0000011</v>
      </c>
      <c r="J5" s="63">
        <f t="shared" si="4"/>
        <v>0.0000011</v>
      </c>
      <c r="K5" s="62" t="b">
        <f t="shared" si="5"/>
        <v>0</v>
      </c>
      <c r="L5" s="62" t="b">
        <f t="shared" si="6"/>
        <v>0</v>
      </c>
      <c r="M5" s="60" t="str">
        <f>IFERROR(__xludf.DUMMYFUNCTION("if(regexmatch(B5,""e(.*)$""),regexextract(B5,""e(.*)$""),"""")"),"")</f>
        <v/>
      </c>
    </row>
    <row r="6" hidden="1">
      <c r="A6" s="17" t="s">
        <v>245</v>
      </c>
      <c r="B6" s="17" t="s">
        <v>2328</v>
      </c>
      <c r="C6" s="17" t="s">
        <v>2329</v>
      </c>
      <c r="D6" s="17" t="s">
        <v>249</v>
      </c>
      <c r="E6" s="60" t="str">
        <f>VLOOKUP($A6,nist_names_ids!A:B,2,false)</f>
        <v>malu</v>
      </c>
      <c r="F6" s="61">
        <f>countif(Constants!A:A,E6)</f>
        <v>1</v>
      </c>
      <c r="G6" s="62" t="str">
        <f t="shared" si="1"/>
        <v>4.001506179127</v>
      </c>
      <c r="H6" s="62">
        <f t="shared" si="2"/>
        <v>4.001506179</v>
      </c>
      <c r="I6" s="62" t="str">
        <f t="shared" si="3"/>
        <v>0.000000000063</v>
      </c>
      <c r="J6" s="63">
        <f t="shared" si="4"/>
        <v>0</v>
      </c>
      <c r="K6" s="62" t="b">
        <f t="shared" si="5"/>
        <v>0</v>
      </c>
      <c r="L6" s="62" t="b">
        <f t="shared" si="6"/>
        <v>0</v>
      </c>
      <c r="M6" s="60" t="str">
        <f>IFERROR(__xludf.DUMMYFUNCTION("if(regexmatch(B6,""e(.*)$""),regexextract(B6,""e(.*)$""),"""")"),"")</f>
        <v/>
      </c>
    </row>
    <row r="7" hidden="1">
      <c r="A7" s="17" t="s">
        <v>284</v>
      </c>
      <c r="B7" s="17" t="s">
        <v>2336</v>
      </c>
      <c r="C7" s="17" t="s">
        <v>1440</v>
      </c>
      <c r="D7" s="17" t="s">
        <v>286</v>
      </c>
      <c r="E7" s="60" t="str">
        <f>VLOOKUP($A7,nist_names_ids!A:B,2,false)</f>
        <v>mmal</v>
      </c>
      <c r="F7" s="61">
        <f>countif(Constants!A:A,E7)</f>
        <v>1</v>
      </c>
      <c r="G7" s="62" t="str">
        <f t="shared" si="1"/>
        <v>4.0015061777e-3</v>
      </c>
      <c r="H7" s="62">
        <f t="shared" si="2"/>
        <v>0.004001506178</v>
      </c>
      <c r="I7" s="62" t="str">
        <f t="shared" si="3"/>
        <v>0.0000000012e-3</v>
      </c>
      <c r="J7" s="63">
        <f t="shared" si="4"/>
        <v>0</v>
      </c>
      <c r="K7" s="62" t="b">
        <f t="shared" si="5"/>
        <v>0</v>
      </c>
      <c r="L7" s="62" t="b">
        <f t="shared" si="6"/>
        <v>0</v>
      </c>
      <c r="M7" s="60" t="str">
        <f>IFERROR(__xludf.DUMMYFUNCTION("if(regexmatch(B7,""e(.*)$""),regexextract(B7,""e(.*)$""),"""")"),"-3")</f>
        <v>-3</v>
      </c>
    </row>
    <row r="8" hidden="1">
      <c r="A8" s="17" t="s">
        <v>1171</v>
      </c>
      <c r="B8" s="17" t="s">
        <v>2342</v>
      </c>
      <c r="C8" s="17" t="s">
        <v>2343</v>
      </c>
      <c r="E8" s="60" t="str">
        <f>VLOOKUP($A8,nist_names_ids!A:B,2,false)</f>
        <v>malsmp</v>
      </c>
      <c r="F8" s="61">
        <f>countif(Constants!A:A,E8)</f>
        <v>1</v>
      </c>
      <c r="G8" s="62" t="str">
        <f t="shared" si="1"/>
        <v>3.97259969009</v>
      </c>
      <c r="H8" s="62">
        <f t="shared" si="2"/>
        <v>3.97259969</v>
      </c>
      <c r="I8" s="62" t="str">
        <f t="shared" si="3"/>
        <v>0.00000000022</v>
      </c>
      <c r="J8" s="63">
        <f t="shared" si="4"/>
        <v>0.00000000022</v>
      </c>
      <c r="K8" s="62" t="b">
        <f t="shared" si="5"/>
        <v>0</v>
      </c>
      <c r="L8" s="62" t="b">
        <f t="shared" si="6"/>
        <v>0</v>
      </c>
      <c r="M8" s="60" t="str">
        <f>IFERROR(__xludf.DUMMYFUNCTION("if(regexmatch(B8,""e(.*)$""),regexextract(B8,""e(.*)$""),"""")"),"")</f>
        <v/>
      </c>
    </row>
    <row r="9" hidden="1">
      <c r="A9" s="17" t="s">
        <v>341</v>
      </c>
      <c r="B9" s="17" t="s">
        <v>2328</v>
      </c>
      <c r="C9" s="17" t="s">
        <v>2329</v>
      </c>
      <c r="E9" s="60" t="str">
        <f>VLOOKUP($A9,nist_names_ids!A:B,2,false)</f>
        <v>aral</v>
      </c>
      <c r="F9" s="61">
        <f>countif(Constants!A:A,E9)</f>
        <v>1</v>
      </c>
      <c r="G9" s="62" t="str">
        <f t="shared" si="1"/>
        <v>4.001506179127</v>
      </c>
      <c r="H9" s="62">
        <f t="shared" si="2"/>
        <v>4.001506179</v>
      </c>
      <c r="I9" s="62" t="str">
        <f t="shared" si="3"/>
        <v>0.000000000063</v>
      </c>
      <c r="J9" s="63">
        <f t="shared" si="4"/>
        <v>0</v>
      </c>
      <c r="K9" s="62" t="b">
        <f t="shared" si="5"/>
        <v>0</v>
      </c>
      <c r="L9" s="62" t="b">
        <f t="shared" si="6"/>
        <v>0</v>
      </c>
      <c r="M9" s="60" t="str">
        <f>IFERROR(__xludf.DUMMYFUNCTION("if(regexmatch(B9,""e(.*)$""),regexextract(B9,""e(.*)$""),"""")"),"")</f>
        <v/>
      </c>
    </row>
    <row r="10" hidden="1">
      <c r="A10" s="17" t="s">
        <v>399</v>
      </c>
      <c r="B10" s="17" t="s">
        <v>2352</v>
      </c>
      <c r="C10" s="17" t="s">
        <v>1453</v>
      </c>
      <c r="D10" s="17" t="s">
        <v>381</v>
      </c>
      <c r="E10" s="60" t="str">
        <f>VLOOKUP($A10,nist_names_ids!A:B,2,false)</f>
        <v>angstar</v>
      </c>
      <c r="F10" s="61">
        <f>countif(Constants!A:A,E10)</f>
        <v>1</v>
      </c>
      <c r="G10" s="62" t="str">
        <f t="shared" si="1"/>
        <v>1.00001495e-10</v>
      </c>
      <c r="H10" s="62">
        <f t="shared" si="2"/>
        <v>0.000000000100001495</v>
      </c>
      <c r="I10" s="62" t="str">
        <f t="shared" si="3"/>
        <v>0.00000090e-10</v>
      </c>
      <c r="J10" s="63">
        <f t="shared" si="4"/>
        <v>0</v>
      </c>
      <c r="K10" s="62" t="b">
        <f t="shared" si="5"/>
        <v>0</v>
      </c>
      <c r="L10" s="62" t="b">
        <f t="shared" si="6"/>
        <v>0</v>
      </c>
      <c r="M10" s="60" t="str">
        <f>IFERROR(__xludf.DUMMYFUNCTION("if(regexmatch(B10,""e(.*)$""),regexextract(B10,""e(.*)$""),"""")"),"-10")</f>
        <v>-10</v>
      </c>
    </row>
    <row r="11" hidden="1">
      <c r="A11" s="17" t="s">
        <v>431</v>
      </c>
      <c r="B11" s="17" t="s">
        <v>2360</v>
      </c>
      <c r="C11" s="17" t="s">
        <v>2361</v>
      </c>
      <c r="D11" s="17" t="s">
        <v>98</v>
      </c>
      <c r="E11" s="60" t="str">
        <f>VLOOKUP($A11,nist_names_ids!A:B,2,false)</f>
        <v>u</v>
      </c>
      <c r="F11" s="61">
        <f>countif(Constants!A:A,E11)</f>
        <v>1</v>
      </c>
      <c r="G11" s="62" t="str">
        <f t="shared" si="1"/>
        <v>1.66053906660e-27</v>
      </c>
      <c r="H11" s="62">
        <f t="shared" si="2"/>
        <v>0</v>
      </c>
      <c r="I11" s="62" t="str">
        <f t="shared" si="3"/>
        <v>0.00000000050e-27</v>
      </c>
      <c r="J11" s="63">
        <f t="shared" si="4"/>
        <v>0</v>
      </c>
      <c r="K11" s="62" t="b">
        <f t="shared" si="5"/>
        <v>0</v>
      </c>
      <c r="L11" s="62" t="b">
        <f t="shared" si="6"/>
        <v>0</v>
      </c>
      <c r="M11" s="60" t="str">
        <f>IFERROR(__xludf.DUMMYFUNCTION("if(regexmatch(B11,""e(.*)$""),regexextract(B11,""e(.*)$""),"""")"),"-27")</f>
        <v>-27</v>
      </c>
    </row>
    <row r="12" hidden="1">
      <c r="A12" s="17" t="s">
        <v>619</v>
      </c>
      <c r="B12" s="17" t="s">
        <v>2365</v>
      </c>
      <c r="C12" s="17" t="s">
        <v>2366</v>
      </c>
      <c r="D12" s="17" t="s">
        <v>173</v>
      </c>
      <c r="E12" s="60" t="str">
        <f>VLOOKUP($A12,nist_names_ids!A:B,2,false)</f>
        <v>uj</v>
      </c>
      <c r="F12" s="61">
        <f>countif(Constants!A:A,E12)</f>
        <v>1</v>
      </c>
      <c r="G12" s="62" t="str">
        <f t="shared" si="1"/>
        <v>1.49241808560e-10</v>
      </c>
      <c r="H12" s="62">
        <f t="shared" si="2"/>
        <v>0.0000000001492418086</v>
      </c>
      <c r="I12" s="62" t="str">
        <f t="shared" si="3"/>
        <v>0.00000000045e-10</v>
      </c>
      <c r="J12" s="63">
        <f t="shared" si="4"/>
        <v>0</v>
      </c>
      <c r="K12" s="62" t="b">
        <f t="shared" si="5"/>
        <v>0</v>
      </c>
      <c r="L12" s="62" t="b">
        <f t="shared" si="6"/>
        <v>0</v>
      </c>
      <c r="M12" s="60" t="str">
        <f>IFERROR(__xludf.DUMMYFUNCTION("if(regexmatch(B12,""e(.*)$""),regexextract(B12,""e(.*)$""),"""")"),"-10")</f>
        <v>-10</v>
      </c>
    </row>
    <row r="13" hidden="1">
      <c r="A13" s="17" t="s">
        <v>453</v>
      </c>
      <c r="B13" s="17" t="s">
        <v>2370</v>
      </c>
      <c r="C13" s="17" t="s">
        <v>2371</v>
      </c>
      <c r="D13" s="17" t="s">
        <v>224</v>
      </c>
      <c r="E13" s="60" t="str">
        <f>VLOOKUP($A13,nist_names_ids!A:B,2,false)</f>
        <v>muc2mev</v>
      </c>
      <c r="F13" s="61">
        <f>countif(Constants!A:A,E13)</f>
        <v>1</v>
      </c>
      <c r="G13" s="62" t="str">
        <f t="shared" si="1"/>
        <v>931.49410242</v>
      </c>
      <c r="H13" s="62">
        <f t="shared" si="2"/>
        <v>931.4941024</v>
      </c>
      <c r="I13" s="62" t="str">
        <f t="shared" si="3"/>
        <v>0.00000028</v>
      </c>
      <c r="J13" s="63">
        <f t="shared" si="4"/>
        <v>0.00000028</v>
      </c>
      <c r="K13" s="62" t="b">
        <f t="shared" si="5"/>
        <v>0</v>
      </c>
      <c r="L13" s="62" t="b">
        <f t="shared" si="6"/>
        <v>0</v>
      </c>
      <c r="M13" s="60" t="str">
        <f>IFERROR(__xludf.DUMMYFUNCTION("if(regexmatch(B13,""e(.*)$""),regexextract(B13,""e(.*)$""),"""")"),"")</f>
        <v/>
      </c>
    </row>
    <row r="14" hidden="1">
      <c r="A14" s="17" t="s">
        <v>1242</v>
      </c>
      <c r="B14" s="17" t="s">
        <v>2379</v>
      </c>
      <c r="C14" s="17" t="s">
        <v>2380</v>
      </c>
      <c r="D14" s="17" t="s">
        <v>181</v>
      </c>
      <c r="E14" s="60" t="str">
        <f>VLOOKUP($A14,nist_names_ids!A:B,2,false)</f>
        <v>uev</v>
      </c>
      <c r="F14" s="61">
        <f>countif(Constants!A:A,E14)</f>
        <v>1</v>
      </c>
      <c r="G14" s="62" t="str">
        <f t="shared" si="1"/>
        <v>9.3149410242e8</v>
      </c>
      <c r="H14" s="62">
        <f t="shared" si="2"/>
        <v>931494102.4</v>
      </c>
      <c r="I14" s="62" t="str">
        <f t="shared" si="3"/>
        <v>0.0000000028e8</v>
      </c>
      <c r="J14" s="63">
        <f t="shared" si="4"/>
        <v>0.28</v>
      </c>
      <c r="K14" s="62" t="b">
        <f t="shared" si="5"/>
        <v>0</v>
      </c>
      <c r="L14" s="62" t="b">
        <f t="shared" si="6"/>
        <v>0</v>
      </c>
      <c r="M14" s="60" t="str">
        <f>IFERROR(__xludf.DUMMYFUNCTION("if(regexmatch(B14,""e(.*)$""),regexextract(B14,""e(.*)$""),"""")"),"8")</f>
        <v>8</v>
      </c>
    </row>
    <row r="15" hidden="1">
      <c r="A15" s="17" t="s">
        <v>1272</v>
      </c>
      <c r="B15" s="17" t="s">
        <v>2383</v>
      </c>
      <c r="C15" s="17" t="s">
        <v>2384</v>
      </c>
      <c r="D15" s="17" t="s">
        <v>170</v>
      </c>
      <c r="E15" s="60" t="str">
        <f>VLOOKUP($A15,nist_names_ids!A:B,2,false)</f>
        <v>uhr</v>
      </c>
      <c r="F15" s="61">
        <f>countif(Constants!A:A,E15)</f>
        <v>1</v>
      </c>
      <c r="G15" s="62" t="str">
        <f t="shared" si="1"/>
        <v>3.4231776874e7</v>
      </c>
      <c r="H15" s="62">
        <f t="shared" si="2"/>
        <v>34231776.87</v>
      </c>
      <c r="I15" s="62" t="str">
        <f t="shared" si="3"/>
        <v>0.0000000010e7</v>
      </c>
      <c r="J15" s="63">
        <f t="shared" si="4"/>
        <v>0.01</v>
      </c>
      <c r="K15" s="62" t="b">
        <f t="shared" si="5"/>
        <v>0</v>
      </c>
      <c r="L15" s="62" t="b">
        <f t="shared" si="6"/>
        <v>0</v>
      </c>
      <c r="M15" s="60" t="str">
        <f>IFERROR(__xludf.DUMMYFUNCTION("if(regexmatch(B15,""e(.*)$""),regexextract(B15,""e(.*)$""),"""")"),"7")</f>
        <v>7</v>
      </c>
    </row>
    <row r="16" hidden="1">
      <c r="A16" s="17" t="s">
        <v>1288</v>
      </c>
      <c r="B16" s="17" t="s">
        <v>2390</v>
      </c>
      <c r="C16" s="17" t="s">
        <v>2391</v>
      </c>
      <c r="D16" s="17" t="s">
        <v>257</v>
      </c>
      <c r="E16" s="60" t="str">
        <f>VLOOKUP($A16,nist_names_ids!A:B,2,false)</f>
        <v>uhz</v>
      </c>
      <c r="F16" s="61">
        <f>countif(Constants!A:A,E16)</f>
        <v>1</v>
      </c>
      <c r="G16" s="62" t="str">
        <f t="shared" si="1"/>
        <v>2.25234271871e23</v>
      </c>
      <c r="H16" s="62">
        <f t="shared" si="2"/>
        <v>2.25234E+23</v>
      </c>
      <c r="I16" s="62" t="str">
        <f t="shared" si="3"/>
        <v>0.00000000068e23</v>
      </c>
      <c r="J16" s="63">
        <f t="shared" si="4"/>
        <v>68000000000000</v>
      </c>
      <c r="K16" s="62" t="b">
        <f t="shared" si="5"/>
        <v>0</v>
      </c>
      <c r="L16" s="62" t="b">
        <f t="shared" si="6"/>
        <v>0</v>
      </c>
      <c r="M16" s="60" t="str">
        <f>IFERROR(__xludf.DUMMYFUNCTION("if(regexmatch(B16,""e(.*)$""),regexextract(B16,""e(.*)$""),"""")"),"23")</f>
        <v>23</v>
      </c>
    </row>
    <row r="17" hidden="1">
      <c r="A17" s="17" t="s">
        <v>1312</v>
      </c>
      <c r="B17" s="17" t="s">
        <v>2395</v>
      </c>
      <c r="C17" s="17" t="s">
        <v>1481</v>
      </c>
      <c r="D17" s="17" t="s">
        <v>561</v>
      </c>
      <c r="E17" s="60" t="str">
        <f>VLOOKUP($A17,nist_names_ids!A:B,2,false)</f>
        <v>uminv</v>
      </c>
      <c r="F17" s="61">
        <f>countif(Constants!A:A,E17)</f>
        <v>1</v>
      </c>
      <c r="G17" s="62" t="str">
        <f t="shared" si="1"/>
        <v>7.5130066104e14</v>
      </c>
      <c r="H17" s="62">
        <f t="shared" si="2"/>
        <v>751300661040000</v>
      </c>
      <c r="I17" s="62" t="str">
        <f t="shared" si="3"/>
        <v>0.0000000023e14</v>
      </c>
      <c r="J17" s="63">
        <f t="shared" si="4"/>
        <v>230000</v>
      </c>
      <c r="K17" s="62" t="b">
        <f t="shared" si="5"/>
        <v>0</v>
      </c>
      <c r="L17" s="62" t="b">
        <f t="shared" si="6"/>
        <v>0</v>
      </c>
      <c r="M17" s="60" t="str">
        <f>IFERROR(__xludf.DUMMYFUNCTION("if(regexmatch(B17,""e(.*)$""),regexextract(B17,""e(.*)$""),"""")"),"14")</f>
        <v>14</v>
      </c>
    </row>
    <row r="18" hidden="1">
      <c r="A18" s="17" t="s">
        <v>1324</v>
      </c>
      <c r="B18" s="17" t="s">
        <v>2365</v>
      </c>
      <c r="C18" s="17" t="s">
        <v>2366</v>
      </c>
      <c r="D18" s="17" t="s">
        <v>173</v>
      </c>
      <c r="E18" s="60" t="str">
        <f>VLOOKUP($A18,nist_names_ids!A:B,2,false)</f>
        <v>Ruj</v>
      </c>
      <c r="F18" s="61">
        <f>countif(Constants!A:A,E18)</f>
        <v>1</v>
      </c>
      <c r="G18" s="62" t="str">
        <f t="shared" si="1"/>
        <v>1.49241808560e-10</v>
      </c>
      <c r="H18" s="62">
        <f t="shared" si="2"/>
        <v>0.0000000001492418086</v>
      </c>
      <c r="I18" s="62" t="str">
        <f t="shared" si="3"/>
        <v>0.00000000045e-10</v>
      </c>
      <c r="J18" s="63">
        <f t="shared" si="4"/>
        <v>0</v>
      </c>
      <c r="K18" s="62" t="b">
        <f t="shared" si="5"/>
        <v>0</v>
      </c>
      <c r="L18" s="62" t="b">
        <f t="shared" si="6"/>
        <v>0</v>
      </c>
      <c r="M18" s="60" t="str">
        <f>IFERROR(__xludf.DUMMYFUNCTION("if(regexmatch(B18,""e(.*)$""),regexextract(B18,""e(.*)$""),"""")"),"-10")</f>
        <v>-10</v>
      </c>
    </row>
    <row r="19" hidden="1">
      <c r="A19" s="17" t="s">
        <v>1338</v>
      </c>
      <c r="B19" s="17" t="s">
        <v>2403</v>
      </c>
      <c r="C19" s="17" t="s">
        <v>2404</v>
      </c>
      <c r="D19" s="17" t="s">
        <v>345</v>
      </c>
      <c r="E19" s="60" t="str">
        <f>VLOOKUP($A19,nist_names_ids!A:B,2,false)</f>
        <v>uk</v>
      </c>
      <c r="F19" s="61">
        <f>countif(Constants!A:A,E19)</f>
        <v>1</v>
      </c>
      <c r="G19" s="62" t="str">
        <f t="shared" si="1"/>
        <v>1.08095401916e13</v>
      </c>
      <c r="H19" s="62">
        <f t="shared" si="2"/>
        <v>10809540191600</v>
      </c>
      <c r="I19" s="62" t="str">
        <f t="shared" si="3"/>
        <v>0.00000000033e13</v>
      </c>
      <c r="J19" s="63">
        <f t="shared" si="4"/>
        <v>3300</v>
      </c>
      <c r="K19" s="62" t="b">
        <f t="shared" si="5"/>
        <v>0</v>
      </c>
      <c r="L19" s="62" t="b">
        <f t="shared" si="6"/>
        <v>0</v>
      </c>
      <c r="M19" s="60" t="str">
        <f>IFERROR(__xludf.DUMMYFUNCTION("if(regexmatch(B19,""e(.*)$""),regexextract(B19,""e(.*)$""),"""")"),"13")</f>
        <v>13</v>
      </c>
    </row>
    <row r="20" hidden="1">
      <c r="A20" s="17" t="s">
        <v>1349</v>
      </c>
      <c r="B20" s="17" t="s">
        <v>2360</v>
      </c>
      <c r="C20" s="17" t="s">
        <v>2361</v>
      </c>
      <c r="D20" s="17" t="s">
        <v>98</v>
      </c>
      <c r="E20" s="60" t="str">
        <f>VLOOKUP($A20,nist_names_ids!A:B,2,false)</f>
        <v>Rukg</v>
      </c>
      <c r="F20" s="61">
        <f>countif(Constants!A:A,E20)</f>
        <v>1</v>
      </c>
      <c r="G20" s="62" t="str">
        <f t="shared" si="1"/>
        <v>1.66053906660e-27</v>
      </c>
      <c r="H20" s="62">
        <f t="shared" si="2"/>
        <v>0</v>
      </c>
      <c r="I20" s="62" t="str">
        <f t="shared" si="3"/>
        <v>0.00000000050e-27</v>
      </c>
      <c r="J20" s="63">
        <f t="shared" si="4"/>
        <v>0</v>
      </c>
      <c r="K20" s="62" t="b">
        <f t="shared" si="5"/>
        <v>0</v>
      </c>
      <c r="L20" s="62" t="b">
        <f t="shared" si="6"/>
        <v>0</v>
      </c>
      <c r="M20" s="60" t="str">
        <f>IFERROR(__xludf.DUMMYFUNCTION("if(regexmatch(B20,""e(.*)$""),regexextract(B20,""e(.*)$""),"""")"),"-27")</f>
        <v>-27</v>
      </c>
    </row>
    <row r="21" hidden="1">
      <c r="A21" s="17" t="s">
        <v>1364</v>
      </c>
      <c r="B21" s="17" t="s">
        <v>2413</v>
      </c>
      <c r="C21" s="17" t="s">
        <v>1495</v>
      </c>
      <c r="D21" s="17" t="s">
        <v>676</v>
      </c>
      <c r="E21" s="60" t="str">
        <f>VLOOKUP($A21,nist_names_ids!A:B,2,false)</f>
        <v>auhypol</v>
      </c>
      <c r="F21" s="61">
        <f>countif(Constants!A:A,E21)</f>
        <v>1</v>
      </c>
      <c r="G21" s="62" t="str">
        <f t="shared" si="1"/>
        <v>3.2063613061e-53</v>
      </c>
      <c r="H21" s="62">
        <f t="shared" si="2"/>
        <v>0</v>
      </c>
      <c r="I21" s="62" t="str">
        <f t="shared" si="3"/>
        <v>0.0000000015e-53</v>
      </c>
      <c r="J21" s="63">
        <f t="shared" si="4"/>
        <v>0</v>
      </c>
      <c r="K21" s="62" t="b">
        <f t="shared" si="5"/>
        <v>0</v>
      </c>
      <c r="L21" s="62" t="b">
        <f t="shared" si="6"/>
        <v>0</v>
      </c>
      <c r="M21" s="60" t="str">
        <f>IFERROR(__xludf.DUMMYFUNCTION("if(regexmatch(B21,""e(.*)$""),regexextract(B21,""e(.*)$""),"""")"),"-53")</f>
        <v>-53</v>
      </c>
    </row>
    <row r="22" hidden="1">
      <c r="A22" s="17" t="s">
        <v>1378</v>
      </c>
      <c r="B22" s="17" t="s">
        <v>2415</v>
      </c>
      <c r="C22" s="17" t="s">
        <v>2416</v>
      </c>
      <c r="D22" s="17" t="s">
        <v>698</v>
      </c>
      <c r="E22" s="60" t="str">
        <f>VLOOKUP($A22,nist_names_ids!A:B,2,false)</f>
        <v>au2hypol</v>
      </c>
      <c r="F22" s="61">
        <f>countif(Constants!A:A,E22)</f>
        <v>1</v>
      </c>
      <c r="G22" s="62" t="str">
        <f t="shared" si="1"/>
        <v>6.2353799905e-65</v>
      </c>
      <c r="H22" s="62">
        <f t="shared" si="2"/>
        <v>0</v>
      </c>
      <c r="I22" s="62" t="str">
        <f t="shared" si="3"/>
        <v>0.0000000038e-65</v>
      </c>
      <c r="J22" s="63">
        <f t="shared" si="4"/>
        <v>0</v>
      </c>
      <c r="K22" s="62" t="b">
        <f t="shared" si="5"/>
        <v>0</v>
      </c>
      <c r="L22" s="62" t="b">
        <f t="shared" si="6"/>
        <v>0</v>
      </c>
      <c r="M22" s="60" t="str">
        <f>IFERROR(__xludf.DUMMYFUNCTION("if(regexmatch(B22,""e(.*)$""),regexextract(B22,""e(.*)$""),"""")"),"-65")</f>
        <v>-65</v>
      </c>
    </row>
    <row r="23">
      <c r="A23" s="17" t="s">
        <v>712</v>
      </c>
      <c r="B23" s="17" t="s">
        <v>2420</v>
      </c>
      <c r="C23" s="17" t="s">
        <v>1501</v>
      </c>
      <c r="D23" s="17" t="s">
        <v>714</v>
      </c>
      <c r="E23" s="60" t="str">
        <f>VLOOKUP($A23,nist_names_ids!A:B,2,false)</f>
        <v>tthbar</v>
      </c>
      <c r="F23" s="61">
        <f>countif(Constants!A:A,E23)</f>
        <v>1</v>
      </c>
      <c r="G23" s="62" t="str">
        <f t="shared" si="1"/>
        <v>1.054571817e-34</v>
      </c>
      <c r="H23" s="62">
        <f t="shared" si="2"/>
        <v>0</v>
      </c>
      <c r="I23" s="62" t="str">
        <f t="shared" si="3"/>
        <v>(exact)</v>
      </c>
      <c r="J23" s="63" t="str">
        <f t="shared" si="4"/>
        <v/>
      </c>
      <c r="K23" s="62" t="b">
        <f t="shared" si="5"/>
        <v>1</v>
      </c>
      <c r="L23" s="62" t="b">
        <f t="shared" si="6"/>
        <v>1</v>
      </c>
      <c r="M23" s="60" t="str">
        <f>IFERROR(__xludf.DUMMYFUNCTION("if(regexmatch(B23,""e(.*)$""),regexextract(B23,""e(.*)$""),"""")"),"-34")</f>
        <v>-34</v>
      </c>
    </row>
    <row r="24">
      <c r="A24" s="17" t="s">
        <v>729</v>
      </c>
      <c r="B24" s="17" t="s">
        <v>2426</v>
      </c>
      <c r="C24" s="17" t="s">
        <v>1501</v>
      </c>
      <c r="D24" s="17" t="s">
        <v>81</v>
      </c>
      <c r="E24" s="60" t="str">
        <f>VLOOKUP($A24,nist_names_ids!A:B,2,false)</f>
        <v>Ae</v>
      </c>
      <c r="F24" s="61">
        <f>countif(Constants!A:A,E24)</f>
        <v>2</v>
      </c>
      <c r="G24" s="62" t="str">
        <f t="shared" si="1"/>
        <v>1.602176634e-19</v>
      </c>
      <c r="H24" s="62">
        <f t="shared" si="2"/>
        <v>0</v>
      </c>
      <c r="I24" s="62" t="str">
        <f t="shared" si="3"/>
        <v>(exact)</v>
      </c>
      <c r="J24" s="63" t="str">
        <f t="shared" si="4"/>
        <v/>
      </c>
      <c r="K24" s="62" t="b">
        <f t="shared" si="5"/>
        <v>1</v>
      </c>
      <c r="L24" s="62" t="b">
        <f t="shared" si="6"/>
        <v>0</v>
      </c>
      <c r="M24" s="60" t="str">
        <f>IFERROR(__xludf.DUMMYFUNCTION("if(regexmatch(B24,""e(.*)$""),regexextract(B24,""e(.*)$""),"""")"),"-19")</f>
        <v>-19</v>
      </c>
    </row>
    <row r="25" hidden="1">
      <c r="A25" s="17" t="s">
        <v>742</v>
      </c>
      <c r="B25" s="17" t="s">
        <v>2430</v>
      </c>
      <c r="C25" s="17" t="s">
        <v>2431</v>
      </c>
      <c r="D25" s="17" t="s">
        <v>744</v>
      </c>
      <c r="E25" s="60" t="str">
        <f>VLOOKUP($A25,nist_names_ids!A:B,2,false)</f>
        <v>aucd</v>
      </c>
      <c r="F25" s="61">
        <f>countif(Constants!A:A,E25)</f>
        <v>1</v>
      </c>
      <c r="G25" s="62" t="str">
        <f t="shared" si="1"/>
        <v>1.08120238457e12</v>
      </c>
      <c r="H25" s="62">
        <f t="shared" si="2"/>
        <v>1081202384570</v>
      </c>
      <c r="I25" s="62" t="str">
        <f t="shared" si="3"/>
        <v>0.00000000049e12</v>
      </c>
      <c r="J25" s="63">
        <f t="shared" si="4"/>
        <v>490</v>
      </c>
      <c r="K25" s="62" t="b">
        <f t="shared" si="5"/>
        <v>0</v>
      </c>
      <c r="L25" s="62" t="b">
        <f t="shared" si="6"/>
        <v>0</v>
      </c>
      <c r="M25" s="60" t="str">
        <f>IFERROR(__xludf.DUMMYFUNCTION("if(regexmatch(B25,""e(.*)$""),regexextract(B25,""e(.*)$""),"""")"),"12")</f>
        <v>12</v>
      </c>
    </row>
    <row r="26" hidden="1">
      <c r="A26" s="17" t="s">
        <v>756</v>
      </c>
      <c r="B26" s="17" t="s">
        <v>2434</v>
      </c>
      <c r="C26" s="17" t="s">
        <v>2435</v>
      </c>
      <c r="D26" s="17" t="s">
        <v>55</v>
      </c>
      <c r="E26" s="60" t="str">
        <f>VLOOKUP($A26,nist_names_ids!A:B,2,false)</f>
        <v>aucur</v>
      </c>
      <c r="F26" s="61">
        <f>countif(Constants!A:A,E26)</f>
        <v>1</v>
      </c>
      <c r="G26" s="62" t="str">
        <f t="shared" si="1"/>
        <v>6.623618237510e-3</v>
      </c>
      <c r="H26" s="62">
        <f t="shared" si="2"/>
        <v>0.006623618238</v>
      </c>
      <c r="I26" s="62" t="str">
        <f t="shared" si="3"/>
        <v>0.000000000013e-3</v>
      </c>
      <c r="J26" s="63">
        <f t="shared" si="4"/>
        <v>0</v>
      </c>
      <c r="K26" s="62" t="b">
        <f t="shared" si="5"/>
        <v>0</v>
      </c>
      <c r="L26" s="62" t="b">
        <f t="shared" si="6"/>
        <v>0</v>
      </c>
      <c r="M26" s="60" t="str">
        <f>IFERROR(__xludf.DUMMYFUNCTION("if(regexmatch(B26,""e(.*)$""),regexextract(B26,""e(.*)$""),"""")"),"-3")</f>
        <v>-3</v>
      </c>
    </row>
    <row r="27" hidden="1">
      <c r="A27" s="17" t="s">
        <v>1420</v>
      </c>
      <c r="B27" s="17" t="s">
        <v>2442</v>
      </c>
      <c r="C27" s="17" t="s">
        <v>1514</v>
      </c>
      <c r="D27" s="17" t="s">
        <v>772</v>
      </c>
      <c r="E27" s="60" t="str">
        <f>VLOOKUP($A27,nist_names_ids!A:B,2,false)</f>
        <v>auedm</v>
      </c>
      <c r="F27" s="61">
        <f>countif(Constants!A:A,E27)</f>
        <v>1</v>
      </c>
      <c r="G27" s="62" t="str">
        <f t="shared" si="1"/>
        <v>8.4783536255e-30</v>
      </c>
      <c r="H27" s="62">
        <f t="shared" si="2"/>
        <v>0</v>
      </c>
      <c r="I27" s="62" t="str">
        <f t="shared" si="3"/>
        <v>0.0000000013e-30</v>
      </c>
      <c r="J27" s="63">
        <f t="shared" si="4"/>
        <v>0</v>
      </c>
      <c r="K27" s="62" t="b">
        <f t="shared" si="5"/>
        <v>0</v>
      </c>
      <c r="L27" s="62" t="b">
        <f t="shared" si="6"/>
        <v>0</v>
      </c>
      <c r="M27" s="60" t="str">
        <f>IFERROR(__xludf.DUMMYFUNCTION("if(regexmatch(B27,""e(.*)$""),regexextract(B27,""e(.*)$""),"""")"),"-30")</f>
        <v>-30</v>
      </c>
    </row>
    <row r="28" hidden="1">
      <c r="A28" s="17" t="s">
        <v>787</v>
      </c>
      <c r="B28" s="17" t="s">
        <v>2446</v>
      </c>
      <c r="C28" s="17" t="s">
        <v>2447</v>
      </c>
      <c r="D28" s="17" t="s">
        <v>789</v>
      </c>
      <c r="E28" s="60" t="str">
        <f>VLOOKUP($A28,nist_names_ids!A:B,2,false)</f>
        <v>auefld</v>
      </c>
      <c r="F28" s="61">
        <f>countif(Constants!A:A,E28)</f>
        <v>1</v>
      </c>
      <c r="G28" s="62" t="str">
        <f t="shared" si="1"/>
        <v>5.14220674763e11</v>
      </c>
      <c r="H28" s="62">
        <f t="shared" si="2"/>
        <v>514220674763</v>
      </c>
      <c r="I28" s="62" t="str">
        <f t="shared" si="3"/>
        <v>0.00000000078e11</v>
      </c>
      <c r="J28" s="63">
        <f t="shared" si="4"/>
        <v>78</v>
      </c>
      <c r="K28" s="62" t="b">
        <f t="shared" si="5"/>
        <v>0</v>
      </c>
      <c r="L28" s="62" t="b">
        <f t="shared" si="6"/>
        <v>0</v>
      </c>
      <c r="M28" s="60" t="str">
        <f>IFERROR(__xludf.DUMMYFUNCTION("if(regexmatch(B28,""e(.*)$""),regexextract(B28,""e(.*)$""),"""")"),"11")</f>
        <v>11</v>
      </c>
    </row>
    <row r="29" hidden="1">
      <c r="A29" s="17" t="s">
        <v>810</v>
      </c>
      <c r="B29" s="17" t="s">
        <v>2451</v>
      </c>
      <c r="C29" s="17" t="s">
        <v>2452</v>
      </c>
      <c r="D29" s="17" t="s">
        <v>812</v>
      </c>
      <c r="E29" s="60" t="str">
        <f>VLOOKUP($A29,nist_names_ids!A:B,2,false)</f>
        <v>auefg</v>
      </c>
      <c r="F29" s="61">
        <f>countif(Constants!A:A,E29)</f>
        <v>1</v>
      </c>
      <c r="G29" s="62" t="str">
        <f t="shared" si="1"/>
        <v>9.7173624292e21</v>
      </c>
      <c r="H29" s="62">
        <f t="shared" si="2"/>
        <v>9.71736E+21</v>
      </c>
      <c r="I29" s="62" t="str">
        <f t="shared" si="3"/>
        <v>0.0000000029e21</v>
      </c>
      <c r="J29" s="63">
        <f t="shared" si="4"/>
        <v>2900000000000</v>
      </c>
      <c r="K29" s="62" t="b">
        <f t="shared" si="5"/>
        <v>0</v>
      </c>
      <c r="L29" s="62" t="b">
        <f t="shared" si="6"/>
        <v>0</v>
      </c>
      <c r="M29" s="60" t="str">
        <f>IFERROR(__xludf.DUMMYFUNCTION("if(regexmatch(B29,""e(.*)$""),regexextract(B29,""e(.*)$""),"""")"),"21")</f>
        <v>21</v>
      </c>
    </row>
    <row r="30" hidden="1">
      <c r="A30" s="17" t="s">
        <v>833</v>
      </c>
      <c r="B30" s="17" t="s">
        <v>2457</v>
      </c>
      <c r="C30" s="17" t="s">
        <v>2458</v>
      </c>
      <c r="D30" s="17" t="s">
        <v>835</v>
      </c>
      <c r="E30" s="60" t="str">
        <f>VLOOKUP($A30,nist_names_ids!A:B,2,false)</f>
        <v>auepol</v>
      </c>
      <c r="F30" s="61">
        <f>countif(Constants!A:A,E30)</f>
        <v>1</v>
      </c>
      <c r="G30" s="62" t="str">
        <f t="shared" si="1"/>
        <v>1.64877727436e-41</v>
      </c>
      <c r="H30" s="62">
        <f t="shared" si="2"/>
        <v>0</v>
      </c>
      <c r="I30" s="62" t="str">
        <f t="shared" si="3"/>
        <v>0.00000000050e-41</v>
      </c>
      <c r="J30" s="63">
        <f t="shared" si="4"/>
        <v>0</v>
      </c>
      <c r="K30" s="62" t="b">
        <f t="shared" si="5"/>
        <v>0</v>
      </c>
      <c r="L30" s="62" t="b">
        <f t="shared" si="6"/>
        <v>0</v>
      </c>
      <c r="M30" s="60" t="str">
        <f>IFERROR(__xludf.DUMMYFUNCTION("if(regexmatch(B30,""e(.*)$""),regexextract(B30,""e(.*)$""),"""")"),"-41")</f>
        <v>-41</v>
      </c>
    </row>
    <row r="31" hidden="1">
      <c r="A31" s="17" t="s">
        <v>858</v>
      </c>
      <c r="B31" s="17" t="s">
        <v>2462</v>
      </c>
      <c r="C31" s="17" t="s">
        <v>2463</v>
      </c>
      <c r="D31" s="17" t="s">
        <v>546</v>
      </c>
      <c r="E31" s="60" t="str">
        <f>VLOOKUP($A31,nist_names_ids!A:B,2,false)</f>
        <v>auep</v>
      </c>
      <c r="F31" s="61">
        <f>countif(Constants!A:A,E31)</f>
        <v>1</v>
      </c>
      <c r="G31" s="62" t="str">
        <f t="shared" si="1"/>
        <v>27.211386245988</v>
      </c>
      <c r="H31" s="62">
        <f t="shared" si="2"/>
        <v>27.21138625</v>
      </c>
      <c r="I31" s="62" t="str">
        <f t="shared" si="3"/>
        <v>0.000000000053</v>
      </c>
      <c r="J31" s="63">
        <f t="shared" si="4"/>
        <v>0</v>
      </c>
      <c r="K31" s="62" t="b">
        <f t="shared" si="5"/>
        <v>0</v>
      </c>
      <c r="L31" s="62" t="b">
        <f t="shared" si="6"/>
        <v>0</v>
      </c>
      <c r="M31" s="60" t="str">
        <f>IFERROR(__xludf.DUMMYFUNCTION("if(regexmatch(B31,""e(.*)$""),regexextract(B31,""e(.*)$""),"""")"),"")</f>
        <v/>
      </c>
    </row>
    <row r="32" hidden="1">
      <c r="A32" s="17" t="s">
        <v>1470</v>
      </c>
      <c r="B32" s="17" t="s">
        <v>2467</v>
      </c>
      <c r="C32" s="17" t="s">
        <v>1537</v>
      </c>
      <c r="D32" s="17" t="s">
        <v>884</v>
      </c>
      <c r="E32" s="60" t="str">
        <f>VLOOKUP($A32,nist_names_ids!A:B,2,false)</f>
        <v>aueqm</v>
      </c>
      <c r="F32" s="61">
        <f>countif(Constants!A:A,E32)</f>
        <v>1</v>
      </c>
      <c r="G32" s="62" t="str">
        <f t="shared" si="1"/>
        <v>4.4865515246e-40</v>
      </c>
      <c r="H32" s="62">
        <f t="shared" si="2"/>
        <v>0</v>
      </c>
      <c r="I32" s="62" t="str">
        <f t="shared" si="3"/>
        <v>0.0000000014e-40</v>
      </c>
      <c r="J32" s="63">
        <f t="shared" si="4"/>
        <v>0</v>
      </c>
      <c r="K32" s="62" t="b">
        <f t="shared" si="5"/>
        <v>0</v>
      </c>
      <c r="L32" s="62" t="b">
        <f t="shared" si="6"/>
        <v>0</v>
      </c>
      <c r="M32" s="60" t="str">
        <f>IFERROR(__xludf.DUMMYFUNCTION("if(regexmatch(B32,""e(.*)$""),regexextract(B32,""e(.*)$""),"""")"),"-40")</f>
        <v>-40</v>
      </c>
    </row>
    <row r="33" hidden="1">
      <c r="A33" s="17" t="s">
        <v>901</v>
      </c>
      <c r="B33" s="17" t="s">
        <v>2475</v>
      </c>
      <c r="C33" s="17" t="s">
        <v>2477</v>
      </c>
      <c r="D33" s="17" t="s">
        <v>173</v>
      </c>
      <c r="E33" s="60" t="str">
        <f>VLOOKUP($A33,nist_names_ids!A:B,2,false)</f>
        <v>thr</v>
      </c>
      <c r="F33" s="61">
        <f>countif(Constants!A:A,E33)</f>
        <v>1</v>
      </c>
      <c r="G33" s="62" t="str">
        <f t="shared" si="1"/>
        <v>4.3597447222071e-18</v>
      </c>
      <c r="H33" s="62">
        <f t="shared" si="2"/>
        <v>0</v>
      </c>
      <c r="I33" s="62" t="str">
        <f t="shared" si="3"/>
        <v>0.0000000000085e-18</v>
      </c>
      <c r="J33" s="63">
        <f t="shared" si="4"/>
        <v>0</v>
      </c>
      <c r="K33" s="62" t="b">
        <f t="shared" si="5"/>
        <v>0</v>
      </c>
      <c r="L33" s="62" t="b">
        <f t="shared" si="6"/>
        <v>0</v>
      </c>
      <c r="M33" s="60" t="str">
        <f>IFERROR(__xludf.DUMMYFUNCTION("if(regexmatch(B33,""e(.*)$""),regexextract(B33,""e(.*)$""),"""")"),"-18")</f>
        <v>-18</v>
      </c>
    </row>
    <row r="34" hidden="1">
      <c r="A34" s="17" t="s">
        <v>921</v>
      </c>
      <c r="B34" s="17" t="s">
        <v>2479</v>
      </c>
      <c r="C34" s="17" t="s">
        <v>2481</v>
      </c>
      <c r="D34" s="17" t="s">
        <v>486</v>
      </c>
      <c r="E34" s="60" t="str">
        <f>VLOOKUP($A34,nist_names_ids!A:B,2,false)</f>
        <v>auforce</v>
      </c>
      <c r="F34" s="61">
        <f>countif(Constants!A:A,E34)</f>
        <v>1</v>
      </c>
      <c r="G34" s="62" t="str">
        <f t="shared" si="1"/>
        <v>8.2387234983e-8</v>
      </c>
      <c r="H34" s="62">
        <f t="shared" si="2"/>
        <v>0.00000008238723498</v>
      </c>
      <c r="I34" s="62" t="str">
        <f t="shared" si="3"/>
        <v>0.0000000012e-8</v>
      </c>
      <c r="J34" s="63">
        <f t="shared" si="4"/>
        <v>0</v>
      </c>
      <c r="K34" s="62" t="b">
        <f t="shared" si="5"/>
        <v>0</v>
      </c>
      <c r="L34" s="62" t="b">
        <f t="shared" si="6"/>
        <v>0</v>
      </c>
      <c r="M34" s="60" t="str">
        <f>IFERROR(__xludf.DUMMYFUNCTION("if(regexmatch(B34,""e(.*)$""),regexextract(B34,""e(.*)$""),"""")"),"-8")</f>
        <v>-8</v>
      </c>
    </row>
    <row r="35" hidden="1">
      <c r="A35" s="17" t="s">
        <v>940</v>
      </c>
      <c r="B35" s="17" t="s">
        <v>2485</v>
      </c>
      <c r="C35" s="17" t="s">
        <v>2487</v>
      </c>
      <c r="D35" s="17" t="s">
        <v>381</v>
      </c>
      <c r="E35" s="60" t="str">
        <f>VLOOKUP($A35,nist_names_ids!A:B,2,false)</f>
        <v>tbohrrada0</v>
      </c>
      <c r="F35" s="61">
        <f>countif(Constants!A:A,E35)</f>
        <v>1</v>
      </c>
      <c r="G35" s="62" t="str">
        <f t="shared" si="1"/>
        <v>5.29177210903e-11</v>
      </c>
      <c r="H35" s="62">
        <f t="shared" si="2"/>
        <v>0</v>
      </c>
      <c r="I35" s="62" t="str">
        <f t="shared" si="3"/>
        <v>0.00000000080e-11</v>
      </c>
      <c r="J35" s="63">
        <f t="shared" si="4"/>
        <v>0</v>
      </c>
      <c r="K35" s="62" t="b">
        <f t="shared" si="5"/>
        <v>0</v>
      </c>
      <c r="L35" s="62" t="b">
        <f t="shared" si="6"/>
        <v>0</v>
      </c>
      <c r="M35" s="60" t="str">
        <f>IFERROR(__xludf.DUMMYFUNCTION("if(regexmatch(B35,""e(.*)$""),regexextract(B35,""e(.*)$""),"""")"),"-11")</f>
        <v>-11</v>
      </c>
    </row>
    <row r="36" hidden="1">
      <c r="A36" s="17" t="s">
        <v>1517</v>
      </c>
      <c r="B36" s="17" t="s">
        <v>2488</v>
      </c>
      <c r="C36" s="17" t="s">
        <v>2489</v>
      </c>
      <c r="D36" s="17" t="s">
        <v>964</v>
      </c>
      <c r="E36" s="60" t="str">
        <f>VLOOKUP($A36,nist_names_ids!A:B,2,false)</f>
        <v>aumdm</v>
      </c>
      <c r="F36" s="61">
        <f>countif(Constants!A:A,E36)</f>
        <v>1</v>
      </c>
      <c r="G36" s="62" t="str">
        <f t="shared" si="1"/>
        <v>1.85480201566e-23</v>
      </c>
      <c r="H36" s="62">
        <f t="shared" si="2"/>
        <v>0</v>
      </c>
      <c r="I36" s="62" t="str">
        <f t="shared" si="3"/>
        <v>0.00000000056e-23</v>
      </c>
      <c r="J36" s="63">
        <f t="shared" si="4"/>
        <v>0</v>
      </c>
      <c r="K36" s="62" t="b">
        <f t="shared" si="5"/>
        <v>0</v>
      </c>
      <c r="L36" s="62" t="b">
        <f t="shared" si="6"/>
        <v>0</v>
      </c>
      <c r="M36" s="60" t="str">
        <f>IFERROR(__xludf.DUMMYFUNCTION("if(regexmatch(B36,""e(.*)$""),regexextract(B36,""e(.*)$""),"""")"),"-23")</f>
        <v>-23</v>
      </c>
    </row>
    <row r="37" hidden="1">
      <c r="A37" s="17" t="s">
        <v>979</v>
      </c>
      <c r="B37" s="17" t="s">
        <v>2493</v>
      </c>
      <c r="C37" s="17" t="s">
        <v>2494</v>
      </c>
      <c r="D37" s="17" t="s">
        <v>535</v>
      </c>
      <c r="E37" s="60" t="str">
        <f>VLOOKUP($A37,nist_names_ids!A:B,2,false)</f>
        <v>aumfd</v>
      </c>
      <c r="F37" s="61">
        <f>countif(Constants!A:A,E37)</f>
        <v>1</v>
      </c>
      <c r="G37" s="62" t="str">
        <f t="shared" si="1"/>
        <v>2.35051756758e5</v>
      </c>
      <c r="H37" s="62">
        <f t="shared" si="2"/>
        <v>235051.7568</v>
      </c>
      <c r="I37" s="62" t="str">
        <f t="shared" si="3"/>
        <v>0.00000000071e5</v>
      </c>
      <c r="J37" s="63">
        <f t="shared" si="4"/>
        <v>0.000071</v>
      </c>
      <c r="K37" s="62" t="b">
        <f t="shared" si="5"/>
        <v>0</v>
      </c>
      <c r="L37" s="62" t="b">
        <f t="shared" si="6"/>
        <v>0</v>
      </c>
      <c r="M37" s="60" t="str">
        <f>IFERROR(__xludf.DUMMYFUNCTION("if(regexmatch(B37,""e(.*)$""),regexextract(B37,""e(.*)$""),"""")"),"5")</f>
        <v>5</v>
      </c>
    </row>
    <row r="38" hidden="1">
      <c r="A38" s="17" t="s">
        <v>997</v>
      </c>
      <c r="B38" s="17" t="s">
        <v>2500</v>
      </c>
      <c r="C38" s="17" t="s">
        <v>2501</v>
      </c>
      <c r="D38" s="17" t="s">
        <v>999</v>
      </c>
      <c r="E38" s="60" t="str">
        <f>VLOOKUP($A38,nist_names_ids!A:B,2,false)</f>
        <v>aumag</v>
      </c>
      <c r="F38" s="61">
        <f>countif(Constants!A:A,E38)</f>
        <v>1</v>
      </c>
      <c r="G38" s="62" t="str">
        <f t="shared" si="1"/>
        <v>7.8910366008e-29</v>
      </c>
      <c r="H38" s="62">
        <f t="shared" si="2"/>
        <v>0</v>
      </c>
      <c r="I38" s="62" t="str">
        <f t="shared" si="3"/>
        <v>0.0000000048e-29</v>
      </c>
      <c r="J38" s="63">
        <f t="shared" si="4"/>
        <v>0</v>
      </c>
      <c r="K38" s="62" t="b">
        <f t="shared" si="5"/>
        <v>0</v>
      </c>
      <c r="L38" s="62" t="b">
        <f t="shared" si="6"/>
        <v>0</v>
      </c>
      <c r="M38" s="60" t="str">
        <f>IFERROR(__xludf.DUMMYFUNCTION("if(regexmatch(B38,""e(.*)$""),regexextract(B38,""e(.*)$""),"""")"),"-29")</f>
        <v>-29</v>
      </c>
    </row>
    <row r="39" hidden="1">
      <c r="A39" s="17" t="s">
        <v>1015</v>
      </c>
      <c r="B39" s="17" t="s">
        <v>2507</v>
      </c>
      <c r="C39" s="17" t="s">
        <v>1560</v>
      </c>
      <c r="D39" s="17" t="s">
        <v>98</v>
      </c>
      <c r="E39" s="60" t="str">
        <f>VLOOKUP($A39,nist_names_ids!A:B,2,false)</f>
        <v>ttme</v>
      </c>
      <c r="F39" s="61">
        <f>countif(Constants!A:A,E39)</f>
        <v>1</v>
      </c>
      <c r="G39" s="62" t="str">
        <f t="shared" si="1"/>
        <v>9.1093837015e-31</v>
      </c>
      <c r="H39" s="62">
        <f t="shared" si="2"/>
        <v>0</v>
      </c>
      <c r="I39" s="62" t="str">
        <f t="shared" si="3"/>
        <v>0.0000000028e-31</v>
      </c>
      <c r="J39" s="63">
        <f t="shared" si="4"/>
        <v>0</v>
      </c>
      <c r="K39" s="62" t="b">
        <f t="shared" si="5"/>
        <v>0</v>
      </c>
      <c r="L39" s="62" t="b">
        <f t="shared" si="6"/>
        <v>0</v>
      </c>
      <c r="M39" s="60" t="str">
        <f>IFERROR(__xludf.DUMMYFUNCTION("if(regexmatch(B39,""e(.*)$""),regexextract(B39,""e(.*)$""),"""")"),"-31")</f>
        <v>-31</v>
      </c>
    </row>
    <row r="40" hidden="1">
      <c r="A40" s="17" t="s">
        <v>1053</v>
      </c>
      <c r="B40" s="17" t="s">
        <v>2511</v>
      </c>
      <c r="C40" s="17" t="s">
        <v>2512</v>
      </c>
      <c r="D40" s="17" t="s">
        <v>1058</v>
      </c>
      <c r="E40" s="60" t="str">
        <f>VLOOKUP($A40,nist_names_ids!A:B,2,false)</f>
        <v>aumom</v>
      </c>
      <c r="F40" s="61">
        <f>countif(Constants!A:A,E40)</f>
        <v>1</v>
      </c>
      <c r="G40" s="62" t="str">
        <f t="shared" si="1"/>
        <v>1.99285191410e-24</v>
      </c>
      <c r="H40" s="62">
        <f t="shared" si="2"/>
        <v>0</v>
      </c>
      <c r="I40" s="62" t="str">
        <f t="shared" si="3"/>
        <v>0.00000000030e-24</v>
      </c>
      <c r="J40" s="63">
        <f t="shared" si="4"/>
        <v>0</v>
      </c>
      <c r="K40" s="62" t="b">
        <f t="shared" si="5"/>
        <v>0</v>
      </c>
      <c r="L40" s="62" t="b">
        <f t="shared" si="6"/>
        <v>0</v>
      </c>
      <c r="M40" s="60" t="str">
        <f>IFERROR(__xludf.DUMMYFUNCTION("if(regexmatch(B40,""e(.*)$""),regexextract(B40,""e(.*)$""),"""")"),"-24")</f>
        <v>-24</v>
      </c>
    </row>
    <row r="41" hidden="1">
      <c r="A41" s="17" t="s">
        <v>1076</v>
      </c>
      <c r="B41" s="17" t="s">
        <v>2515</v>
      </c>
      <c r="C41" s="17" t="s">
        <v>1564</v>
      </c>
      <c r="D41" s="17" t="s">
        <v>1078</v>
      </c>
      <c r="E41" s="60" t="str">
        <f>VLOOKUP($A41,nist_names_ids!A:B,2,false)</f>
        <v>auperm</v>
      </c>
      <c r="F41" s="61">
        <f>countif(Constants!A:A,E41)</f>
        <v>1</v>
      </c>
      <c r="G41" s="62" t="str">
        <f t="shared" si="1"/>
        <v>1.11265005545e-10</v>
      </c>
      <c r="H41" s="62">
        <f t="shared" si="2"/>
        <v>0.0000000001112650055</v>
      </c>
      <c r="I41" s="62" t="str">
        <f t="shared" si="3"/>
        <v>0.00000000017e-10</v>
      </c>
      <c r="J41" s="63">
        <f t="shared" si="4"/>
        <v>0</v>
      </c>
      <c r="K41" s="62" t="b">
        <f t="shared" si="5"/>
        <v>0</v>
      </c>
      <c r="L41" s="62" t="b">
        <f t="shared" si="6"/>
        <v>0</v>
      </c>
      <c r="M41" s="60" t="str">
        <f>IFERROR(__xludf.DUMMYFUNCTION("if(regexmatch(B41,""e(.*)$""),regexextract(B41,""e(.*)$""),"""")"),"-10")</f>
        <v>-10</v>
      </c>
    </row>
    <row r="42" hidden="1">
      <c r="A42" s="17" t="s">
        <v>1090</v>
      </c>
      <c r="B42" s="17" t="s">
        <v>2521</v>
      </c>
      <c r="C42" s="17" t="s">
        <v>2522</v>
      </c>
      <c r="D42" s="17" t="s">
        <v>520</v>
      </c>
      <c r="E42" s="60" t="str">
        <f>VLOOKUP($A42,nist_names_ids!A:B,2,false)</f>
        <v>aut</v>
      </c>
      <c r="F42" s="61">
        <f>countif(Constants!A:A,E42)</f>
        <v>1</v>
      </c>
      <c r="G42" s="62" t="str">
        <f t="shared" si="1"/>
        <v>2.4188843265857e-17</v>
      </c>
      <c r="H42" s="62">
        <f t="shared" si="2"/>
        <v>0</v>
      </c>
      <c r="I42" s="62" t="str">
        <f t="shared" si="3"/>
        <v>0.0000000000047e-17</v>
      </c>
      <c r="J42" s="63">
        <f t="shared" si="4"/>
        <v>0</v>
      </c>
      <c r="K42" s="62" t="b">
        <f t="shared" si="5"/>
        <v>0</v>
      </c>
      <c r="L42" s="62" t="b">
        <f t="shared" si="6"/>
        <v>0</v>
      </c>
      <c r="M42" s="60" t="str">
        <f>IFERROR(__xludf.DUMMYFUNCTION("if(regexmatch(B42,""e(.*)$""),regexextract(B42,""e(.*)$""),"""")"),"-17")</f>
        <v>-17</v>
      </c>
    </row>
    <row r="43" hidden="1">
      <c r="A43" s="17" t="s">
        <v>1107</v>
      </c>
      <c r="B43" s="17" t="s">
        <v>2526</v>
      </c>
      <c r="C43" s="17" t="s">
        <v>2527</v>
      </c>
      <c r="D43" s="17" t="s">
        <v>1109</v>
      </c>
      <c r="E43" s="60" t="str">
        <f>VLOOKUP($A43,nist_names_ids!A:B,2,false)</f>
        <v>auvel</v>
      </c>
      <c r="F43" s="61">
        <f>countif(Constants!A:A,E43)</f>
        <v>1</v>
      </c>
      <c r="G43" s="62" t="str">
        <f t="shared" si="1"/>
        <v>2.18769126364e6</v>
      </c>
      <c r="H43" s="62">
        <f t="shared" si="2"/>
        <v>2187691.264</v>
      </c>
      <c r="I43" s="62" t="str">
        <f t="shared" si="3"/>
        <v>0.00000000033e6</v>
      </c>
      <c r="J43" s="63">
        <f t="shared" si="4"/>
        <v>0.00033</v>
      </c>
      <c r="K43" s="62" t="b">
        <f t="shared" si="5"/>
        <v>0</v>
      </c>
      <c r="L43" s="62" t="b">
        <f t="shared" si="6"/>
        <v>0</v>
      </c>
      <c r="M43" s="60" t="str">
        <f>IFERROR(__xludf.DUMMYFUNCTION("if(regexmatch(B43,""e(.*)$""),regexextract(B43,""e(.*)$""),"""")"),"6")</f>
        <v>6</v>
      </c>
    </row>
    <row r="44">
      <c r="A44" s="17" t="s">
        <v>1125</v>
      </c>
      <c r="B44" s="17" t="s">
        <v>2531</v>
      </c>
      <c r="C44" s="17" t="s">
        <v>1501</v>
      </c>
      <c r="D44" s="17" t="s">
        <v>1127</v>
      </c>
      <c r="E44" s="60" t="str">
        <f>VLOOKUP($A44,nist_names_ids!A:B,2,false)</f>
        <v>na</v>
      </c>
      <c r="F44" s="61">
        <f>countif(Constants!A:A,E44)</f>
        <v>1</v>
      </c>
      <c r="G44" s="62" t="str">
        <f t="shared" si="1"/>
        <v>6.02214076e23</v>
      </c>
      <c r="H44" s="62">
        <f t="shared" si="2"/>
        <v>6.02214E+23</v>
      </c>
      <c r="I44" s="62" t="str">
        <f t="shared" si="3"/>
        <v>(exact)</v>
      </c>
      <c r="J44" s="63" t="str">
        <f t="shared" si="4"/>
        <v/>
      </c>
      <c r="K44" s="62" t="b">
        <f t="shared" si="5"/>
        <v>1</v>
      </c>
      <c r="L44" s="62" t="b">
        <f t="shared" si="6"/>
        <v>0</v>
      </c>
      <c r="M44" s="60" t="str">
        <f>IFERROR(__xludf.DUMMYFUNCTION("if(regexmatch(B44,""e(.*)$""),regexextract(B44,""e(.*)$""),"""")"),"23")</f>
        <v>23</v>
      </c>
    </row>
    <row r="45" hidden="1">
      <c r="A45" s="17" t="s">
        <v>1146</v>
      </c>
      <c r="B45" s="17" t="s">
        <v>2542</v>
      </c>
      <c r="C45" s="17" t="s">
        <v>2543</v>
      </c>
      <c r="D45" s="17" t="s">
        <v>964</v>
      </c>
      <c r="E45" s="60" t="str">
        <f>VLOOKUP($A45,nist_names_ids!A:B,2,false)</f>
        <v>mub</v>
      </c>
      <c r="F45" s="61">
        <f>countif(Constants!A:A,E45)</f>
        <v>1</v>
      </c>
      <c r="G45" s="62" t="str">
        <f t="shared" si="1"/>
        <v>9.2740100783e-24</v>
      </c>
      <c r="H45" s="62">
        <f t="shared" si="2"/>
        <v>0</v>
      </c>
      <c r="I45" s="62" t="str">
        <f t="shared" si="3"/>
        <v>0.0000000028e-24</v>
      </c>
      <c r="J45" s="63">
        <f t="shared" si="4"/>
        <v>0</v>
      </c>
      <c r="K45" s="62" t="b">
        <f t="shared" si="5"/>
        <v>0</v>
      </c>
      <c r="L45" s="62" t="b">
        <f t="shared" si="6"/>
        <v>0</v>
      </c>
      <c r="M45" s="60" t="str">
        <f>IFERROR(__xludf.DUMMYFUNCTION("if(regexmatch(B45,""e(.*)$""),regexextract(B45,""e(.*)$""),"""")"),"-24")</f>
        <v>-24</v>
      </c>
    </row>
    <row r="46" hidden="1">
      <c r="A46" s="17" t="s">
        <v>1162</v>
      </c>
      <c r="B46" s="17" t="s">
        <v>2549</v>
      </c>
      <c r="C46" s="17" t="s">
        <v>2550</v>
      </c>
      <c r="D46" s="17" t="s">
        <v>1165</v>
      </c>
      <c r="E46" s="60" t="str">
        <f>VLOOKUP($A46,nist_names_ids!A:B,2,false)</f>
        <v>mubev</v>
      </c>
      <c r="F46" s="61">
        <f>countif(Constants!A:A,E46)</f>
        <v>1</v>
      </c>
      <c r="G46" s="62" t="str">
        <f t="shared" si="1"/>
        <v>5.7883818060e-5</v>
      </c>
      <c r="H46" s="62">
        <f t="shared" si="2"/>
        <v>0.00005788381806</v>
      </c>
      <c r="I46" s="62" t="str">
        <f t="shared" si="3"/>
        <v>0.0000000017e-5</v>
      </c>
      <c r="J46" s="63">
        <f t="shared" si="4"/>
        <v>0</v>
      </c>
      <c r="K46" s="62" t="b">
        <f t="shared" si="5"/>
        <v>0</v>
      </c>
      <c r="L46" s="62" t="b">
        <f t="shared" si="6"/>
        <v>0</v>
      </c>
      <c r="M46" s="60" t="str">
        <f>IFERROR(__xludf.DUMMYFUNCTION("if(regexmatch(B46,""e(.*)$""),regexextract(B46,""e(.*)$""),"""")"),"-5")</f>
        <v>-5</v>
      </c>
    </row>
    <row r="47" hidden="1">
      <c r="A47" s="17" t="s">
        <v>1184</v>
      </c>
      <c r="B47" s="17" t="s">
        <v>2554</v>
      </c>
      <c r="C47" s="17" t="s">
        <v>2555</v>
      </c>
      <c r="D47" s="17" t="s">
        <v>1186</v>
      </c>
      <c r="E47" s="60" t="str">
        <f>VLOOKUP($A47,nist_names_ids!A:B,2,false)</f>
        <v>mubshhz</v>
      </c>
      <c r="F47" s="61">
        <f>countif(Constants!A:A,E47)</f>
        <v>1</v>
      </c>
      <c r="G47" s="62" t="str">
        <f t="shared" si="1"/>
        <v>1.39962449361e10</v>
      </c>
      <c r="H47" s="62">
        <f t="shared" si="2"/>
        <v>13996244936</v>
      </c>
      <c r="I47" s="62" t="str">
        <f t="shared" si="3"/>
        <v>0.00000000042e10</v>
      </c>
      <c r="J47" s="63">
        <f t="shared" si="4"/>
        <v>4.2</v>
      </c>
      <c r="K47" s="62" t="b">
        <f t="shared" si="5"/>
        <v>0</v>
      </c>
      <c r="L47" s="62" t="b">
        <f t="shared" si="6"/>
        <v>0</v>
      </c>
      <c r="M47" s="60" t="str">
        <f>IFERROR(__xludf.DUMMYFUNCTION("if(regexmatch(B47,""e(.*)$""),regexextract(B47,""e(.*)$""),"""")"),"10")</f>
        <v>10</v>
      </c>
    </row>
    <row r="48" hidden="1">
      <c r="A48" s="17" t="s">
        <v>1203</v>
      </c>
      <c r="B48" s="17" t="s">
        <v>2562</v>
      </c>
      <c r="C48" s="17" t="s">
        <v>2563</v>
      </c>
      <c r="D48" s="17" t="s">
        <v>1205</v>
      </c>
      <c r="E48" s="60" t="str">
        <f>VLOOKUP($A48,nist_names_ids!A:B,2,false)</f>
        <v>mubshcminv</v>
      </c>
      <c r="F48" s="61">
        <f>countif(Constants!A:A,E48)</f>
        <v>1</v>
      </c>
      <c r="G48" s="62" t="str">
        <f t="shared" si="1"/>
        <v>46.686447783</v>
      </c>
      <c r="H48" s="62">
        <f t="shared" si="2"/>
        <v>46.68644778</v>
      </c>
      <c r="I48" s="62" t="str">
        <f t="shared" si="3"/>
        <v>0.000000014</v>
      </c>
      <c r="J48" s="63">
        <f t="shared" si="4"/>
        <v>0.000000014</v>
      </c>
      <c r="K48" s="62" t="b">
        <f t="shared" si="5"/>
        <v>0</v>
      </c>
      <c r="L48" s="62" t="b">
        <f t="shared" si="6"/>
        <v>0</v>
      </c>
      <c r="M48" s="60" t="str">
        <f>IFERROR(__xludf.DUMMYFUNCTION("if(regexmatch(B48,""e(.*)$""),regexextract(B48,""e(.*)$""),"""")"),"")</f>
        <v/>
      </c>
    </row>
    <row r="49" hidden="1">
      <c r="A49" s="17" t="s">
        <v>1224</v>
      </c>
      <c r="B49" s="17" t="s">
        <v>2570</v>
      </c>
      <c r="C49" s="17" t="s">
        <v>2571</v>
      </c>
      <c r="D49" s="17" t="s">
        <v>1226</v>
      </c>
      <c r="E49" s="60" t="str">
        <f>VLOOKUP($A49,nist_names_ids!A:B,2,false)</f>
        <v>mubskk</v>
      </c>
      <c r="F49" s="61">
        <f>countif(Constants!A:A,E49)</f>
        <v>1</v>
      </c>
      <c r="G49" s="62" t="str">
        <f t="shared" si="1"/>
        <v>0.67171381563</v>
      </c>
      <c r="H49" s="62">
        <f t="shared" si="2"/>
        <v>0.6717138156</v>
      </c>
      <c r="I49" s="62" t="str">
        <f t="shared" si="3"/>
        <v>0.00000000020</v>
      </c>
      <c r="J49" s="63">
        <f t="shared" si="4"/>
        <v>0.0000000002</v>
      </c>
      <c r="K49" s="62" t="b">
        <f t="shared" si="5"/>
        <v>0</v>
      </c>
      <c r="L49" s="62" t="b">
        <f t="shared" si="6"/>
        <v>0</v>
      </c>
      <c r="M49" s="60" t="str">
        <f>IFERROR(__xludf.DUMMYFUNCTION("if(regexmatch(B49,""e(.*)$""),regexextract(B49,""e(.*)$""),"""")"),"")</f>
        <v/>
      </c>
    </row>
    <row r="50" hidden="1">
      <c r="A50" s="17" t="s">
        <v>1240</v>
      </c>
      <c r="B50" s="17" t="s">
        <v>2485</v>
      </c>
      <c r="C50" s="17" t="s">
        <v>2487</v>
      </c>
      <c r="D50" s="17" t="s">
        <v>381</v>
      </c>
      <c r="E50" s="60" t="str">
        <f>VLOOKUP($A50,nist_names_ids!A:B,2,false)</f>
        <v>bohrrada0</v>
      </c>
      <c r="F50" s="61">
        <f>countif(Constants!A:A,E50)</f>
        <v>1</v>
      </c>
      <c r="G50" s="62" t="str">
        <f t="shared" si="1"/>
        <v>5.29177210903e-11</v>
      </c>
      <c r="H50" s="62">
        <f t="shared" si="2"/>
        <v>0</v>
      </c>
      <c r="I50" s="62" t="str">
        <f t="shared" si="3"/>
        <v>0.00000000080e-11</v>
      </c>
      <c r="J50" s="63">
        <f t="shared" si="4"/>
        <v>0</v>
      </c>
      <c r="K50" s="62" t="b">
        <f t="shared" si="5"/>
        <v>0</v>
      </c>
      <c r="L50" s="62" t="b">
        <f t="shared" si="6"/>
        <v>0</v>
      </c>
      <c r="M50" s="60" t="str">
        <f>IFERROR(__xludf.DUMMYFUNCTION("if(regexmatch(B50,""e(.*)$""),regexextract(B50,""e(.*)$""),"""")"),"-11")</f>
        <v>-11</v>
      </c>
    </row>
    <row r="51">
      <c r="A51" s="17" t="s">
        <v>1258</v>
      </c>
      <c r="B51" s="17" t="s">
        <v>2581</v>
      </c>
      <c r="C51" s="17" t="s">
        <v>1501</v>
      </c>
      <c r="D51" s="17" t="s">
        <v>1260</v>
      </c>
      <c r="E51" s="60" t="str">
        <f>VLOOKUP($A51,nist_names_ids!A:B,2,false)</f>
        <v>k</v>
      </c>
      <c r="F51" s="61">
        <f>countif(Constants!A:A,E51)</f>
        <v>1</v>
      </c>
      <c r="G51" s="62" t="str">
        <f t="shared" si="1"/>
        <v>1.380649e-23</v>
      </c>
      <c r="H51" s="62">
        <f t="shared" si="2"/>
        <v>0</v>
      </c>
      <c r="I51" s="62" t="str">
        <f t="shared" si="3"/>
        <v>(exact)</v>
      </c>
      <c r="J51" s="63" t="str">
        <f t="shared" si="4"/>
        <v/>
      </c>
      <c r="K51" s="62" t="b">
        <f t="shared" si="5"/>
        <v>1</v>
      </c>
      <c r="L51" s="62" t="b">
        <f t="shared" si="6"/>
        <v>0</v>
      </c>
      <c r="M51" s="60" t="str">
        <f>IFERROR(__xludf.DUMMYFUNCTION("if(regexmatch(B51,""e(.*)$""),regexextract(B51,""e(.*)$""),"""")"),"-23")</f>
        <v>-23</v>
      </c>
    </row>
    <row r="52">
      <c r="A52" s="17" t="s">
        <v>1279</v>
      </c>
      <c r="B52" s="17" t="s">
        <v>2585</v>
      </c>
      <c r="C52" s="17" t="s">
        <v>1501</v>
      </c>
      <c r="D52" s="17" t="s">
        <v>1283</v>
      </c>
      <c r="E52" s="60" t="str">
        <f>VLOOKUP($A52,nist_names_ids!A:B,2,false)</f>
        <v>tkev</v>
      </c>
      <c r="F52" s="61">
        <f>countif(Constants!A:A,E52)</f>
        <v>1</v>
      </c>
      <c r="G52" s="62" t="str">
        <f t="shared" si="1"/>
        <v>8.617333262e-5</v>
      </c>
      <c r="H52" s="62">
        <f t="shared" si="2"/>
        <v>0.00008617333262</v>
      </c>
      <c r="I52" s="62" t="str">
        <f t="shared" si="3"/>
        <v>(exact)</v>
      </c>
      <c r="J52" s="63" t="str">
        <f t="shared" si="4"/>
        <v/>
      </c>
      <c r="K52" s="62" t="b">
        <f t="shared" si="5"/>
        <v>1</v>
      </c>
      <c r="L52" s="62" t="b">
        <f t="shared" si="6"/>
        <v>1</v>
      </c>
      <c r="M52" s="60" t="str">
        <f>IFERROR(__xludf.DUMMYFUNCTION("if(regexmatch(B52,""e(.*)$""),regexextract(B52,""e(.*)$""),"""")"),"-5")</f>
        <v>-5</v>
      </c>
    </row>
    <row r="53">
      <c r="A53" s="17" t="s">
        <v>1301</v>
      </c>
      <c r="B53" s="17" t="s">
        <v>2590</v>
      </c>
      <c r="C53" s="17" t="s">
        <v>1501</v>
      </c>
      <c r="D53" s="17" t="s">
        <v>1303</v>
      </c>
      <c r="E53" s="60" t="str">
        <f>VLOOKUP($A53,nist_names_ids!A:B,2,false)</f>
        <v>kshhz</v>
      </c>
      <c r="F53" s="61">
        <f>countif(Constants!A:A,E53)</f>
        <v>1</v>
      </c>
      <c r="G53" s="62" t="str">
        <f t="shared" si="1"/>
        <v>2.083661912e10</v>
      </c>
      <c r="H53" s="62">
        <f t="shared" si="2"/>
        <v>20836619120</v>
      </c>
      <c r="I53" s="62" t="str">
        <f t="shared" si="3"/>
        <v>(exact)</v>
      </c>
      <c r="J53" s="63" t="str">
        <f t="shared" si="4"/>
        <v/>
      </c>
      <c r="K53" s="62" t="b">
        <f t="shared" si="5"/>
        <v>1</v>
      </c>
      <c r="L53" s="62" t="b">
        <f t="shared" si="6"/>
        <v>1</v>
      </c>
      <c r="M53" s="60" t="str">
        <f>IFERROR(__xludf.DUMMYFUNCTION("if(regexmatch(B53,""e(.*)$""),regexextract(B53,""e(.*)$""),"""")"),"10")</f>
        <v>10</v>
      </c>
    </row>
    <row r="54">
      <c r="A54" s="17" t="s">
        <v>1319</v>
      </c>
      <c r="B54" s="17" t="s">
        <v>2596</v>
      </c>
      <c r="C54" s="17" t="s">
        <v>1501</v>
      </c>
      <c r="D54" s="17" t="s">
        <v>1321</v>
      </c>
      <c r="E54" s="60" t="str">
        <f>VLOOKUP($A54,nist_names_ids!A:B,2,false)</f>
        <v>kshcminv</v>
      </c>
      <c r="F54" s="61">
        <f>countif(Constants!A:A,E54)</f>
        <v>1</v>
      </c>
      <c r="G54" s="62" t="str">
        <f t="shared" si="1"/>
        <v>69.50348004</v>
      </c>
      <c r="H54" s="62">
        <f t="shared" si="2"/>
        <v>69.50348004</v>
      </c>
      <c r="I54" s="62" t="str">
        <f t="shared" si="3"/>
        <v>(exact)</v>
      </c>
      <c r="J54" s="63" t="str">
        <f t="shared" si="4"/>
        <v/>
      </c>
      <c r="K54" s="62" t="b">
        <f t="shared" si="5"/>
        <v>1</v>
      </c>
      <c r="L54" s="62" t="b">
        <f t="shared" si="6"/>
        <v>1</v>
      </c>
      <c r="M54" s="60" t="str">
        <f>IFERROR(__xludf.DUMMYFUNCTION("if(regexmatch(B54,""e(.*)$""),regexextract(B54,""e(.*)$""),"""")"),"")</f>
        <v/>
      </c>
    </row>
    <row r="55" hidden="1">
      <c r="A55" s="17" t="s">
        <v>1335</v>
      </c>
      <c r="B55" s="17" t="s">
        <v>2600</v>
      </c>
      <c r="C55" s="17" t="s">
        <v>2601</v>
      </c>
      <c r="D55" s="17" t="s">
        <v>500</v>
      </c>
      <c r="E55" s="60" t="str">
        <f>VLOOKUP($A55,nist_names_ids!A:B,2,false)</f>
        <v>z0</v>
      </c>
      <c r="F55" s="61">
        <f>countif(Constants!A:A,E55)</f>
        <v>1</v>
      </c>
      <c r="G55" s="62" t="str">
        <f t="shared" si="1"/>
        <v>376.730313668</v>
      </c>
      <c r="H55" s="62">
        <f t="shared" si="2"/>
        <v>376.7303137</v>
      </c>
      <c r="I55" s="62" t="str">
        <f t="shared" si="3"/>
        <v>0.000000057</v>
      </c>
      <c r="J55" s="63">
        <f t="shared" si="4"/>
        <v>0.000000057</v>
      </c>
      <c r="K55" s="62" t="b">
        <f t="shared" si="5"/>
        <v>0</v>
      </c>
      <c r="L55" s="62" t="b">
        <f t="shared" si="6"/>
        <v>0</v>
      </c>
      <c r="M55" s="60" t="str">
        <f>IFERROR(__xludf.DUMMYFUNCTION("if(regexmatch(B55,""e(.*)$""),regexextract(B55,""e(.*)$""),"""")"),"")</f>
        <v/>
      </c>
    </row>
    <row r="56" hidden="1">
      <c r="A56" s="17" t="s">
        <v>1351</v>
      </c>
      <c r="B56" s="17" t="s">
        <v>2604</v>
      </c>
      <c r="C56" s="17" t="s">
        <v>1637</v>
      </c>
      <c r="D56" s="17" t="s">
        <v>381</v>
      </c>
      <c r="E56" s="60" t="str">
        <f>VLOOKUP($A56,nist_names_ids!A:B,2,false)</f>
        <v>re</v>
      </c>
      <c r="F56" s="61">
        <f>countif(Constants!A:A,E56)</f>
        <v>1</v>
      </c>
      <c r="G56" s="62" t="str">
        <f t="shared" si="1"/>
        <v>2.8179403262e-15</v>
      </c>
      <c r="H56" s="62">
        <f t="shared" si="2"/>
        <v>0</v>
      </c>
      <c r="I56" s="62" t="str">
        <f t="shared" si="3"/>
        <v>0.0000000013e-15</v>
      </c>
      <c r="J56" s="63">
        <f t="shared" si="4"/>
        <v>0</v>
      </c>
      <c r="K56" s="62" t="b">
        <f t="shared" si="5"/>
        <v>0</v>
      </c>
      <c r="L56" s="62" t="b">
        <f t="shared" si="6"/>
        <v>0</v>
      </c>
      <c r="M56" s="60" t="str">
        <f>IFERROR(__xludf.DUMMYFUNCTION("if(regexmatch(B56,""e(.*)$""),regexextract(B56,""e(.*)$""),"""")"),"-15")</f>
        <v>-15</v>
      </c>
    </row>
    <row r="57" hidden="1">
      <c r="A57" s="17" t="s">
        <v>1371</v>
      </c>
      <c r="B57" s="17" t="s">
        <v>2610</v>
      </c>
      <c r="C57" s="17" t="s">
        <v>2612</v>
      </c>
      <c r="D57" s="17" t="s">
        <v>381</v>
      </c>
      <c r="E57" s="60" t="str">
        <f>VLOOKUP($A57,nist_names_ids!A:B,2,false)</f>
        <v>ecomwl</v>
      </c>
      <c r="F57" s="61">
        <f>countif(Constants!A:A,E57)</f>
        <v>1</v>
      </c>
      <c r="G57" s="62" t="str">
        <f t="shared" si="1"/>
        <v>2.42631023867e-12</v>
      </c>
      <c r="H57" s="62">
        <f t="shared" si="2"/>
        <v>0</v>
      </c>
      <c r="I57" s="62" t="str">
        <f t="shared" si="3"/>
        <v>0.00000000073e-12</v>
      </c>
      <c r="J57" s="63">
        <f t="shared" si="4"/>
        <v>0</v>
      </c>
      <c r="K57" s="62" t="b">
        <f t="shared" si="5"/>
        <v>0</v>
      </c>
      <c r="L57" s="62" t="b">
        <f t="shared" si="6"/>
        <v>0</v>
      </c>
      <c r="M57" s="60" t="str">
        <f>IFERROR(__xludf.DUMMYFUNCTION("if(regexmatch(B57,""e(.*)$""),regexextract(B57,""e(.*)$""),"""")"),"-12")</f>
        <v>-12</v>
      </c>
    </row>
    <row r="58">
      <c r="A58" s="17" t="s">
        <v>1388</v>
      </c>
      <c r="B58" s="17" t="s">
        <v>2617</v>
      </c>
      <c r="C58" s="17" t="s">
        <v>1501</v>
      </c>
      <c r="D58" s="17" t="s">
        <v>526</v>
      </c>
      <c r="E58" s="60" t="str">
        <f>VLOOKUP($A58,nist_names_ids!A:B,2,false)</f>
        <v>conqu2e2sh</v>
      </c>
      <c r="F58" s="61">
        <f>countif(Constants!A:A,E58)</f>
        <v>1</v>
      </c>
      <c r="G58" s="62" t="str">
        <f t="shared" si="1"/>
        <v>7.748091729e-5</v>
      </c>
      <c r="H58" s="62">
        <f t="shared" si="2"/>
        <v>0.00007748091729</v>
      </c>
      <c r="I58" s="62" t="str">
        <f t="shared" si="3"/>
        <v>(exact)</v>
      </c>
      <c r="J58" s="63" t="str">
        <f t="shared" si="4"/>
        <v/>
      </c>
      <c r="K58" s="62" t="b">
        <f t="shared" si="5"/>
        <v>1</v>
      </c>
      <c r="L58" s="62" t="b">
        <f t="shared" si="6"/>
        <v>1</v>
      </c>
      <c r="M58" s="60" t="str">
        <f>IFERROR(__xludf.DUMMYFUNCTION("if(regexmatch(B58,""e(.*)$""),regexextract(B58,""e(.*)$""),"""")"),"-5")</f>
        <v>-5</v>
      </c>
    </row>
    <row r="59">
      <c r="A59" s="17" t="s">
        <v>1401</v>
      </c>
      <c r="B59" s="17" t="s">
        <v>2620</v>
      </c>
      <c r="C59" s="17" t="s">
        <v>1501</v>
      </c>
      <c r="D59" s="17" t="s">
        <v>55</v>
      </c>
      <c r="E59" s="60" t="str">
        <f>VLOOKUP($A59,nist_names_ids!A:B,2,false)</f>
        <v>ampere90</v>
      </c>
      <c r="F59" s="61">
        <f>countif(Constants!A:A,E59)</f>
        <v>1</v>
      </c>
      <c r="G59" s="62" t="str">
        <f t="shared" si="1"/>
        <v>1.00000008887</v>
      </c>
      <c r="H59" s="62">
        <f t="shared" si="2"/>
        <v>1.000000089</v>
      </c>
      <c r="I59" s="62" t="str">
        <f t="shared" si="3"/>
        <v>(exact)</v>
      </c>
      <c r="J59" s="63" t="str">
        <f t="shared" si="4"/>
        <v/>
      </c>
      <c r="K59" s="62" t="b">
        <f t="shared" si="5"/>
        <v>1</v>
      </c>
      <c r="L59" s="62" t="b">
        <f t="shared" si="6"/>
        <v>1</v>
      </c>
      <c r="M59" s="60" t="str">
        <f>IFERROR(__xludf.DUMMYFUNCTION("if(regexmatch(B59,""e(.*)$""),regexextract(B59,""e(.*)$""),"""")"),"")</f>
        <v/>
      </c>
    </row>
    <row r="60">
      <c r="A60" s="17" t="s">
        <v>1404</v>
      </c>
      <c r="B60" s="17" t="s">
        <v>2620</v>
      </c>
      <c r="C60" s="17" t="s">
        <v>1501</v>
      </c>
      <c r="D60" s="17" t="s">
        <v>81</v>
      </c>
      <c r="E60" s="60" t="str">
        <f>VLOOKUP($A60,nist_names_ids!A:B,2,false)</f>
        <v>charge90</v>
      </c>
      <c r="F60" s="61">
        <f>countif(Constants!A:A,E60)</f>
        <v>1</v>
      </c>
      <c r="G60" s="62" t="str">
        <f t="shared" si="1"/>
        <v>1.00000008887</v>
      </c>
      <c r="H60" s="62">
        <f t="shared" si="2"/>
        <v>1.000000089</v>
      </c>
      <c r="I60" s="62" t="str">
        <f t="shared" si="3"/>
        <v>(exact)</v>
      </c>
      <c r="J60" s="63" t="str">
        <f t="shared" si="4"/>
        <v/>
      </c>
      <c r="K60" s="62" t="b">
        <f t="shared" si="5"/>
        <v>1</v>
      </c>
      <c r="L60" s="62" t="b">
        <f t="shared" si="6"/>
        <v>1</v>
      </c>
      <c r="M60" s="60" t="str">
        <f>IFERROR(__xludf.DUMMYFUNCTION("if(regexmatch(B60,""e(.*)$""),regexextract(B60,""e(.*)$""),"""")"),"")</f>
        <v/>
      </c>
    </row>
    <row r="61">
      <c r="A61" s="17" t="s">
        <v>1422</v>
      </c>
      <c r="B61" s="17" t="s">
        <v>2626</v>
      </c>
      <c r="C61" s="17" t="s">
        <v>1501</v>
      </c>
      <c r="D61" s="17" t="s">
        <v>205</v>
      </c>
      <c r="E61" s="60" t="str">
        <f>VLOOKUP($A61,nist_names_ids!A:B,2,false)</f>
        <v>capacitance90</v>
      </c>
      <c r="F61" s="61">
        <f>countif(Constants!A:A,E61)</f>
        <v>1</v>
      </c>
      <c r="G61" s="62" t="str">
        <f t="shared" si="1"/>
        <v>0.99999998220</v>
      </c>
      <c r="H61" s="62">
        <f t="shared" si="2"/>
        <v>0.9999999822</v>
      </c>
      <c r="I61" s="62" t="str">
        <f t="shared" si="3"/>
        <v>(exact)</v>
      </c>
      <c r="J61" s="63" t="str">
        <f t="shared" si="4"/>
        <v/>
      </c>
      <c r="K61" s="62" t="b">
        <f t="shared" si="5"/>
        <v>1</v>
      </c>
      <c r="L61" s="62" t="b">
        <f t="shared" si="6"/>
        <v>1</v>
      </c>
      <c r="M61" s="60" t="str">
        <f>IFERROR(__xludf.DUMMYFUNCTION("if(regexmatch(B61,""e(.*)$""),regexextract(B61,""e(.*)$""),"""")"),"")</f>
        <v/>
      </c>
    </row>
    <row r="62">
      <c r="A62" s="17" t="s">
        <v>1431</v>
      </c>
      <c r="B62" s="17" t="s">
        <v>2632</v>
      </c>
      <c r="C62" s="17" t="s">
        <v>1501</v>
      </c>
      <c r="D62" s="17" t="s">
        <v>248</v>
      </c>
      <c r="E62" s="60" t="str">
        <f>VLOOKUP($A62,nist_names_ids!A:B,2,false)</f>
        <v>inductance90</v>
      </c>
      <c r="F62" s="61">
        <f>countif(Constants!A:A,E62)</f>
        <v>1</v>
      </c>
      <c r="G62" s="62" t="str">
        <f t="shared" si="1"/>
        <v>1.00000001779</v>
      </c>
      <c r="H62" s="62">
        <f t="shared" si="2"/>
        <v>1.000000018</v>
      </c>
      <c r="I62" s="62" t="str">
        <f t="shared" si="3"/>
        <v>(exact)</v>
      </c>
      <c r="J62" s="63" t="str">
        <f t="shared" si="4"/>
        <v/>
      </c>
      <c r="K62" s="62" t="b">
        <f t="shared" si="5"/>
        <v>1</v>
      </c>
      <c r="L62" s="62" t="b">
        <f t="shared" si="6"/>
        <v>1</v>
      </c>
      <c r="M62" s="60" t="str">
        <f>IFERROR(__xludf.DUMMYFUNCTION("if(regexmatch(B62,""e(.*)$""),regexextract(B62,""e(.*)$""),"""")"),"")</f>
        <v/>
      </c>
    </row>
    <row r="63">
      <c r="A63" s="17" t="s">
        <v>1445</v>
      </c>
      <c r="B63" s="17" t="s">
        <v>2635</v>
      </c>
      <c r="C63" s="17" t="s">
        <v>1501</v>
      </c>
      <c r="D63" s="17" t="s">
        <v>1447</v>
      </c>
      <c r="E63" s="60" t="str">
        <f>VLOOKUP($A63,nist_names_ids!A:B,2,false)</f>
        <v>kj90</v>
      </c>
      <c r="F63" s="61">
        <f>countif(Constants!A:A,E63)</f>
        <v>1</v>
      </c>
      <c r="G63" s="62" t="str">
        <f t="shared" si="1"/>
        <v>483597.9e9</v>
      </c>
      <c r="H63" s="62">
        <f t="shared" si="2"/>
        <v>483597900000000</v>
      </c>
      <c r="I63" s="62" t="str">
        <f t="shared" si="3"/>
        <v>(exact)</v>
      </c>
      <c r="J63" s="63" t="str">
        <f t="shared" si="4"/>
        <v/>
      </c>
      <c r="K63" s="62" t="b">
        <f t="shared" si="5"/>
        <v>1</v>
      </c>
      <c r="L63" s="62" t="b">
        <f t="shared" si="6"/>
        <v>0</v>
      </c>
      <c r="M63" s="60" t="str">
        <f>IFERROR(__xludf.DUMMYFUNCTION("if(regexmatch(B63,""e(.*)$""),regexextract(B63,""e(.*)$""),"""")"),"9")</f>
        <v>9</v>
      </c>
    </row>
    <row r="64">
      <c r="A64" s="17" t="s">
        <v>1455</v>
      </c>
      <c r="B64" s="17" t="s">
        <v>2632</v>
      </c>
      <c r="C64" s="17" t="s">
        <v>1501</v>
      </c>
      <c r="D64" s="17" t="s">
        <v>500</v>
      </c>
      <c r="E64" s="60" t="str">
        <f>VLOOKUP($A64,nist_names_ids!A:B,2,false)</f>
        <v>ohm90</v>
      </c>
      <c r="F64" s="61">
        <f>countif(Constants!A:A,E64)</f>
        <v>1</v>
      </c>
      <c r="G64" s="62" t="str">
        <f t="shared" si="1"/>
        <v>1.00000001779</v>
      </c>
      <c r="H64" s="62">
        <f t="shared" si="2"/>
        <v>1.000000018</v>
      </c>
      <c r="I64" s="62" t="str">
        <f t="shared" si="3"/>
        <v>(exact)</v>
      </c>
      <c r="J64" s="63" t="str">
        <f t="shared" si="4"/>
        <v/>
      </c>
      <c r="K64" s="62" t="b">
        <f t="shared" si="5"/>
        <v>1</v>
      </c>
      <c r="L64" s="62" t="b">
        <f t="shared" si="6"/>
        <v>1</v>
      </c>
      <c r="M64" s="60" t="str">
        <f>IFERROR(__xludf.DUMMYFUNCTION("if(regexmatch(B64,""e(.*)$""),regexextract(B64,""e(.*)$""),"""")"),"")</f>
        <v/>
      </c>
    </row>
    <row r="65">
      <c r="A65" s="17" t="s">
        <v>1471</v>
      </c>
      <c r="B65" s="17" t="s">
        <v>2643</v>
      </c>
      <c r="C65" s="17" t="s">
        <v>1501</v>
      </c>
      <c r="D65" s="17" t="s">
        <v>546</v>
      </c>
      <c r="E65" s="60" t="str">
        <f>VLOOKUP($A65,nist_names_ids!A:B,2,false)</f>
        <v>volt90</v>
      </c>
      <c r="F65" s="61">
        <f>countif(Constants!A:A,E65)</f>
        <v>1</v>
      </c>
      <c r="G65" s="62" t="str">
        <f t="shared" si="1"/>
        <v>1.00000010666</v>
      </c>
      <c r="H65" s="62">
        <f t="shared" si="2"/>
        <v>1.000000107</v>
      </c>
      <c r="I65" s="62" t="str">
        <f t="shared" si="3"/>
        <v>(exact)</v>
      </c>
      <c r="J65" s="63" t="str">
        <f t="shared" si="4"/>
        <v/>
      </c>
      <c r="K65" s="62" t="b">
        <f t="shared" si="5"/>
        <v>1</v>
      </c>
      <c r="L65" s="62" t="b">
        <f t="shared" si="6"/>
        <v>1</v>
      </c>
      <c r="M65" s="60" t="str">
        <f>IFERROR(__xludf.DUMMYFUNCTION("if(regexmatch(B65,""e(.*)$""),regexextract(B65,""e(.*)$""),"""")"),"")</f>
        <v/>
      </c>
    </row>
    <row r="66">
      <c r="A66" s="17" t="s">
        <v>1722</v>
      </c>
      <c r="B66" s="17" t="s">
        <v>2647</v>
      </c>
      <c r="C66" s="17" t="s">
        <v>1501</v>
      </c>
      <c r="D66" s="17" t="s">
        <v>500</v>
      </c>
      <c r="E66" s="60" t="str">
        <f>VLOOKUP($A66,nist_names_ids!A:B,2,false)</f>
        <v>rk90</v>
      </c>
      <c r="F66" s="61">
        <f>countif(Constants!A:A,E66)</f>
        <v>1</v>
      </c>
      <c r="G66" s="62" t="str">
        <f t="shared" si="1"/>
        <v>25812.807</v>
      </c>
      <c r="H66" s="62">
        <f t="shared" si="2"/>
        <v>25812.807</v>
      </c>
      <c r="I66" s="62" t="str">
        <f t="shared" si="3"/>
        <v>(exact)</v>
      </c>
      <c r="J66" s="63" t="str">
        <f t="shared" si="4"/>
        <v/>
      </c>
      <c r="K66" s="62" t="b">
        <f t="shared" si="5"/>
        <v>1</v>
      </c>
      <c r="L66" s="62" t="b">
        <f t="shared" si="6"/>
        <v>0</v>
      </c>
      <c r="M66" s="60" t="str">
        <f>IFERROR(__xludf.DUMMYFUNCTION("if(regexmatch(B66,""e(.*)$""),regexextract(B66,""e(.*)$""),"""")"),"")</f>
        <v/>
      </c>
    </row>
    <row r="67">
      <c r="A67" s="17" t="s">
        <v>1492</v>
      </c>
      <c r="B67" s="17" t="s">
        <v>2651</v>
      </c>
      <c r="C67" s="17" t="s">
        <v>1501</v>
      </c>
      <c r="D67" s="17" t="s">
        <v>577</v>
      </c>
      <c r="E67" s="60" t="str">
        <f>VLOOKUP($A67,nist_names_ids!A:B,2,false)</f>
        <v>power90</v>
      </c>
      <c r="F67" s="61">
        <f>countif(Constants!A:A,E67)</f>
        <v>1</v>
      </c>
      <c r="G67" s="62" t="str">
        <f t="shared" si="1"/>
        <v>1.00000019553</v>
      </c>
      <c r="H67" s="62">
        <f t="shared" si="2"/>
        <v>1.000000196</v>
      </c>
      <c r="I67" s="62" t="str">
        <f t="shared" si="3"/>
        <v>(exact)</v>
      </c>
      <c r="J67" s="63" t="str">
        <f t="shared" si="4"/>
        <v/>
      </c>
      <c r="K67" s="62" t="b">
        <f t="shared" si="5"/>
        <v>1</v>
      </c>
      <c r="L67" s="62" t="b">
        <f t="shared" si="6"/>
        <v>1</v>
      </c>
      <c r="M67" s="60" t="str">
        <f>IFERROR(__xludf.DUMMYFUNCTION("if(regexmatch(B67,""e(.*)$""),regexextract(B67,""e(.*)$""),"""")"),"")</f>
        <v/>
      </c>
    </row>
    <row r="68" hidden="1">
      <c r="A68" s="17" t="s">
        <v>1504</v>
      </c>
      <c r="B68" s="17" t="s">
        <v>2657</v>
      </c>
      <c r="C68" s="17" t="s">
        <v>1727</v>
      </c>
      <c r="D68" s="17" t="s">
        <v>381</v>
      </c>
      <c r="E68" s="60" t="str">
        <f>VLOOKUP($A68,nist_names_ids!A:B,2,false)</f>
        <v>xucukalph1</v>
      </c>
      <c r="F68" s="61">
        <f>countif(Constants!A:A,E68)</f>
        <v>1</v>
      </c>
      <c r="G68" s="62" t="str">
        <f t="shared" si="1"/>
        <v>1.00207697e-13</v>
      </c>
      <c r="H68" s="62">
        <f t="shared" si="2"/>
        <v>0</v>
      </c>
      <c r="I68" s="62" t="str">
        <f t="shared" si="3"/>
        <v>0.00000028e-13</v>
      </c>
      <c r="J68" s="63">
        <f t="shared" si="4"/>
        <v>0</v>
      </c>
      <c r="K68" s="62" t="b">
        <f t="shared" si="5"/>
        <v>0</v>
      </c>
      <c r="L68" s="62" t="b">
        <f t="shared" si="6"/>
        <v>0</v>
      </c>
      <c r="M68" s="60" t="str">
        <f>IFERROR(__xludf.DUMMYFUNCTION("if(regexmatch(B68,""e(.*)$""),regexextract(B68,""e(.*)$""),"""")"),"-13")</f>
        <v>-13</v>
      </c>
    </row>
    <row r="69" hidden="1">
      <c r="A69" s="17" t="s">
        <v>1734</v>
      </c>
      <c r="B69" s="17" t="s">
        <v>2661</v>
      </c>
      <c r="C69" s="17" t="s">
        <v>1736</v>
      </c>
      <c r="E69" s="60" t="str">
        <f>VLOOKUP($A69,nist_names_ids!A:B,2,false)</f>
        <v>mudsmuem</v>
      </c>
      <c r="F69" s="61">
        <f>countif(Constants!A:A,E69)</f>
        <v>1</v>
      </c>
      <c r="G69" s="62" t="str">
        <f t="shared" si="1"/>
        <v>-4.664345551e-4</v>
      </c>
      <c r="H69" s="62">
        <f t="shared" si="2"/>
        <v>-0.0004664345551</v>
      </c>
      <c r="I69" s="62" t="str">
        <f t="shared" si="3"/>
        <v>0.000000012e-4</v>
      </c>
      <c r="J69" s="63">
        <f t="shared" si="4"/>
        <v>0</v>
      </c>
      <c r="K69" s="62" t="b">
        <f t="shared" si="5"/>
        <v>0</v>
      </c>
      <c r="L69" s="62" t="b">
        <f t="shared" si="6"/>
        <v>0</v>
      </c>
      <c r="M69" s="60" t="str">
        <f>IFERROR(__xludf.DUMMYFUNCTION("if(regexmatch(B69,""e(.*)$""),regexextract(B69,""e(.*)$""),"""")"),"-4")</f>
        <v>-4</v>
      </c>
    </row>
    <row r="70" hidden="1">
      <c r="A70" s="17" t="s">
        <v>1738</v>
      </c>
      <c r="B70" s="17" t="s">
        <v>2664</v>
      </c>
      <c r="C70" s="17" t="s">
        <v>2665</v>
      </c>
      <c r="E70" s="60" t="str">
        <f>VLOOKUP($A70,nist_names_ids!A:B,2,false)</f>
        <v>mdsme</v>
      </c>
      <c r="F70" s="61">
        <f>countif(Constants!A:A,E70)</f>
        <v>1</v>
      </c>
      <c r="G70" s="62" t="str">
        <f t="shared" si="1"/>
        <v>3670.48296788</v>
      </c>
      <c r="H70" s="62">
        <f t="shared" si="2"/>
        <v>3670.482968</v>
      </c>
      <c r="I70" s="62" t="str">
        <f t="shared" si="3"/>
        <v>0.00000013</v>
      </c>
      <c r="J70" s="63">
        <f t="shared" si="4"/>
        <v>0.00000013</v>
      </c>
      <c r="K70" s="62" t="b">
        <f t="shared" si="5"/>
        <v>0</v>
      </c>
      <c r="L70" s="62" t="b">
        <f t="shared" si="6"/>
        <v>0</v>
      </c>
      <c r="M70" s="60" t="str">
        <f>IFERROR(__xludf.DUMMYFUNCTION("if(regexmatch(B70,""e(.*)$""),regexextract(B70,""e(.*)$""),"""")"),"")</f>
        <v/>
      </c>
    </row>
    <row r="71" hidden="1">
      <c r="A71" s="17" t="s">
        <v>1551</v>
      </c>
      <c r="B71" s="17" t="s">
        <v>2672</v>
      </c>
      <c r="C71" s="17" t="s">
        <v>1743</v>
      </c>
      <c r="E71" s="60" t="str">
        <f>VLOOKUP($A71,nist_names_ids!A:B,2,false)</f>
        <v>gdn</v>
      </c>
      <c r="F71" s="61">
        <f>countif(Constants!A:A,E71)</f>
        <v>1</v>
      </c>
      <c r="G71" s="62" t="str">
        <f t="shared" si="1"/>
        <v>0.8574382338</v>
      </c>
      <c r="H71" s="62">
        <f t="shared" si="2"/>
        <v>0.8574382338</v>
      </c>
      <c r="I71" s="62" t="str">
        <f t="shared" si="3"/>
        <v>0.0000000022</v>
      </c>
      <c r="J71" s="63">
        <f t="shared" si="4"/>
        <v>0.0000000022</v>
      </c>
      <c r="K71" s="62" t="b">
        <f t="shared" si="5"/>
        <v>0</v>
      </c>
      <c r="L71" s="62" t="b">
        <f t="shared" si="6"/>
        <v>0</v>
      </c>
      <c r="M71" s="60" t="str">
        <f>IFERROR(__xludf.DUMMYFUNCTION("if(regexmatch(B71,""e(.*)$""),regexextract(B71,""e(.*)$""),"""")"),"")</f>
        <v/>
      </c>
    </row>
    <row r="72" hidden="1">
      <c r="A72" s="17" t="s">
        <v>1745</v>
      </c>
      <c r="B72" s="17" t="s">
        <v>2681</v>
      </c>
      <c r="C72" s="17" t="s">
        <v>1747</v>
      </c>
      <c r="D72" s="17" t="s">
        <v>964</v>
      </c>
      <c r="E72" s="60" t="str">
        <f>VLOOKUP($A72,nist_names_ids!A:B,2,false)</f>
        <v>mud</v>
      </c>
      <c r="F72" s="61">
        <f>countif(Constants!A:A,E72)</f>
        <v>1</v>
      </c>
      <c r="G72" s="62" t="str">
        <f t="shared" si="1"/>
        <v>4.330735094e-27</v>
      </c>
      <c r="H72" s="62">
        <f t="shared" si="2"/>
        <v>0</v>
      </c>
      <c r="I72" s="62" t="str">
        <f t="shared" si="3"/>
        <v>0.000000011e-27</v>
      </c>
      <c r="J72" s="63">
        <f t="shared" si="4"/>
        <v>0</v>
      </c>
      <c r="K72" s="62" t="b">
        <f t="shared" si="5"/>
        <v>0</v>
      </c>
      <c r="L72" s="62" t="b">
        <f t="shared" si="6"/>
        <v>0</v>
      </c>
      <c r="M72" s="60" t="str">
        <f>IFERROR(__xludf.DUMMYFUNCTION("if(regexmatch(B72,""e(.*)$""),regexextract(B72,""e(.*)$""),"""")"),"-27")</f>
        <v>-27</v>
      </c>
    </row>
    <row r="73" hidden="1">
      <c r="A73" s="17" t="s">
        <v>1749</v>
      </c>
      <c r="B73" s="17" t="s">
        <v>2685</v>
      </c>
      <c r="C73" s="17" t="s">
        <v>1736</v>
      </c>
      <c r="E73" s="60" t="str">
        <f>VLOOKUP($A73,nist_names_ids!A:B,2,false)</f>
        <v>mudsmub</v>
      </c>
      <c r="F73" s="61">
        <f>countif(Constants!A:A,E73)</f>
        <v>1</v>
      </c>
      <c r="G73" s="62" t="str">
        <f t="shared" si="1"/>
        <v>4.669754570e-4</v>
      </c>
      <c r="H73" s="62">
        <f t="shared" si="2"/>
        <v>0.000466975457</v>
      </c>
      <c r="I73" s="62" t="str">
        <f t="shared" si="3"/>
        <v>0.000000012e-4</v>
      </c>
      <c r="J73" s="63">
        <f t="shared" si="4"/>
        <v>0</v>
      </c>
      <c r="K73" s="62" t="b">
        <f t="shared" si="5"/>
        <v>0</v>
      </c>
      <c r="L73" s="62" t="b">
        <f t="shared" si="6"/>
        <v>0</v>
      </c>
      <c r="M73" s="60" t="str">
        <f>IFERROR(__xludf.DUMMYFUNCTION("if(regexmatch(B73,""e(.*)$""),regexextract(B73,""e(.*)$""),"""")"),"-4")</f>
        <v>-4</v>
      </c>
    </row>
    <row r="74" hidden="1">
      <c r="A74" s="17" t="s">
        <v>1755</v>
      </c>
      <c r="B74" s="17" t="s">
        <v>2672</v>
      </c>
      <c r="C74" s="17" t="s">
        <v>1743</v>
      </c>
      <c r="E74" s="60" t="str">
        <f>VLOOKUP($A74,nist_names_ids!A:B,2,false)</f>
        <v>mudsmun</v>
      </c>
      <c r="F74" s="61">
        <f>countif(Constants!A:A,E74)</f>
        <v>1</v>
      </c>
      <c r="G74" s="62" t="str">
        <f t="shared" si="1"/>
        <v>0.8574382338</v>
      </c>
      <c r="H74" s="62">
        <f t="shared" si="2"/>
        <v>0.8574382338</v>
      </c>
      <c r="I74" s="62" t="str">
        <f t="shared" si="3"/>
        <v>0.0000000022</v>
      </c>
      <c r="J74" s="63">
        <f t="shared" si="4"/>
        <v>0.0000000022</v>
      </c>
      <c r="K74" s="62" t="b">
        <f t="shared" si="5"/>
        <v>0</v>
      </c>
      <c r="L74" s="62" t="b">
        <f t="shared" si="6"/>
        <v>0</v>
      </c>
      <c r="M74" s="60" t="str">
        <f>IFERROR(__xludf.DUMMYFUNCTION("if(regexmatch(B74,""e(.*)$""),regexextract(B74,""e(.*)$""),"""")"),"")</f>
        <v/>
      </c>
    </row>
    <row r="75" hidden="1">
      <c r="A75" s="17" t="s">
        <v>1609</v>
      </c>
      <c r="B75" s="17" t="s">
        <v>2714</v>
      </c>
      <c r="C75" s="17" t="s">
        <v>1758</v>
      </c>
      <c r="D75" s="17" t="s">
        <v>98</v>
      </c>
      <c r="E75" s="60" t="str">
        <f>VLOOKUP($A75,nist_names_ids!A:B,2,false)</f>
        <v>md</v>
      </c>
      <c r="F75" s="61">
        <f>countif(Constants!A:A,E75)</f>
        <v>1</v>
      </c>
      <c r="G75" s="62" t="str">
        <f t="shared" si="1"/>
        <v>3.3435837724e-27</v>
      </c>
      <c r="H75" s="62">
        <f t="shared" si="2"/>
        <v>0</v>
      </c>
      <c r="I75" s="62" t="str">
        <f t="shared" si="3"/>
        <v>0.0000000010e-27</v>
      </c>
      <c r="J75" s="63">
        <f t="shared" si="4"/>
        <v>0</v>
      </c>
      <c r="K75" s="62" t="b">
        <f t="shared" si="5"/>
        <v>0</v>
      </c>
      <c r="L75" s="62" t="b">
        <f t="shared" si="6"/>
        <v>0</v>
      </c>
      <c r="M75" s="60" t="str">
        <f>IFERROR(__xludf.DUMMYFUNCTION("if(regexmatch(B75,""e(.*)$""),regexextract(B75,""e(.*)$""),"""")"),"-27")</f>
        <v>-27</v>
      </c>
    </row>
    <row r="76" hidden="1">
      <c r="A76" s="17" t="s">
        <v>1617</v>
      </c>
      <c r="B76" s="17" t="s">
        <v>2717</v>
      </c>
      <c r="C76" s="17" t="s">
        <v>2718</v>
      </c>
      <c r="D76" s="17" t="s">
        <v>173</v>
      </c>
      <c r="E76" s="60" t="str">
        <f>VLOOKUP($A76,nist_names_ids!A:B,2,false)</f>
        <v>mdc2</v>
      </c>
      <c r="F76" s="61">
        <f>countif(Constants!A:A,E76)</f>
        <v>1</v>
      </c>
      <c r="G76" s="62" t="str">
        <f t="shared" si="1"/>
        <v>3.00506323102e-10</v>
      </c>
      <c r="H76" s="62">
        <f t="shared" si="2"/>
        <v>0.0000000003005063231</v>
      </c>
      <c r="I76" s="62" t="str">
        <f t="shared" si="3"/>
        <v>0.00000000091e-10</v>
      </c>
      <c r="J76" s="63">
        <f t="shared" si="4"/>
        <v>0</v>
      </c>
      <c r="K76" s="62" t="b">
        <f t="shared" si="5"/>
        <v>0</v>
      </c>
      <c r="L76" s="62" t="b">
        <f t="shared" si="6"/>
        <v>0</v>
      </c>
      <c r="M76" s="60" t="str">
        <f>IFERROR(__xludf.DUMMYFUNCTION("if(regexmatch(B76,""e(.*)$""),regexextract(B76,""e(.*)$""),"""")"),"-10")</f>
        <v>-10</v>
      </c>
    </row>
    <row r="77" hidden="1">
      <c r="A77" s="17" t="s">
        <v>1632</v>
      </c>
      <c r="B77" s="17" t="s">
        <v>2725</v>
      </c>
      <c r="C77" s="17" t="s">
        <v>2726</v>
      </c>
      <c r="D77" s="17" t="s">
        <v>224</v>
      </c>
      <c r="E77" s="60" t="str">
        <f>VLOOKUP($A77,nist_names_ids!A:B,2,false)</f>
        <v>mdc2mev</v>
      </c>
      <c r="F77" s="61">
        <f>countif(Constants!A:A,E77)</f>
        <v>1</v>
      </c>
      <c r="G77" s="62" t="str">
        <f t="shared" si="1"/>
        <v>1875.61294257</v>
      </c>
      <c r="H77" s="62">
        <f t="shared" si="2"/>
        <v>1875.612943</v>
      </c>
      <c r="I77" s="62" t="str">
        <f t="shared" si="3"/>
        <v>0.00000057</v>
      </c>
      <c r="J77" s="63">
        <f t="shared" si="4"/>
        <v>0.00000057</v>
      </c>
      <c r="K77" s="62" t="b">
        <f t="shared" si="5"/>
        <v>0</v>
      </c>
      <c r="L77" s="62" t="b">
        <f t="shared" si="6"/>
        <v>0</v>
      </c>
      <c r="M77" s="60" t="str">
        <f>IFERROR(__xludf.DUMMYFUNCTION("if(regexmatch(B77,""e(.*)$""),regexextract(B77,""e(.*)$""),"""")"),"")</f>
        <v/>
      </c>
    </row>
    <row r="78" hidden="1">
      <c r="A78" s="17" t="s">
        <v>1643</v>
      </c>
      <c r="B78" s="17" t="s">
        <v>2730</v>
      </c>
      <c r="C78" s="17" t="s">
        <v>2731</v>
      </c>
      <c r="D78" s="17" t="s">
        <v>249</v>
      </c>
      <c r="E78" s="60" t="str">
        <f>VLOOKUP($A78,nist_names_ids!A:B,2,false)</f>
        <v>mdu</v>
      </c>
      <c r="F78" s="61">
        <f>countif(Constants!A:A,E78)</f>
        <v>1</v>
      </c>
      <c r="G78" s="62" t="str">
        <f t="shared" si="1"/>
        <v>2.013553212745</v>
      </c>
      <c r="H78" s="62">
        <f t="shared" si="2"/>
        <v>2.013553213</v>
      </c>
      <c r="I78" s="62" t="str">
        <f t="shared" si="3"/>
        <v>0.000000000040</v>
      </c>
      <c r="J78" s="63">
        <f t="shared" si="4"/>
        <v>0</v>
      </c>
      <c r="K78" s="62" t="b">
        <f t="shared" si="5"/>
        <v>0</v>
      </c>
      <c r="L78" s="62" t="b">
        <f t="shared" si="6"/>
        <v>0</v>
      </c>
      <c r="M78" s="60" t="str">
        <f>IFERROR(__xludf.DUMMYFUNCTION("if(regexmatch(B78,""e(.*)$""),regexextract(B78,""e(.*)$""),"""")"),"")</f>
        <v/>
      </c>
    </row>
    <row r="79" hidden="1">
      <c r="A79" s="17" t="s">
        <v>1651</v>
      </c>
      <c r="B79" s="17" t="s">
        <v>2733</v>
      </c>
      <c r="C79" s="17" t="s">
        <v>2734</v>
      </c>
      <c r="D79" s="17" t="s">
        <v>286</v>
      </c>
      <c r="E79" s="60" t="str">
        <f>VLOOKUP($A79,nist_names_ids!A:B,2,false)</f>
        <v>mmd</v>
      </c>
      <c r="F79" s="61">
        <f>countif(Constants!A:A,E79)</f>
        <v>1</v>
      </c>
      <c r="G79" s="62" t="str">
        <f t="shared" si="1"/>
        <v>2.01355321205e-3</v>
      </c>
      <c r="H79" s="62">
        <f t="shared" si="2"/>
        <v>0.002013553212</v>
      </c>
      <c r="I79" s="62" t="str">
        <f t="shared" si="3"/>
        <v>0.00000000061e-3</v>
      </c>
      <c r="J79" s="63">
        <f t="shared" si="4"/>
        <v>0</v>
      </c>
      <c r="K79" s="62" t="b">
        <f t="shared" si="5"/>
        <v>0</v>
      </c>
      <c r="L79" s="62" t="b">
        <f t="shared" si="6"/>
        <v>0</v>
      </c>
      <c r="M79" s="60" t="str">
        <f>IFERROR(__xludf.DUMMYFUNCTION("if(regexmatch(B79,""e(.*)$""),regexextract(B79,""e(.*)$""),"""")"),"-3")</f>
        <v>-3</v>
      </c>
    </row>
    <row r="80" hidden="1">
      <c r="A80" s="17" t="s">
        <v>1777</v>
      </c>
      <c r="B80" s="17" t="s">
        <v>2740</v>
      </c>
      <c r="C80" s="17" t="s">
        <v>1779</v>
      </c>
      <c r="E80" s="60" t="str">
        <f>VLOOKUP($A80,nist_names_ids!A:B,2,false)</f>
        <v>mudsmunn</v>
      </c>
      <c r="F80" s="61">
        <f>countif(Constants!A:A,E80)</f>
        <v>1</v>
      </c>
      <c r="G80" s="62" t="str">
        <f t="shared" si="1"/>
        <v>-0.44820653</v>
      </c>
      <c r="H80" s="62">
        <f t="shared" si="2"/>
        <v>-0.44820653</v>
      </c>
      <c r="I80" s="62" t="str">
        <f t="shared" si="3"/>
        <v>0.00000011</v>
      </c>
      <c r="J80" s="63">
        <f t="shared" si="4"/>
        <v>0.00000011</v>
      </c>
      <c r="K80" s="62" t="b">
        <f t="shared" si="5"/>
        <v>0</v>
      </c>
      <c r="L80" s="62" t="b">
        <f t="shared" si="6"/>
        <v>0</v>
      </c>
      <c r="M80" s="60" t="str">
        <f>IFERROR(__xludf.DUMMYFUNCTION("if(regexmatch(B80,""e(.*)$""),regexextract(B80,""e(.*)$""),"""")"),"")</f>
        <v/>
      </c>
    </row>
    <row r="81" hidden="1">
      <c r="A81" s="17" t="s">
        <v>1781</v>
      </c>
      <c r="B81" s="17" t="s">
        <v>2745</v>
      </c>
      <c r="C81" s="17" t="s">
        <v>1783</v>
      </c>
      <c r="E81" s="60" t="str">
        <f>VLOOKUP($A81,nist_names_ids!A:B,2,false)</f>
        <v>mudsmup</v>
      </c>
      <c r="F81" s="61">
        <f>countif(Constants!A:A,E81)</f>
        <v>1</v>
      </c>
      <c r="G81" s="62" t="str">
        <f t="shared" si="1"/>
        <v>0.30701220939</v>
      </c>
      <c r="H81" s="62">
        <f t="shared" si="2"/>
        <v>0.3070122094</v>
      </c>
      <c r="I81" s="62" t="str">
        <f t="shared" si="3"/>
        <v>0.00000000079</v>
      </c>
      <c r="J81" s="63">
        <f t="shared" si="4"/>
        <v>0.00000000079</v>
      </c>
      <c r="K81" s="62" t="b">
        <f t="shared" si="5"/>
        <v>0</v>
      </c>
      <c r="L81" s="62" t="b">
        <f t="shared" si="6"/>
        <v>0</v>
      </c>
      <c r="M81" s="60" t="str">
        <f>IFERROR(__xludf.DUMMYFUNCTION("if(regexmatch(B81,""e(.*)$""),regexextract(B81,""e(.*)$""),"""")"),"")</f>
        <v/>
      </c>
    </row>
    <row r="82" hidden="1">
      <c r="A82" s="17" t="s">
        <v>1785</v>
      </c>
      <c r="B82" s="17" t="s">
        <v>2747</v>
      </c>
      <c r="C82" s="17" t="s">
        <v>2748</v>
      </c>
      <c r="E82" s="60" t="str">
        <f>VLOOKUP($A82,nist_names_ids!A:B,2,false)</f>
        <v>mdsmp</v>
      </c>
      <c r="F82" s="61">
        <f>countif(Constants!A:A,E82)</f>
        <v>1</v>
      </c>
      <c r="G82" s="62" t="str">
        <f t="shared" si="1"/>
        <v>1.99900750139</v>
      </c>
      <c r="H82" s="62">
        <f t="shared" si="2"/>
        <v>1.999007501</v>
      </c>
      <c r="I82" s="62" t="str">
        <f t="shared" si="3"/>
        <v>0.00000000011</v>
      </c>
      <c r="J82" s="63">
        <f t="shared" si="4"/>
        <v>0.00000000011</v>
      </c>
      <c r="K82" s="62" t="b">
        <f t="shared" si="5"/>
        <v>0</v>
      </c>
      <c r="L82" s="62" t="b">
        <f t="shared" si="6"/>
        <v>0</v>
      </c>
      <c r="M82" s="60" t="str">
        <f>IFERROR(__xludf.DUMMYFUNCTION("if(regexmatch(B82,""e(.*)$""),regexextract(B82,""e(.*)$""),"""")"),"")</f>
        <v/>
      </c>
    </row>
    <row r="83" hidden="1">
      <c r="A83" s="17" t="s">
        <v>1677</v>
      </c>
      <c r="B83" s="17" t="s">
        <v>2730</v>
      </c>
      <c r="C83" s="17" t="s">
        <v>2731</v>
      </c>
      <c r="E83" s="60" t="str">
        <f>VLOOKUP($A83,nist_names_ids!A:B,2,false)</f>
        <v>ard</v>
      </c>
      <c r="F83" s="61">
        <f>countif(Constants!A:A,E83)</f>
        <v>1</v>
      </c>
      <c r="G83" s="62" t="str">
        <f t="shared" si="1"/>
        <v>2.013553212745</v>
      </c>
      <c r="H83" s="62">
        <f t="shared" si="2"/>
        <v>2.013553213</v>
      </c>
      <c r="I83" s="62" t="str">
        <f t="shared" si="3"/>
        <v>0.000000000040</v>
      </c>
      <c r="J83" s="63">
        <f t="shared" si="4"/>
        <v>0</v>
      </c>
      <c r="K83" s="62" t="b">
        <f t="shared" si="5"/>
        <v>0</v>
      </c>
      <c r="L83" s="62" t="b">
        <f t="shared" si="6"/>
        <v>0</v>
      </c>
      <c r="M83" s="60" t="str">
        <f>IFERROR(__xludf.DUMMYFUNCTION("if(regexmatch(B83,""e(.*)$""),regexextract(B83,""e(.*)$""),"""")"),"")</f>
        <v/>
      </c>
    </row>
    <row r="84" hidden="1">
      <c r="A84" s="17" t="s">
        <v>1681</v>
      </c>
      <c r="B84" s="17" t="s">
        <v>2755</v>
      </c>
      <c r="C84" s="17" t="s">
        <v>2756</v>
      </c>
      <c r="D84" s="17" t="s">
        <v>381</v>
      </c>
      <c r="E84" s="60" t="str">
        <f>VLOOKUP($A84,nist_names_ids!A:B,2,false)</f>
        <v>rd</v>
      </c>
      <c r="F84" s="61">
        <f>countif(Constants!A:A,E84)</f>
        <v>1</v>
      </c>
      <c r="G84" s="62" t="str">
        <f t="shared" si="1"/>
        <v>2.12799e-15</v>
      </c>
      <c r="H84" s="62">
        <f t="shared" si="2"/>
        <v>0</v>
      </c>
      <c r="I84" s="62" t="str">
        <f t="shared" si="3"/>
        <v>0.00074e-15</v>
      </c>
      <c r="J84" s="63">
        <f t="shared" si="4"/>
        <v>0</v>
      </c>
      <c r="K84" s="62" t="b">
        <f t="shared" si="5"/>
        <v>0</v>
      </c>
      <c r="L84" s="62" t="b">
        <f t="shared" si="6"/>
        <v>0</v>
      </c>
      <c r="M84" s="60" t="str">
        <f>IFERROR(__xludf.DUMMYFUNCTION("if(regexmatch(B84,""e(.*)$""),regexextract(B84,""e(.*)$""),"""")"),"-15")</f>
        <v>-15</v>
      </c>
    </row>
    <row r="85" hidden="1">
      <c r="A85" s="17" t="s">
        <v>1687</v>
      </c>
      <c r="B85" s="17" t="s">
        <v>2760</v>
      </c>
      <c r="C85" s="17" t="s">
        <v>2761</v>
      </c>
      <c r="D85" s="17" t="s">
        <v>1689</v>
      </c>
      <c r="E85" s="60" t="str">
        <f>VLOOKUP($A85,nist_names_ids!A:B,2,false)</f>
        <v>esme</v>
      </c>
      <c r="F85" s="61">
        <f>countif(Constants!A:A,E85)</f>
        <v>1</v>
      </c>
      <c r="G85" s="62" t="str">
        <f t="shared" si="1"/>
        <v>-1.75882001076e11</v>
      </c>
      <c r="H85" s="62">
        <f t="shared" si="2"/>
        <v>-175882001076</v>
      </c>
      <c r="I85" s="62" t="str">
        <f t="shared" si="3"/>
        <v>0.00000000053e11</v>
      </c>
      <c r="J85" s="63">
        <f t="shared" si="4"/>
        <v>53</v>
      </c>
      <c r="K85" s="62" t="b">
        <f t="shared" si="5"/>
        <v>0</v>
      </c>
      <c r="L85" s="62" t="b">
        <f t="shared" si="6"/>
        <v>0</v>
      </c>
      <c r="M85" s="60" t="str">
        <f>IFERROR(__xludf.DUMMYFUNCTION("if(regexmatch(B85,""e(.*)$""),regexextract(B85,""e(.*)$""),"""")"),"11")</f>
        <v>11</v>
      </c>
    </row>
    <row r="86" hidden="1">
      <c r="A86" s="17" t="s">
        <v>1802</v>
      </c>
      <c r="B86" s="17" t="s">
        <v>2768</v>
      </c>
      <c r="C86" s="17" t="s">
        <v>1804</v>
      </c>
      <c r="E86" s="60" t="str">
        <f>VLOOKUP($A86,nist_names_ids!A:B,2,false)</f>
        <v>muemsmud</v>
      </c>
      <c r="F86" s="61">
        <f>countif(Constants!A:A,E86)</f>
        <v>1</v>
      </c>
      <c r="G86" s="62" t="str">
        <f t="shared" si="1"/>
        <v>-2143.9234915</v>
      </c>
      <c r="H86" s="62">
        <f t="shared" si="2"/>
        <v>-2143.923492</v>
      </c>
      <c r="I86" s="62" t="str">
        <f t="shared" si="3"/>
        <v>0.0000056</v>
      </c>
      <c r="J86" s="63">
        <f t="shared" si="4"/>
        <v>0.0000056</v>
      </c>
      <c r="K86" s="62" t="b">
        <f t="shared" si="5"/>
        <v>0</v>
      </c>
      <c r="L86" s="62" t="b">
        <f t="shared" si="6"/>
        <v>0</v>
      </c>
      <c r="M86" s="60" t="str">
        <f>IFERROR(__xludf.DUMMYFUNCTION("if(regexmatch(B86,""e(.*)$""),regexextract(B86,""e(.*)$""),"""")"),"")</f>
        <v/>
      </c>
    </row>
    <row r="87" hidden="1">
      <c r="A87" s="17" t="s">
        <v>1806</v>
      </c>
      <c r="B87" s="17" t="s">
        <v>2772</v>
      </c>
      <c r="C87" s="17" t="s">
        <v>2773</v>
      </c>
      <c r="E87" s="60" t="str">
        <f>VLOOKUP($A87,nist_names_ids!A:B,2,false)</f>
        <v>mesmd</v>
      </c>
      <c r="F87" s="61">
        <f>countif(Constants!A:A,E87)</f>
        <v>1</v>
      </c>
      <c r="G87" s="62" t="str">
        <f t="shared" si="1"/>
        <v>2.724437107462e-4</v>
      </c>
      <c r="H87" s="62">
        <f t="shared" si="2"/>
        <v>0.0002724437107</v>
      </c>
      <c r="I87" s="62" t="str">
        <f t="shared" si="3"/>
        <v>0.000000000096e-4</v>
      </c>
      <c r="J87" s="63">
        <f t="shared" si="4"/>
        <v>0</v>
      </c>
      <c r="K87" s="62" t="b">
        <f t="shared" si="5"/>
        <v>0</v>
      </c>
      <c r="L87" s="62" t="b">
        <f t="shared" si="6"/>
        <v>0</v>
      </c>
      <c r="M87" s="60" t="str">
        <f>IFERROR(__xludf.DUMMYFUNCTION("if(regexmatch(B87,""e(.*)$""),regexextract(B87,""e(.*)$""),"""")"),"-4")</f>
        <v>-4</v>
      </c>
    </row>
    <row r="88" hidden="1">
      <c r="A88" s="17" t="s">
        <v>1706</v>
      </c>
      <c r="B88" s="17" t="s">
        <v>2782</v>
      </c>
      <c r="C88" s="17" t="s">
        <v>2783</v>
      </c>
      <c r="E88" s="60" t="str">
        <f>VLOOKUP($A88,nist_names_ids!A:B,2,false)</f>
        <v>gem</v>
      </c>
      <c r="F88" s="61">
        <f>countif(Constants!A:A,E88)</f>
        <v>1</v>
      </c>
      <c r="G88" s="62" t="str">
        <f t="shared" si="1"/>
        <v>-2.00231930436256</v>
      </c>
      <c r="H88" s="62">
        <f t="shared" si="2"/>
        <v>-2.002319304</v>
      </c>
      <c r="I88" s="62" t="str">
        <f t="shared" si="3"/>
        <v>0.00000000000035</v>
      </c>
      <c r="J88" s="63">
        <f t="shared" si="4"/>
        <v>0</v>
      </c>
      <c r="K88" s="62" t="b">
        <f t="shared" si="5"/>
        <v>0</v>
      </c>
      <c r="L88" s="62" t="b">
        <f t="shared" si="6"/>
        <v>0</v>
      </c>
      <c r="M88" s="60" t="str">
        <f>IFERROR(__xludf.DUMMYFUNCTION("if(regexmatch(B88,""e(.*)$""),regexextract(B88,""e(.*)$""),"""")"),"")</f>
        <v/>
      </c>
    </row>
    <row r="89" hidden="1">
      <c r="A89" s="17" t="s">
        <v>1812</v>
      </c>
      <c r="B89" s="17" t="s">
        <v>2787</v>
      </c>
      <c r="C89" s="17" t="s">
        <v>2761</v>
      </c>
      <c r="D89" s="17" t="s">
        <v>1717</v>
      </c>
      <c r="E89" s="60" t="str">
        <f>VLOOKUP($A89,nist_names_ids!A:B,2,false)</f>
        <v>gammae</v>
      </c>
      <c r="F89" s="61">
        <f>countif(Constants!A:A,E89)</f>
        <v>1</v>
      </c>
      <c r="G89" s="62" t="str">
        <f t="shared" si="1"/>
        <v>1.76085963023e11</v>
      </c>
      <c r="H89" s="62">
        <f t="shared" si="2"/>
        <v>176085963023</v>
      </c>
      <c r="I89" s="62" t="str">
        <f t="shared" si="3"/>
        <v>0.00000000053e11</v>
      </c>
      <c r="J89" s="63">
        <f t="shared" si="4"/>
        <v>53</v>
      </c>
      <c r="K89" s="62" t="b">
        <f t="shared" si="5"/>
        <v>0</v>
      </c>
      <c r="L89" s="62" t="b">
        <f t="shared" si="6"/>
        <v>0</v>
      </c>
      <c r="M89" s="60" t="str">
        <f>IFERROR(__xludf.DUMMYFUNCTION("if(regexmatch(B89,""e(.*)$""),regexextract(B89,""e(.*)$""),"""")"),"11")</f>
        <v>11</v>
      </c>
    </row>
    <row r="90" hidden="1">
      <c r="A90" s="17" t="s">
        <v>1815</v>
      </c>
      <c r="B90" s="17" t="s">
        <v>2791</v>
      </c>
      <c r="C90" s="17" t="s">
        <v>2792</v>
      </c>
      <c r="D90" s="17" t="s">
        <v>1733</v>
      </c>
      <c r="E90" s="60" t="str">
        <f>VLOOKUP($A90,nist_names_ids!A:B,2,false)</f>
        <v>gammaebar</v>
      </c>
      <c r="F90" s="61">
        <f>countif(Constants!A:A,E90)</f>
        <v>1</v>
      </c>
      <c r="G90" s="62" t="str">
        <f t="shared" si="1"/>
        <v>28024.9514242</v>
      </c>
      <c r="H90" s="62">
        <f t="shared" si="2"/>
        <v>28024.95142</v>
      </c>
      <c r="I90" s="62" t="str">
        <f t="shared" si="3"/>
        <v>0.0000085</v>
      </c>
      <c r="J90" s="63">
        <f t="shared" si="4"/>
        <v>0.0000085</v>
      </c>
      <c r="K90" s="62" t="b">
        <f t="shared" si="5"/>
        <v>0</v>
      </c>
      <c r="L90" s="62" t="b">
        <f t="shared" si="6"/>
        <v>0</v>
      </c>
      <c r="M90" s="60" t="str">
        <f>IFERROR(__xludf.DUMMYFUNCTION("if(regexmatch(B90,""e(.*)$""),regexextract(B90,""e(.*)$""),"""")"),"")</f>
        <v/>
      </c>
    </row>
    <row r="91" hidden="1">
      <c r="A91" s="17" t="s">
        <v>1820</v>
      </c>
      <c r="B91" s="17" t="s">
        <v>2797</v>
      </c>
      <c r="C91" s="17" t="s">
        <v>2798</v>
      </c>
      <c r="E91" s="60" t="str">
        <f>VLOOKUP($A91,nist_names_ids!A:B,2,false)</f>
        <v>mesmh</v>
      </c>
      <c r="F91" s="61">
        <f>countif(Constants!A:A,E91)</f>
        <v>1</v>
      </c>
      <c r="G91" s="62" t="str">
        <f t="shared" si="1"/>
        <v>1.819543074573e-4</v>
      </c>
      <c r="H91" s="62">
        <f t="shared" si="2"/>
        <v>0.0001819543075</v>
      </c>
      <c r="I91" s="62" t="str">
        <f t="shared" si="3"/>
        <v>0.000000000079e-4</v>
      </c>
      <c r="J91" s="63">
        <f t="shared" si="4"/>
        <v>0</v>
      </c>
      <c r="K91" s="62" t="b">
        <f t="shared" si="5"/>
        <v>0</v>
      </c>
      <c r="L91" s="62" t="b">
        <f t="shared" si="6"/>
        <v>0</v>
      </c>
      <c r="M91" s="60" t="str">
        <f>IFERROR(__xludf.DUMMYFUNCTION("if(regexmatch(B91,""e(.*)$""),regexextract(B91,""e(.*)$""),"""")"),"-4")</f>
        <v>-4</v>
      </c>
    </row>
    <row r="92" hidden="1">
      <c r="A92" s="17" t="s">
        <v>1825</v>
      </c>
      <c r="B92" s="17" t="s">
        <v>2801</v>
      </c>
      <c r="C92" s="17" t="s">
        <v>2543</v>
      </c>
      <c r="D92" s="17" t="s">
        <v>964</v>
      </c>
      <c r="E92" s="60" t="str">
        <f>VLOOKUP($A92,nist_names_ids!A:B,2,false)</f>
        <v>muem</v>
      </c>
      <c r="F92" s="61">
        <f>countif(Constants!A:A,E92)</f>
        <v>1</v>
      </c>
      <c r="G92" s="62" t="str">
        <f t="shared" si="1"/>
        <v>-9.2847647043e-24</v>
      </c>
      <c r="H92" s="62">
        <f t="shared" si="2"/>
        <v>0</v>
      </c>
      <c r="I92" s="62" t="str">
        <f t="shared" si="3"/>
        <v>0.0000000028e-24</v>
      </c>
      <c r="J92" s="63">
        <f t="shared" si="4"/>
        <v>0</v>
      </c>
      <c r="K92" s="62" t="b">
        <f t="shared" si="5"/>
        <v>0</v>
      </c>
      <c r="L92" s="62" t="b">
        <f t="shared" si="6"/>
        <v>0</v>
      </c>
      <c r="M92" s="60" t="str">
        <f>IFERROR(__xludf.DUMMYFUNCTION("if(regexmatch(B92,""e(.*)$""),regexextract(B92,""e(.*)$""),"""")"),"-24")</f>
        <v>-24</v>
      </c>
    </row>
    <row r="93" hidden="1">
      <c r="A93" s="17" t="s">
        <v>1827</v>
      </c>
      <c r="B93" s="17" t="s">
        <v>2805</v>
      </c>
      <c r="C93" s="17" t="s">
        <v>1829</v>
      </c>
      <c r="E93" s="60" t="str">
        <f>VLOOKUP($A93,nist_names_ids!A:B,2,false)</f>
        <v>ae</v>
      </c>
      <c r="F93" s="61">
        <f>countif(Constants!A:A,E93)</f>
        <v>2</v>
      </c>
      <c r="G93" s="62" t="str">
        <f t="shared" si="1"/>
        <v>1.15965218128e-3</v>
      </c>
      <c r="H93" s="62">
        <f t="shared" si="2"/>
        <v>0.001159652181</v>
      </c>
      <c r="I93" s="62" t="str">
        <f t="shared" si="3"/>
        <v>0.00000000018e-3</v>
      </c>
      <c r="J93" s="63">
        <f t="shared" si="4"/>
        <v>0</v>
      </c>
      <c r="K93" s="62" t="b">
        <f t="shared" si="5"/>
        <v>0</v>
      </c>
      <c r="L93" s="62" t="b">
        <f t="shared" si="6"/>
        <v>0</v>
      </c>
      <c r="M93" s="60" t="str">
        <f>IFERROR(__xludf.DUMMYFUNCTION("if(regexmatch(B93,""e(.*)$""),regexextract(B93,""e(.*)$""),"""")"),"-3")</f>
        <v>-3</v>
      </c>
    </row>
    <row r="94" hidden="1">
      <c r="A94" s="17" t="s">
        <v>1833</v>
      </c>
      <c r="B94" s="17" t="s">
        <v>2809</v>
      </c>
      <c r="C94" s="17" t="s">
        <v>1835</v>
      </c>
      <c r="E94" s="60" t="str">
        <f>VLOOKUP($A94,nist_names_ids!A:B,2,false)</f>
        <v>muemsmub</v>
      </c>
      <c r="F94" s="61">
        <f>countif(Constants!A:A,E94)</f>
        <v>1</v>
      </c>
      <c r="G94" s="62" t="str">
        <f t="shared" si="1"/>
        <v>-1.00115965218128</v>
      </c>
      <c r="H94" s="62">
        <f t="shared" si="2"/>
        <v>-1.001159652</v>
      </c>
      <c r="I94" s="62" t="str">
        <f t="shared" si="3"/>
        <v>0.00000000000018</v>
      </c>
      <c r="J94" s="63">
        <f t="shared" si="4"/>
        <v>0</v>
      </c>
      <c r="K94" s="62" t="b">
        <f t="shared" si="5"/>
        <v>0</v>
      </c>
      <c r="L94" s="62" t="b">
        <f t="shared" si="6"/>
        <v>0</v>
      </c>
      <c r="M94" s="60" t="str">
        <f>IFERROR(__xludf.DUMMYFUNCTION("if(regexmatch(B94,""e(.*)$""),regexextract(B94,""e(.*)$""),"""")"),"")</f>
        <v/>
      </c>
    </row>
    <row r="95" hidden="1">
      <c r="A95" s="17" t="s">
        <v>1837</v>
      </c>
      <c r="B95" s="17" t="s">
        <v>2813</v>
      </c>
      <c r="C95" s="17" t="s">
        <v>1779</v>
      </c>
      <c r="E95" s="60" t="str">
        <f>VLOOKUP($A95,nist_names_ids!A:B,2,false)</f>
        <v>muemsmun</v>
      </c>
      <c r="F95" s="61">
        <f>countif(Constants!A:A,E95)</f>
        <v>1</v>
      </c>
      <c r="G95" s="62" t="str">
        <f t="shared" si="1"/>
        <v>-1838.28197188</v>
      </c>
      <c r="H95" s="62">
        <f t="shared" si="2"/>
        <v>-1838.281972</v>
      </c>
      <c r="I95" s="62" t="str">
        <f t="shared" si="3"/>
        <v>0.00000011</v>
      </c>
      <c r="J95" s="63">
        <f t="shared" si="4"/>
        <v>0.00000011</v>
      </c>
      <c r="K95" s="62" t="b">
        <f t="shared" si="5"/>
        <v>0</v>
      </c>
      <c r="L95" s="62" t="b">
        <f t="shared" si="6"/>
        <v>0</v>
      </c>
      <c r="M95" s="60" t="str">
        <f>IFERROR(__xludf.DUMMYFUNCTION("if(regexmatch(B95,""e(.*)$""),regexextract(B95,""e(.*)$""),"""")"),"")</f>
        <v/>
      </c>
    </row>
    <row r="96" hidden="1">
      <c r="A96" s="17" t="s">
        <v>1818</v>
      </c>
      <c r="B96" s="17" t="s">
        <v>2507</v>
      </c>
      <c r="C96" s="17" t="s">
        <v>1560</v>
      </c>
      <c r="D96" s="17" t="s">
        <v>98</v>
      </c>
      <c r="E96" s="60" t="str">
        <f>VLOOKUP($A96,nist_names_ids!A:B,2,false)</f>
        <v>me</v>
      </c>
      <c r="F96" s="61">
        <f>countif(Constants!A:A,E96)</f>
        <v>1</v>
      </c>
      <c r="G96" s="62" t="str">
        <f t="shared" si="1"/>
        <v>9.1093837015e-31</v>
      </c>
      <c r="H96" s="62">
        <f t="shared" si="2"/>
        <v>0</v>
      </c>
      <c r="I96" s="62" t="str">
        <f t="shared" si="3"/>
        <v>0.0000000028e-31</v>
      </c>
      <c r="J96" s="63">
        <f t="shared" si="4"/>
        <v>0</v>
      </c>
      <c r="K96" s="62" t="b">
        <f t="shared" si="5"/>
        <v>0</v>
      </c>
      <c r="L96" s="62" t="b">
        <f t="shared" si="6"/>
        <v>0</v>
      </c>
      <c r="M96" s="60" t="str">
        <f>IFERROR(__xludf.DUMMYFUNCTION("if(regexmatch(B96,""e(.*)$""),regexextract(B96,""e(.*)$""),"""")"),"-31")</f>
        <v>-31</v>
      </c>
    </row>
    <row r="97" hidden="1">
      <c r="A97" s="17" t="s">
        <v>1831</v>
      </c>
      <c r="B97" s="17" t="s">
        <v>2821</v>
      </c>
      <c r="C97" s="17" t="s">
        <v>2822</v>
      </c>
      <c r="D97" s="17" t="s">
        <v>173</v>
      </c>
      <c r="E97" s="60" t="str">
        <f>VLOOKUP($A97,nist_names_ids!A:B,2,false)</f>
        <v>mec2</v>
      </c>
      <c r="F97" s="61">
        <f>countif(Constants!A:A,E97)</f>
        <v>1</v>
      </c>
      <c r="G97" s="62" t="str">
        <f t="shared" si="1"/>
        <v>8.1871057769e-14</v>
      </c>
      <c r="H97" s="62">
        <f t="shared" si="2"/>
        <v>0</v>
      </c>
      <c r="I97" s="62" t="str">
        <f t="shared" si="3"/>
        <v>0.0000000025e-14</v>
      </c>
      <c r="J97" s="63">
        <f t="shared" si="4"/>
        <v>0</v>
      </c>
      <c r="K97" s="62" t="b">
        <f t="shared" si="5"/>
        <v>0</v>
      </c>
      <c r="L97" s="62" t="b">
        <f t="shared" si="6"/>
        <v>0</v>
      </c>
      <c r="M97" s="60" t="str">
        <f>IFERROR(__xludf.DUMMYFUNCTION("if(regexmatch(B97,""e(.*)$""),regexextract(B97,""e(.*)$""),"""")"),"-14")</f>
        <v>-14</v>
      </c>
    </row>
    <row r="98" hidden="1">
      <c r="A98" s="17" t="s">
        <v>1845</v>
      </c>
      <c r="B98" s="17" t="s">
        <v>2824</v>
      </c>
      <c r="C98" s="17" t="s">
        <v>2825</v>
      </c>
      <c r="D98" s="17" t="s">
        <v>224</v>
      </c>
      <c r="E98" s="60" t="str">
        <f>VLOOKUP($A98,nist_names_ids!A:B,2,false)</f>
        <v>mec2mev</v>
      </c>
      <c r="F98" s="61">
        <f>countif(Constants!A:A,E98)</f>
        <v>1</v>
      </c>
      <c r="G98" s="62" t="str">
        <f t="shared" si="1"/>
        <v>0.51099895000</v>
      </c>
      <c r="H98" s="62">
        <f t="shared" si="2"/>
        <v>0.51099895</v>
      </c>
      <c r="I98" s="62" t="str">
        <f t="shared" si="3"/>
        <v>0.00000000015</v>
      </c>
      <c r="J98" s="63">
        <f t="shared" si="4"/>
        <v>0.00000000015</v>
      </c>
      <c r="K98" s="62" t="b">
        <f t="shared" si="5"/>
        <v>0</v>
      </c>
      <c r="L98" s="62" t="b">
        <f t="shared" si="6"/>
        <v>0</v>
      </c>
      <c r="M98" s="60" t="str">
        <f>IFERROR(__xludf.DUMMYFUNCTION("if(regexmatch(B98,""e(.*)$""),regexextract(B98,""e(.*)$""),"""")"),"")</f>
        <v/>
      </c>
    </row>
    <row r="99" hidden="1">
      <c r="A99" s="17" t="s">
        <v>1853</v>
      </c>
      <c r="B99" s="17" t="s">
        <v>2827</v>
      </c>
      <c r="C99" s="17" t="s">
        <v>2828</v>
      </c>
      <c r="D99" s="17" t="s">
        <v>249</v>
      </c>
      <c r="E99" s="60" t="str">
        <f>VLOOKUP($A99,nist_names_ids!A:B,2,false)</f>
        <v>meu</v>
      </c>
      <c r="F99" s="61">
        <f>countif(Constants!A:A,E99)</f>
        <v>1</v>
      </c>
      <c r="G99" s="62" t="str">
        <f t="shared" si="1"/>
        <v>5.48579909065e-4</v>
      </c>
      <c r="H99" s="62">
        <f t="shared" si="2"/>
        <v>0.0005485799091</v>
      </c>
      <c r="I99" s="62" t="str">
        <f t="shared" si="3"/>
        <v>0.00000000016e-4</v>
      </c>
      <c r="J99" s="63">
        <f t="shared" si="4"/>
        <v>0</v>
      </c>
      <c r="K99" s="62" t="b">
        <f t="shared" si="5"/>
        <v>0</v>
      </c>
      <c r="L99" s="62" t="b">
        <f t="shared" si="6"/>
        <v>0</v>
      </c>
      <c r="M99" s="60" t="str">
        <f>IFERROR(__xludf.DUMMYFUNCTION("if(regexmatch(B99,""e(.*)$""),regexextract(B99,""e(.*)$""),"""")"),"-4")</f>
        <v>-4</v>
      </c>
    </row>
    <row r="100" hidden="1">
      <c r="A100" s="17" t="s">
        <v>1860</v>
      </c>
      <c r="B100" s="17" t="s">
        <v>2829</v>
      </c>
      <c r="C100" s="17" t="s">
        <v>1862</v>
      </c>
      <c r="D100" s="17" t="s">
        <v>286</v>
      </c>
      <c r="E100" s="60" t="str">
        <f>VLOOKUP($A100,nist_names_ids!A:B,2,false)</f>
        <v>mme</v>
      </c>
      <c r="F100" s="61">
        <f>countif(Constants!A:A,E100)</f>
        <v>1</v>
      </c>
      <c r="G100" s="62" t="str">
        <f t="shared" si="1"/>
        <v>5.4857990888e-7</v>
      </c>
      <c r="H100" s="62">
        <f t="shared" si="2"/>
        <v>0.0000005485799089</v>
      </c>
      <c r="I100" s="62" t="str">
        <f t="shared" si="3"/>
        <v>0.0000000017e-7</v>
      </c>
      <c r="J100" s="63">
        <f t="shared" si="4"/>
        <v>0</v>
      </c>
      <c r="K100" s="62" t="b">
        <f t="shared" si="5"/>
        <v>0</v>
      </c>
      <c r="L100" s="62" t="b">
        <f t="shared" si="6"/>
        <v>0</v>
      </c>
      <c r="M100" s="60" t="str">
        <f>IFERROR(__xludf.DUMMYFUNCTION("if(regexmatch(B100,""e(.*)$""),regexextract(B100,""e(.*)$""),"""")"),"-7")</f>
        <v>-7</v>
      </c>
    </row>
    <row r="101" hidden="1">
      <c r="A101" s="17" t="s">
        <v>1864</v>
      </c>
      <c r="B101" s="17" t="s">
        <v>2833</v>
      </c>
      <c r="C101" s="17" t="s">
        <v>1866</v>
      </c>
      <c r="E101" s="60" t="str">
        <f>VLOOKUP($A101,nist_names_ids!A:B,2,false)</f>
        <v>muemsmumum</v>
      </c>
      <c r="F101" s="61">
        <f>countif(Constants!A:A,E101)</f>
        <v>1</v>
      </c>
      <c r="G101" s="62" t="str">
        <f t="shared" si="1"/>
        <v>206.7669883</v>
      </c>
      <c r="H101" s="62">
        <f t="shared" si="2"/>
        <v>206.7669883</v>
      </c>
      <c r="I101" s="62" t="str">
        <f t="shared" si="3"/>
        <v>0.0000046</v>
      </c>
      <c r="J101" s="63">
        <f t="shared" si="4"/>
        <v>0.0000046</v>
      </c>
      <c r="K101" s="62" t="b">
        <f t="shared" si="5"/>
        <v>0</v>
      </c>
      <c r="L101" s="62" t="b">
        <f t="shared" si="6"/>
        <v>0</v>
      </c>
      <c r="M101" s="60" t="str">
        <f>IFERROR(__xludf.DUMMYFUNCTION("if(regexmatch(B101,""e(.*)$""),regexextract(B101,""e(.*)$""),"""")"),"")</f>
        <v/>
      </c>
    </row>
    <row r="102" hidden="1">
      <c r="A102" s="17" t="s">
        <v>1868</v>
      </c>
      <c r="B102" s="17" t="s">
        <v>2837</v>
      </c>
      <c r="C102" s="17" t="s">
        <v>1870</v>
      </c>
      <c r="E102" s="60" t="str">
        <f>VLOOKUP($A102,nist_names_ids!A:B,2,false)</f>
        <v>mesmmu</v>
      </c>
      <c r="F102" s="61">
        <f>countif(Constants!A:A,E102)</f>
        <v>1</v>
      </c>
      <c r="G102" s="62" t="str">
        <f t="shared" si="1"/>
        <v>4.83633169e-3</v>
      </c>
      <c r="H102" s="62">
        <f t="shared" si="2"/>
        <v>0.00483633169</v>
      </c>
      <c r="I102" s="62" t="str">
        <f t="shared" si="3"/>
        <v>0.00000011e-3</v>
      </c>
      <c r="J102" s="63">
        <f t="shared" si="4"/>
        <v>0.00000000011</v>
      </c>
      <c r="K102" s="62" t="b">
        <f t="shared" si="5"/>
        <v>0</v>
      </c>
      <c r="L102" s="62" t="b">
        <f t="shared" si="6"/>
        <v>0</v>
      </c>
      <c r="M102" s="60" t="str">
        <f>IFERROR(__xludf.DUMMYFUNCTION("if(regexmatch(B102,""e(.*)$""),regexextract(B102,""e(.*)$""),"""")"),"-3")</f>
        <v>-3</v>
      </c>
    </row>
    <row r="103" hidden="1">
      <c r="A103" s="17" t="s">
        <v>1872</v>
      </c>
      <c r="B103" s="17" t="s">
        <v>2841</v>
      </c>
      <c r="C103" s="17" t="s">
        <v>1874</v>
      </c>
      <c r="E103" s="60" t="str">
        <f>VLOOKUP($A103,nist_names_ids!A:B,2,false)</f>
        <v>muemsmunn</v>
      </c>
      <c r="F103" s="61">
        <f>countif(Constants!A:A,E103)</f>
        <v>1</v>
      </c>
      <c r="G103" s="62" t="str">
        <f t="shared" si="1"/>
        <v>960.92050</v>
      </c>
      <c r="H103" s="62">
        <f t="shared" si="2"/>
        <v>960.9205</v>
      </c>
      <c r="I103" s="62" t="str">
        <f t="shared" si="3"/>
        <v>0.00023</v>
      </c>
      <c r="J103" s="63">
        <f t="shared" si="4"/>
        <v>0.00023</v>
      </c>
      <c r="K103" s="62" t="b">
        <f t="shared" si="5"/>
        <v>0</v>
      </c>
      <c r="L103" s="62" t="b">
        <f t="shared" si="6"/>
        <v>0</v>
      </c>
      <c r="M103" s="60" t="str">
        <f>IFERROR(__xludf.DUMMYFUNCTION("if(regexmatch(B103,""e(.*)$""),regexextract(B103,""e(.*)$""),"""")"),"")</f>
        <v/>
      </c>
    </row>
    <row r="104" hidden="1">
      <c r="A104" s="17" t="s">
        <v>1878</v>
      </c>
      <c r="B104" s="17" t="s">
        <v>2848</v>
      </c>
      <c r="C104" s="17" t="s">
        <v>2849</v>
      </c>
      <c r="E104" s="60" t="str">
        <f>VLOOKUP($A104,nist_names_ids!A:B,2,false)</f>
        <v>mesmn</v>
      </c>
      <c r="F104" s="61">
        <f>countif(Constants!A:A,E104)</f>
        <v>1</v>
      </c>
      <c r="G104" s="62" t="str">
        <f t="shared" si="1"/>
        <v>5.4386734424e-4</v>
      </c>
      <c r="H104" s="62">
        <f t="shared" si="2"/>
        <v>0.0005438673442</v>
      </c>
      <c r="I104" s="62" t="str">
        <f t="shared" si="3"/>
        <v>0.0000000026e-4</v>
      </c>
      <c r="J104" s="63">
        <f t="shared" si="4"/>
        <v>0</v>
      </c>
      <c r="K104" s="62" t="b">
        <f t="shared" si="5"/>
        <v>0</v>
      </c>
      <c r="L104" s="62" t="b">
        <f t="shared" si="6"/>
        <v>0</v>
      </c>
      <c r="M104" s="60" t="str">
        <f>IFERROR(__xludf.DUMMYFUNCTION("if(regexmatch(B104,""e(.*)$""),regexextract(B104,""e(.*)$""),"""")"),"-4")</f>
        <v>-4</v>
      </c>
    </row>
    <row r="105" hidden="1">
      <c r="A105" s="17" t="s">
        <v>1882</v>
      </c>
      <c r="B105" s="17" t="s">
        <v>2852</v>
      </c>
      <c r="C105" s="17" t="s">
        <v>2348</v>
      </c>
      <c r="E105" s="60" t="str">
        <f>VLOOKUP($A105,nist_names_ids!A:B,2,false)</f>
        <v>muemsmup</v>
      </c>
      <c r="F105" s="61">
        <f>countif(Constants!A:A,E105)</f>
        <v>1</v>
      </c>
      <c r="G105" s="62" t="str">
        <f t="shared" si="1"/>
        <v>-658.21068789</v>
      </c>
      <c r="H105" s="62">
        <f t="shared" si="2"/>
        <v>-658.2106879</v>
      </c>
      <c r="I105" s="62" t="str">
        <f t="shared" si="3"/>
        <v>0.00000020</v>
      </c>
      <c r="J105" s="63">
        <f t="shared" si="4"/>
        <v>0.0000002</v>
      </c>
      <c r="K105" s="62" t="b">
        <f t="shared" si="5"/>
        <v>0</v>
      </c>
      <c r="L105" s="62" t="b">
        <f t="shared" si="6"/>
        <v>0</v>
      </c>
      <c r="M105" s="60" t="str">
        <f>IFERROR(__xludf.DUMMYFUNCTION("if(regexmatch(B105,""e(.*)$""),regexextract(B105,""e(.*)$""),"""")"),"")</f>
        <v/>
      </c>
    </row>
    <row r="106" hidden="1">
      <c r="A106" s="17" t="s">
        <v>1886</v>
      </c>
      <c r="B106" s="17" t="s">
        <v>2861</v>
      </c>
      <c r="C106" s="17" t="s">
        <v>2862</v>
      </c>
      <c r="E106" s="60" t="str">
        <f>VLOOKUP($A106,nist_names_ids!A:B,2,false)</f>
        <v>mesmp</v>
      </c>
      <c r="F106" s="61">
        <f>countif(Constants!A:A,E106)</f>
        <v>1</v>
      </c>
      <c r="G106" s="62" t="str">
        <f t="shared" si="1"/>
        <v>5.44617021487e-4</v>
      </c>
      <c r="H106" s="62">
        <f t="shared" si="2"/>
        <v>0.0005446170215</v>
      </c>
      <c r="I106" s="62" t="str">
        <f t="shared" si="3"/>
        <v>0.00000000033e-4</v>
      </c>
      <c r="J106" s="63">
        <f t="shared" si="4"/>
        <v>0</v>
      </c>
      <c r="K106" s="62" t="b">
        <f t="shared" si="5"/>
        <v>0</v>
      </c>
      <c r="L106" s="62" t="b">
        <f t="shared" si="6"/>
        <v>0</v>
      </c>
      <c r="M106" s="60" t="str">
        <f>IFERROR(__xludf.DUMMYFUNCTION("if(regexmatch(B106,""e(.*)$""),regexextract(B106,""e(.*)$""),"""")"),"-4")</f>
        <v>-4</v>
      </c>
    </row>
    <row r="107" hidden="1">
      <c r="A107" s="17" t="s">
        <v>1893</v>
      </c>
      <c r="B107" s="17" t="s">
        <v>2827</v>
      </c>
      <c r="C107" s="17" t="s">
        <v>2828</v>
      </c>
      <c r="E107" s="60" t="str">
        <f>VLOOKUP($A107,nist_names_ids!A:B,2,false)</f>
        <v>are</v>
      </c>
      <c r="F107" s="61">
        <f>countif(Constants!A:A,E107)</f>
        <v>1</v>
      </c>
      <c r="G107" s="62" t="str">
        <f t="shared" si="1"/>
        <v>5.48579909065e-4</v>
      </c>
      <c r="H107" s="62">
        <f t="shared" si="2"/>
        <v>0.0005485799091</v>
      </c>
      <c r="I107" s="62" t="str">
        <f t="shared" si="3"/>
        <v>0.00000000016e-4</v>
      </c>
      <c r="J107" s="63">
        <f t="shared" si="4"/>
        <v>0</v>
      </c>
      <c r="K107" s="62" t="b">
        <f t="shared" si="5"/>
        <v>0</v>
      </c>
      <c r="L107" s="62" t="b">
        <f t="shared" si="6"/>
        <v>0</v>
      </c>
      <c r="M107" s="60" t="str">
        <f>IFERROR(__xludf.DUMMYFUNCTION("if(regexmatch(B107,""e(.*)$""),regexextract(B107,""e(.*)$""),"""")"),"-4")</f>
        <v>-4</v>
      </c>
    </row>
    <row r="108" hidden="1">
      <c r="A108" s="17" t="s">
        <v>1896</v>
      </c>
      <c r="B108" s="17" t="s">
        <v>2867</v>
      </c>
      <c r="C108" s="17" t="s">
        <v>1898</v>
      </c>
      <c r="E108" s="60" t="str">
        <f>VLOOKUP($A108,nist_names_ids!A:B,2,false)</f>
        <v>mesmtau</v>
      </c>
      <c r="F108" s="61">
        <f>countif(Constants!A:A,E108)</f>
        <v>1</v>
      </c>
      <c r="G108" s="62" t="str">
        <f t="shared" si="1"/>
        <v>2.87585e-4</v>
      </c>
      <c r="H108" s="62">
        <f t="shared" si="2"/>
        <v>0.000287585</v>
      </c>
      <c r="I108" s="62" t="str">
        <f t="shared" si="3"/>
        <v>0.00019e-4</v>
      </c>
      <c r="J108" s="63">
        <f t="shared" si="4"/>
        <v>0.000000019</v>
      </c>
      <c r="K108" s="62" t="b">
        <f t="shared" si="5"/>
        <v>0</v>
      </c>
      <c r="L108" s="62" t="b">
        <f t="shared" si="6"/>
        <v>0</v>
      </c>
      <c r="M108" s="60" t="str">
        <f>IFERROR(__xludf.DUMMYFUNCTION("if(regexmatch(B108,""e(.*)$""),regexextract(B108,""e(.*)$""),"""")"),"-4")</f>
        <v>-4</v>
      </c>
    </row>
    <row r="109" hidden="1">
      <c r="A109" s="17" t="s">
        <v>1900</v>
      </c>
      <c r="B109" s="17" t="s">
        <v>2875</v>
      </c>
      <c r="C109" s="17" t="s">
        <v>2876</v>
      </c>
      <c r="E109" s="60" t="str">
        <f>VLOOKUP($A109,nist_names_ids!A:B,2,false)</f>
        <v>mesmalpha</v>
      </c>
      <c r="F109" s="61">
        <f>countif(Constants!A:A,E109)</f>
        <v>1</v>
      </c>
      <c r="G109" s="62" t="str">
        <f t="shared" si="1"/>
        <v>1.370933554787e-4</v>
      </c>
      <c r="H109" s="62">
        <f t="shared" si="2"/>
        <v>0.0001370933555</v>
      </c>
      <c r="I109" s="62" t="str">
        <f t="shared" si="3"/>
        <v>0.000000000045e-4</v>
      </c>
      <c r="J109" s="63">
        <f t="shared" si="4"/>
        <v>0</v>
      </c>
      <c r="K109" s="62" t="b">
        <f t="shared" si="5"/>
        <v>0</v>
      </c>
      <c r="L109" s="62" t="b">
        <f t="shared" si="6"/>
        <v>0</v>
      </c>
      <c r="M109" s="60" t="str">
        <f>IFERROR(__xludf.DUMMYFUNCTION("if(regexmatch(B109,""e(.*)$""),regexextract(B109,""e(.*)$""),"""")"),"-4")</f>
        <v>-4</v>
      </c>
    </row>
    <row r="110" hidden="1">
      <c r="A110" s="17" t="s">
        <v>1904</v>
      </c>
      <c r="B110" s="17" t="s">
        <v>2878</v>
      </c>
      <c r="C110" s="17" t="s">
        <v>2879</v>
      </c>
      <c r="E110" s="60" t="str">
        <f>VLOOKUP($A110,nist_names_ids!A:B,2,false)</f>
        <v>muemsmuhp</v>
      </c>
      <c r="F110" s="61">
        <f>countif(Constants!A:A,E110)</f>
        <v>1</v>
      </c>
      <c r="G110" s="62" t="str">
        <f t="shared" si="1"/>
        <v>864.058257</v>
      </c>
      <c r="H110" s="62">
        <f t="shared" si="2"/>
        <v>864.058257</v>
      </c>
      <c r="I110" s="62" t="str">
        <f t="shared" si="3"/>
        <v>0.000010</v>
      </c>
      <c r="J110" s="63">
        <f t="shared" si="4"/>
        <v>0.00001</v>
      </c>
      <c r="K110" s="62" t="b">
        <f t="shared" si="5"/>
        <v>0</v>
      </c>
      <c r="L110" s="62" t="b">
        <f t="shared" si="6"/>
        <v>0</v>
      </c>
      <c r="M110" s="60" t="str">
        <f>IFERROR(__xludf.DUMMYFUNCTION("if(regexmatch(B110,""e(.*)$""),regexextract(B110,""e(.*)$""),"""")"),"")</f>
        <v/>
      </c>
    </row>
    <row r="111" hidden="1">
      <c r="A111" s="17" t="s">
        <v>1910</v>
      </c>
      <c r="B111" s="17" t="s">
        <v>2899</v>
      </c>
      <c r="C111" s="17" t="s">
        <v>2900</v>
      </c>
      <c r="E111" s="60" t="str">
        <f>VLOOKUP($A111,nist_names_ids!A:B,2,false)</f>
        <v>muemsmupp</v>
      </c>
      <c r="F111" s="61">
        <f>countif(Constants!A:A,E111)</f>
        <v>1</v>
      </c>
      <c r="G111" s="62" t="str">
        <f t="shared" si="1"/>
        <v>-658.2275971</v>
      </c>
      <c r="H111" s="62">
        <f t="shared" si="2"/>
        <v>-658.2275971</v>
      </c>
      <c r="I111" s="62" t="str">
        <f t="shared" si="3"/>
        <v>0.0000072</v>
      </c>
      <c r="J111" s="63">
        <f t="shared" si="4"/>
        <v>0.0000072</v>
      </c>
      <c r="K111" s="62" t="b">
        <f t="shared" si="5"/>
        <v>0</v>
      </c>
      <c r="L111" s="62" t="b">
        <f t="shared" si="6"/>
        <v>0</v>
      </c>
      <c r="M111" s="60" t="str">
        <f>IFERROR(__xludf.DUMMYFUNCTION("if(regexmatch(B111,""e(.*)$""),regexextract(B111,""e(.*)$""),"""")"),"")</f>
        <v/>
      </c>
    </row>
    <row r="112" hidden="1">
      <c r="A112" s="17" t="s">
        <v>1916</v>
      </c>
      <c r="B112" s="17" t="s">
        <v>2904</v>
      </c>
      <c r="C112" s="17" t="s">
        <v>2905</v>
      </c>
      <c r="E112" s="60" t="str">
        <f>VLOOKUP($A112,nist_names_ids!A:B,2,false)</f>
        <v>mesmt</v>
      </c>
      <c r="F112" s="61">
        <f>countif(Constants!A:A,E112)</f>
        <v>1</v>
      </c>
      <c r="G112" s="62" t="str">
        <f t="shared" si="1"/>
        <v>1.819200062251e-4</v>
      </c>
      <c r="H112" s="62">
        <f t="shared" si="2"/>
        <v>0.0001819200062</v>
      </c>
      <c r="I112" s="62" t="str">
        <f t="shared" si="3"/>
        <v>0.000000000090e-4</v>
      </c>
      <c r="J112" s="63">
        <f t="shared" si="4"/>
        <v>0</v>
      </c>
      <c r="K112" s="62" t="b">
        <f t="shared" si="5"/>
        <v>0</v>
      </c>
      <c r="L112" s="62" t="b">
        <f t="shared" si="6"/>
        <v>0</v>
      </c>
      <c r="M112" s="60" t="str">
        <f>IFERROR(__xludf.DUMMYFUNCTION("if(regexmatch(B112,""e(.*)$""),regexextract(B112,""e(.*)$""),"""")"),"-4")</f>
        <v>-4</v>
      </c>
    </row>
    <row r="113">
      <c r="A113" s="17" t="s">
        <v>1919</v>
      </c>
      <c r="B113" s="17" t="s">
        <v>2426</v>
      </c>
      <c r="C113" s="17" t="s">
        <v>1501</v>
      </c>
      <c r="D113" s="17" t="s">
        <v>173</v>
      </c>
      <c r="E113" s="60" t="str">
        <f>VLOOKUP($A113,nist_names_ids!A:B,2,false)</f>
        <v>tevj</v>
      </c>
      <c r="F113" s="61">
        <f>countif(Constants!A:A,E113)</f>
        <v>1</v>
      </c>
      <c r="G113" s="62" t="str">
        <f t="shared" si="1"/>
        <v>1.602176634e-19</v>
      </c>
      <c r="H113" s="62">
        <f t="shared" si="2"/>
        <v>0</v>
      </c>
      <c r="I113" s="62" t="str">
        <f t="shared" si="3"/>
        <v>(exact)</v>
      </c>
      <c r="J113" s="63" t="str">
        <f t="shared" si="4"/>
        <v/>
      </c>
      <c r="K113" s="62" t="b">
        <f t="shared" si="5"/>
        <v>1</v>
      </c>
      <c r="L113" s="62" t="b">
        <f t="shared" si="6"/>
        <v>0</v>
      </c>
      <c r="M113" s="60" t="str">
        <f>IFERROR(__xludf.DUMMYFUNCTION("if(regexmatch(B113,""e(.*)$""),regexextract(B113,""e(.*)$""),"""")"),"-19")</f>
        <v>-19</v>
      </c>
    </row>
    <row r="114" hidden="1">
      <c r="A114" s="17" t="s">
        <v>1920</v>
      </c>
      <c r="B114" s="17" t="s">
        <v>2918</v>
      </c>
      <c r="C114" s="17" t="s">
        <v>2919</v>
      </c>
      <c r="D114" s="17" t="s">
        <v>249</v>
      </c>
      <c r="E114" s="60" t="str">
        <f>VLOOKUP($A114,nist_names_ids!A:B,2,false)</f>
        <v>evu</v>
      </c>
      <c r="F114" s="61">
        <f>countif(Constants!A:A,E114)</f>
        <v>1</v>
      </c>
      <c r="G114" s="62" t="str">
        <f t="shared" si="1"/>
        <v>1.07354410233e-9</v>
      </c>
      <c r="H114" s="62">
        <f t="shared" si="2"/>
        <v>0.000000001073544102</v>
      </c>
      <c r="I114" s="62" t="str">
        <f t="shared" si="3"/>
        <v>0.00000000032e-9</v>
      </c>
      <c r="J114" s="63">
        <f t="shared" si="4"/>
        <v>0</v>
      </c>
      <c r="K114" s="62" t="b">
        <f t="shared" si="5"/>
        <v>0</v>
      </c>
      <c r="L114" s="62" t="b">
        <f t="shared" si="6"/>
        <v>0</v>
      </c>
      <c r="M114" s="60" t="str">
        <f>IFERROR(__xludf.DUMMYFUNCTION("if(regexmatch(B114,""e(.*)$""),regexextract(B114,""e(.*)$""),"""")"),"-9")</f>
        <v>-9</v>
      </c>
    </row>
    <row r="115" hidden="1">
      <c r="A115" s="17" t="s">
        <v>1923</v>
      </c>
      <c r="B115" s="17" t="s">
        <v>2926</v>
      </c>
      <c r="C115" s="17" t="s">
        <v>2927</v>
      </c>
      <c r="D115" s="17" t="s">
        <v>170</v>
      </c>
      <c r="E115" s="60" t="str">
        <f>VLOOKUP($A115,nist_names_ids!A:B,2,false)</f>
        <v>evhr</v>
      </c>
      <c r="F115" s="61">
        <f>countif(Constants!A:A,E115)</f>
        <v>1</v>
      </c>
      <c r="G115" s="62" t="str">
        <f t="shared" si="1"/>
        <v>3.6749322175655e-2</v>
      </c>
      <c r="H115" s="62">
        <f t="shared" si="2"/>
        <v>0.03674932218</v>
      </c>
      <c r="I115" s="62" t="str">
        <f t="shared" si="3"/>
        <v>0.0000000000071e-2</v>
      </c>
      <c r="J115" s="63">
        <f t="shared" si="4"/>
        <v>0</v>
      </c>
      <c r="K115" s="62" t="b">
        <f t="shared" si="5"/>
        <v>0</v>
      </c>
      <c r="L115" s="62" t="b">
        <f t="shared" si="6"/>
        <v>0</v>
      </c>
      <c r="M115" s="60" t="str">
        <f>IFERROR(__xludf.DUMMYFUNCTION("if(regexmatch(B115,""e(.*)$""),regexextract(B115,""e(.*)$""),"""")"),"-2")</f>
        <v>-2</v>
      </c>
    </row>
    <row r="116">
      <c r="A116" s="17" t="s">
        <v>1931</v>
      </c>
      <c r="B116" s="17" t="s">
        <v>2934</v>
      </c>
      <c r="C116" s="17" t="s">
        <v>1501</v>
      </c>
      <c r="D116" s="17" t="s">
        <v>257</v>
      </c>
      <c r="E116" s="60" t="str">
        <f>VLOOKUP($A116,nist_names_ids!A:B,2,false)</f>
        <v>evhz</v>
      </c>
      <c r="F116" s="61">
        <f>countif(Constants!A:A,E116)</f>
        <v>1</v>
      </c>
      <c r="G116" s="62" t="str">
        <f t="shared" si="1"/>
        <v>2.417989242e14</v>
      </c>
      <c r="H116" s="62">
        <f t="shared" si="2"/>
        <v>241798924200000</v>
      </c>
      <c r="I116" s="62" t="str">
        <f t="shared" si="3"/>
        <v>(exact)</v>
      </c>
      <c r="J116" s="63" t="str">
        <f t="shared" si="4"/>
        <v/>
      </c>
      <c r="K116" s="62" t="b">
        <f t="shared" si="5"/>
        <v>1</v>
      </c>
      <c r="L116" s="62" t="b">
        <f t="shared" si="6"/>
        <v>1</v>
      </c>
      <c r="M116" s="60" t="str">
        <f>IFERROR(__xludf.DUMMYFUNCTION("if(regexmatch(B116,""e(.*)$""),regexextract(B116,""e(.*)$""),"""")"),"14")</f>
        <v>14</v>
      </c>
    </row>
    <row r="117">
      <c r="A117" s="17" t="s">
        <v>1934</v>
      </c>
      <c r="B117" s="17" t="s">
        <v>2937</v>
      </c>
      <c r="C117" s="17" t="s">
        <v>1501</v>
      </c>
      <c r="D117" s="17" t="s">
        <v>561</v>
      </c>
      <c r="E117" s="60" t="str">
        <f>VLOOKUP($A117,nist_names_ids!A:B,2,false)</f>
        <v>evminv</v>
      </c>
      <c r="F117" s="61">
        <f>countif(Constants!A:A,E117)</f>
        <v>1</v>
      </c>
      <c r="G117" s="62" t="str">
        <f t="shared" si="1"/>
        <v>8.065543937e5</v>
      </c>
      <c r="H117" s="62">
        <f t="shared" si="2"/>
        <v>806554.3937</v>
      </c>
      <c r="I117" s="62" t="str">
        <f t="shared" si="3"/>
        <v>(exact)</v>
      </c>
      <c r="J117" s="63" t="str">
        <f t="shared" si="4"/>
        <v/>
      </c>
      <c r="K117" s="62" t="b">
        <f t="shared" si="5"/>
        <v>1</v>
      </c>
      <c r="L117" s="62" t="b">
        <f t="shared" si="6"/>
        <v>1</v>
      </c>
      <c r="M117" s="60" t="str">
        <f>IFERROR(__xludf.DUMMYFUNCTION("if(regexmatch(B117,""e(.*)$""),regexextract(B117,""e(.*)$""),"""")"),"5")</f>
        <v>5</v>
      </c>
    </row>
    <row r="118">
      <c r="A118" s="17" t="s">
        <v>1937</v>
      </c>
      <c r="B118" s="17" t="s">
        <v>2426</v>
      </c>
      <c r="C118" s="17" t="s">
        <v>1501</v>
      </c>
      <c r="D118" s="17" t="s">
        <v>173</v>
      </c>
      <c r="E118" s="60" t="str">
        <f>VLOOKUP($A118,nist_names_ids!A:B,2,false)</f>
        <v>evj</v>
      </c>
      <c r="F118" s="61">
        <f>countif(Constants!A:A,E118)</f>
        <v>1</v>
      </c>
      <c r="G118" s="62" t="str">
        <f t="shared" si="1"/>
        <v>1.602176634e-19</v>
      </c>
      <c r="H118" s="62">
        <f t="shared" si="2"/>
        <v>0</v>
      </c>
      <c r="I118" s="62" t="str">
        <f t="shared" si="3"/>
        <v>(exact)</v>
      </c>
      <c r="J118" s="63" t="str">
        <f t="shared" si="4"/>
        <v/>
      </c>
      <c r="K118" s="62" t="b">
        <f t="shared" si="5"/>
        <v>1</v>
      </c>
      <c r="L118" s="62" t="b">
        <f t="shared" si="6"/>
        <v>0</v>
      </c>
      <c r="M118" s="60" t="str">
        <f>IFERROR(__xludf.DUMMYFUNCTION("if(regexmatch(B118,""e(.*)$""),regexextract(B118,""e(.*)$""),"""")"),"-19")</f>
        <v>-19</v>
      </c>
    </row>
    <row r="119">
      <c r="A119" s="17" t="s">
        <v>1940</v>
      </c>
      <c r="B119" s="17" t="s">
        <v>2947</v>
      </c>
      <c r="C119" s="17" t="s">
        <v>1501</v>
      </c>
      <c r="D119" s="17" t="s">
        <v>345</v>
      </c>
      <c r="E119" s="60" t="str">
        <f>VLOOKUP($A119,nist_names_ids!A:B,2,false)</f>
        <v>evk</v>
      </c>
      <c r="F119" s="61">
        <f>countif(Constants!A:A,E119)</f>
        <v>1</v>
      </c>
      <c r="G119" s="62" t="str">
        <f t="shared" si="1"/>
        <v>1.160451812e4</v>
      </c>
      <c r="H119" s="62">
        <f t="shared" si="2"/>
        <v>11604.51812</v>
      </c>
      <c r="I119" s="62" t="str">
        <f t="shared" si="3"/>
        <v>(exact)</v>
      </c>
      <c r="J119" s="63" t="str">
        <f t="shared" si="4"/>
        <v/>
      </c>
      <c r="K119" s="62" t="b">
        <f t="shared" si="5"/>
        <v>1</v>
      </c>
      <c r="L119" s="62" t="b">
        <f t="shared" si="6"/>
        <v>1</v>
      </c>
      <c r="M119" s="60" t="str">
        <f>IFERROR(__xludf.DUMMYFUNCTION("if(regexmatch(B119,""e(.*)$""),regexextract(B119,""e(.*)$""),"""")"),"4")</f>
        <v>4</v>
      </c>
    </row>
    <row r="120">
      <c r="A120" s="17" t="s">
        <v>1944</v>
      </c>
      <c r="B120" s="17" t="s">
        <v>2954</v>
      </c>
      <c r="C120" s="17" t="s">
        <v>1501</v>
      </c>
      <c r="D120" s="17" t="s">
        <v>98</v>
      </c>
      <c r="E120" s="60" t="str">
        <f>VLOOKUP($A120,nist_names_ids!A:B,2,false)</f>
        <v>evkg</v>
      </c>
      <c r="F120" s="61">
        <f>countif(Constants!A:A,E120)</f>
        <v>1</v>
      </c>
      <c r="G120" s="62" t="str">
        <f t="shared" si="1"/>
        <v>1.782661921e-36</v>
      </c>
      <c r="H120" s="62">
        <f t="shared" si="2"/>
        <v>0</v>
      </c>
      <c r="I120" s="62" t="str">
        <f t="shared" si="3"/>
        <v>(exact)</v>
      </c>
      <c r="J120" s="63" t="str">
        <f t="shared" si="4"/>
        <v/>
      </c>
      <c r="K120" s="62" t="b">
        <f t="shared" si="5"/>
        <v>1</v>
      </c>
      <c r="L120" s="62" t="b">
        <f t="shared" si="6"/>
        <v>1</v>
      </c>
      <c r="M120" s="60" t="str">
        <f>IFERROR(__xludf.DUMMYFUNCTION("if(regexmatch(B120,""e(.*)$""),regexextract(B120,""e(.*)$""),"""")"),"-36")</f>
        <v>-36</v>
      </c>
    </row>
    <row r="121">
      <c r="A121" s="17" t="s">
        <v>1947</v>
      </c>
      <c r="B121" s="17" t="s">
        <v>2426</v>
      </c>
      <c r="C121" s="17" t="s">
        <v>1501</v>
      </c>
      <c r="D121" s="17" t="s">
        <v>81</v>
      </c>
      <c r="E121" s="60" t="str">
        <f>VLOOKUP($A121,nist_names_ids!A:B,2,false)</f>
        <v>e</v>
      </c>
      <c r="F121" s="61">
        <f>countif(Constants!A:A,E121)</f>
        <v>1</v>
      </c>
      <c r="G121" s="62" t="str">
        <f t="shared" si="1"/>
        <v>1.602176634e-19</v>
      </c>
      <c r="H121" s="62">
        <f t="shared" si="2"/>
        <v>0</v>
      </c>
      <c r="I121" s="62" t="str">
        <f t="shared" si="3"/>
        <v>(exact)</v>
      </c>
      <c r="J121" s="63" t="str">
        <f t="shared" si="4"/>
        <v/>
      </c>
      <c r="K121" s="62" t="b">
        <f t="shared" si="5"/>
        <v>1</v>
      </c>
      <c r="L121" s="62" t="b">
        <f t="shared" si="6"/>
        <v>0</v>
      </c>
      <c r="M121" s="60" t="str">
        <f>IFERROR(__xludf.DUMMYFUNCTION("if(regexmatch(B121,""e(.*)$""),regexextract(B121,""e(.*)$""),"""")"),"-19")</f>
        <v>-19</v>
      </c>
    </row>
    <row r="122">
      <c r="A122" s="17" t="s">
        <v>1949</v>
      </c>
      <c r="B122" s="17" t="s">
        <v>2962</v>
      </c>
      <c r="C122" s="17" t="s">
        <v>1501</v>
      </c>
      <c r="D122" s="17" t="s">
        <v>1951</v>
      </c>
      <c r="E122" s="60" t="str">
        <f>VLOOKUP($A122,nist_names_ids!A:B,2,false)</f>
        <v>eshbar</v>
      </c>
      <c r="F122" s="61">
        <f>countif(Constants!A:A,E122)</f>
        <v>1</v>
      </c>
      <c r="G122" s="62" t="str">
        <f t="shared" si="1"/>
        <v>1.519267447e15</v>
      </c>
      <c r="H122" s="62">
        <f t="shared" si="2"/>
        <v>1.51927E+15</v>
      </c>
      <c r="I122" s="62" t="str">
        <f t="shared" si="3"/>
        <v>(exact)</v>
      </c>
      <c r="J122" s="63" t="str">
        <f t="shared" si="4"/>
        <v/>
      </c>
      <c r="K122" s="62" t="b">
        <f t="shared" si="5"/>
        <v>1</v>
      </c>
      <c r="L122" s="62" t="b">
        <f t="shared" si="6"/>
        <v>1</v>
      </c>
      <c r="M122" s="60" t="str">
        <f>IFERROR(__xludf.DUMMYFUNCTION("if(regexmatch(B122,""e(.*)$""),regexextract(B122,""e(.*)$""),"""")"),"15")</f>
        <v>15</v>
      </c>
    </row>
    <row r="123">
      <c r="A123" s="17" t="s">
        <v>1956</v>
      </c>
      <c r="B123" s="17" t="s">
        <v>2971</v>
      </c>
      <c r="C123" s="17" t="s">
        <v>1501</v>
      </c>
      <c r="D123" s="17" t="s">
        <v>1958</v>
      </c>
      <c r="E123" s="60" t="str">
        <f>VLOOKUP($A123,nist_names_ids!A:B,2,false)</f>
        <v>f</v>
      </c>
      <c r="F123" s="61">
        <f>countif(Constants!A:A,E123)</f>
        <v>1</v>
      </c>
      <c r="G123" s="62" t="str">
        <f t="shared" si="1"/>
        <v>96485.33212</v>
      </c>
      <c r="H123" s="62">
        <f t="shared" si="2"/>
        <v>96485.33212</v>
      </c>
      <c r="I123" s="62" t="str">
        <f t="shared" si="3"/>
        <v>(exact)</v>
      </c>
      <c r="J123" s="63" t="str">
        <f t="shared" si="4"/>
        <v/>
      </c>
      <c r="K123" s="62" t="b">
        <f t="shared" si="5"/>
        <v>1</v>
      </c>
      <c r="L123" s="62" t="b">
        <f t="shared" si="6"/>
        <v>1</v>
      </c>
      <c r="M123" s="60" t="str">
        <f>IFERROR(__xludf.DUMMYFUNCTION("if(regexmatch(B123,""e(.*)$""),regexextract(B123,""e(.*)$""),"""")"),"")</f>
        <v/>
      </c>
    </row>
    <row r="124" hidden="1">
      <c r="A124" s="17" t="s">
        <v>1960</v>
      </c>
      <c r="B124" s="17" t="s">
        <v>2979</v>
      </c>
      <c r="C124" s="17" t="s">
        <v>1962</v>
      </c>
      <c r="D124" s="17" t="s">
        <v>1963</v>
      </c>
      <c r="E124" s="60" t="str">
        <f>VLOOKUP($A124,nist_names_ids!A:B,2,false)</f>
        <v>gf</v>
      </c>
      <c r="F124" s="61">
        <f>countif(Constants!A:A,E124)</f>
        <v>1</v>
      </c>
      <c r="G124" s="62" t="str">
        <f t="shared" si="1"/>
        <v>1.1663787e-5</v>
      </c>
      <c r="H124" s="62">
        <f t="shared" si="2"/>
        <v>0.000011663787</v>
      </c>
      <c r="I124" s="62" t="str">
        <f t="shared" si="3"/>
        <v>0.0000006e-5</v>
      </c>
      <c r="J124" s="63">
        <f t="shared" si="4"/>
        <v>0</v>
      </c>
      <c r="K124" s="62" t="b">
        <f t="shared" si="5"/>
        <v>0</v>
      </c>
      <c r="L124" s="62" t="b">
        <f t="shared" si="6"/>
        <v>0</v>
      </c>
      <c r="M124" s="60" t="str">
        <f>IFERROR(__xludf.DUMMYFUNCTION("if(regexmatch(B124,""e(.*)$""),regexextract(B124,""e(.*)$""),"""")"),"-5")</f>
        <v>-5</v>
      </c>
    </row>
    <row r="125" hidden="1">
      <c r="A125" s="17" t="s">
        <v>1966</v>
      </c>
      <c r="B125" s="17" t="s">
        <v>2982</v>
      </c>
      <c r="C125" s="17" t="s">
        <v>1968</v>
      </c>
      <c r="E125" s="60" t="str">
        <f>VLOOKUP($A125,nist_names_ids!A:B,2,false)</f>
        <v>alph</v>
      </c>
      <c r="F125" s="61">
        <f>countif(Constants!A:A,E125)</f>
        <v>1</v>
      </c>
      <c r="G125" s="62" t="str">
        <f t="shared" si="1"/>
        <v>7.2973525693e-3</v>
      </c>
      <c r="H125" s="62">
        <f t="shared" si="2"/>
        <v>0.007297352569</v>
      </c>
      <c r="I125" s="62" t="str">
        <f t="shared" si="3"/>
        <v>0.0000000011e-3</v>
      </c>
      <c r="J125" s="63">
        <f t="shared" si="4"/>
        <v>0</v>
      </c>
      <c r="K125" s="62" t="b">
        <f t="shared" si="5"/>
        <v>0</v>
      </c>
      <c r="L125" s="62" t="b">
        <f t="shared" si="6"/>
        <v>0</v>
      </c>
      <c r="M125" s="60" t="str">
        <f>IFERROR(__xludf.DUMMYFUNCTION("if(regexmatch(B125,""e(.*)$""),regexextract(B125,""e(.*)$""),"""")"),"-3")</f>
        <v>-3</v>
      </c>
    </row>
    <row r="126">
      <c r="A126" s="17" t="s">
        <v>1972</v>
      </c>
      <c r="B126" s="17" t="s">
        <v>2990</v>
      </c>
      <c r="C126" s="17" t="s">
        <v>1501</v>
      </c>
      <c r="D126" s="17" t="s">
        <v>1974</v>
      </c>
      <c r="E126" s="60" t="str">
        <f>VLOOKUP($A126,nist_names_ids!A:B,2,false)</f>
        <v>c11strc</v>
      </c>
      <c r="F126" s="61">
        <f>countif(Constants!A:A,E126)</f>
        <v>1</v>
      </c>
      <c r="G126" s="62" t="str">
        <f t="shared" si="1"/>
        <v>3.741771852e-16</v>
      </c>
      <c r="H126" s="62">
        <f t="shared" si="2"/>
        <v>0</v>
      </c>
      <c r="I126" s="62" t="str">
        <f t="shared" si="3"/>
        <v>(exact)</v>
      </c>
      <c r="J126" s="63" t="str">
        <f t="shared" si="4"/>
        <v/>
      </c>
      <c r="K126" s="62" t="b">
        <f t="shared" si="5"/>
        <v>1</v>
      </c>
      <c r="L126" s="62" t="b">
        <f t="shared" si="6"/>
        <v>1</v>
      </c>
      <c r="M126" s="60" t="str">
        <f>IFERROR(__xludf.DUMMYFUNCTION("if(regexmatch(B126,""e(.*)$""),regexextract(B126,""e(.*)$""),"""")"),"-16")</f>
        <v>-16</v>
      </c>
    </row>
    <row r="127">
      <c r="A127" s="17" t="s">
        <v>1979</v>
      </c>
      <c r="B127" s="17" t="s">
        <v>2992</v>
      </c>
      <c r="C127" s="17" t="s">
        <v>1501</v>
      </c>
      <c r="D127" s="17" t="s">
        <v>1982</v>
      </c>
      <c r="E127" s="60" t="str">
        <f>VLOOKUP($A127,nist_names_ids!A:B,2,false)</f>
        <v>c1l</v>
      </c>
      <c r="F127" s="61">
        <f>countif(Constants!A:A,E127)</f>
        <v>1</v>
      </c>
      <c r="G127" s="62" t="str">
        <f t="shared" si="1"/>
        <v>1.191042972e-16</v>
      </c>
      <c r="H127" s="62">
        <f t="shared" si="2"/>
        <v>0</v>
      </c>
      <c r="I127" s="62" t="str">
        <f t="shared" si="3"/>
        <v>(exact)</v>
      </c>
      <c r="J127" s="63" t="str">
        <f t="shared" si="4"/>
        <v/>
      </c>
      <c r="K127" s="62" t="b">
        <f t="shared" si="5"/>
        <v>1</v>
      </c>
      <c r="L127" s="62" t="b">
        <f t="shared" si="6"/>
        <v>1</v>
      </c>
      <c r="M127" s="60" t="str">
        <f>IFERROR(__xludf.DUMMYFUNCTION("if(regexmatch(B127,""e(.*)$""),regexextract(B127,""e(.*)$""),"""")"),"-16")</f>
        <v>-16</v>
      </c>
    </row>
    <row r="128" hidden="1">
      <c r="A128" s="17" t="s">
        <v>1984</v>
      </c>
      <c r="B128" s="17" t="s">
        <v>2995</v>
      </c>
      <c r="C128" s="17" t="s">
        <v>2996</v>
      </c>
      <c r="D128" s="17" t="s">
        <v>249</v>
      </c>
      <c r="E128" s="60" t="str">
        <f>VLOOKUP($A128,nist_names_ids!A:B,2,false)</f>
        <v>hru</v>
      </c>
      <c r="F128" s="61">
        <f>countif(Constants!A:A,E128)</f>
        <v>1</v>
      </c>
      <c r="G128" s="62" t="str">
        <f t="shared" si="1"/>
        <v>2.92126232205e-8</v>
      </c>
      <c r="H128" s="62">
        <f t="shared" si="2"/>
        <v>0.00000002921262322</v>
      </c>
      <c r="I128" s="62" t="str">
        <f t="shared" si="3"/>
        <v>0.00000000088e-8</v>
      </c>
      <c r="J128" s="63">
        <f t="shared" si="4"/>
        <v>0</v>
      </c>
      <c r="K128" s="62" t="b">
        <f t="shared" si="5"/>
        <v>0</v>
      </c>
      <c r="L128" s="62" t="b">
        <f t="shared" si="6"/>
        <v>0</v>
      </c>
      <c r="M128" s="60" t="str">
        <f>IFERROR(__xludf.DUMMYFUNCTION("if(regexmatch(B128,""e(.*)$""),regexextract(B128,""e(.*)$""),"""")"),"-8")</f>
        <v>-8</v>
      </c>
    </row>
    <row r="129" hidden="1">
      <c r="A129" s="17" t="s">
        <v>1988</v>
      </c>
      <c r="B129" s="17" t="s">
        <v>2462</v>
      </c>
      <c r="C129" s="17" t="s">
        <v>2463</v>
      </c>
      <c r="D129" s="17" t="s">
        <v>181</v>
      </c>
      <c r="E129" s="60" t="str">
        <f>VLOOKUP($A129,nist_names_ids!A:B,2,false)</f>
        <v>hrev</v>
      </c>
      <c r="F129" s="61">
        <f>countif(Constants!A:A,E129)</f>
        <v>1</v>
      </c>
      <c r="G129" s="62" t="str">
        <f t="shared" si="1"/>
        <v>27.211386245988</v>
      </c>
      <c r="H129" s="62">
        <f t="shared" si="2"/>
        <v>27.21138625</v>
      </c>
      <c r="I129" s="62" t="str">
        <f t="shared" si="3"/>
        <v>0.000000000053</v>
      </c>
      <c r="J129" s="63">
        <f t="shared" si="4"/>
        <v>0</v>
      </c>
      <c r="K129" s="62" t="b">
        <f t="shared" si="5"/>
        <v>0</v>
      </c>
      <c r="L129" s="62" t="b">
        <f t="shared" si="6"/>
        <v>0</v>
      </c>
      <c r="M129" s="60" t="str">
        <f>IFERROR(__xludf.DUMMYFUNCTION("if(regexmatch(B129,""e(.*)$""),regexextract(B129,""e(.*)$""),"""")"),"")</f>
        <v/>
      </c>
    </row>
    <row r="130" hidden="1">
      <c r="A130" s="17" t="s">
        <v>1990</v>
      </c>
      <c r="B130" s="17" t="s">
        <v>2475</v>
      </c>
      <c r="C130" s="17" t="s">
        <v>2477</v>
      </c>
      <c r="D130" s="17" t="s">
        <v>173</v>
      </c>
      <c r="E130" s="60" t="str">
        <f>VLOOKUP($A130,nist_names_ids!A:B,2,false)</f>
        <v>hr</v>
      </c>
      <c r="F130" s="61">
        <f>countif(Constants!A:A,E130)</f>
        <v>1</v>
      </c>
      <c r="G130" s="62" t="str">
        <f t="shared" si="1"/>
        <v>4.3597447222071e-18</v>
      </c>
      <c r="H130" s="62">
        <f t="shared" si="2"/>
        <v>0</v>
      </c>
      <c r="I130" s="62" t="str">
        <f t="shared" si="3"/>
        <v>0.0000000000085e-18</v>
      </c>
      <c r="J130" s="63">
        <f t="shared" si="4"/>
        <v>0</v>
      </c>
      <c r="K130" s="62" t="b">
        <f t="shared" si="5"/>
        <v>0</v>
      </c>
      <c r="L130" s="62" t="b">
        <f t="shared" si="6"/>
        <v>0</v>
      </c>
      <c r="M130" s="60" t="str">
        <f>IFERROR(__xludf.DUMMYFUNCTION("if(regexmatch(B130,""e(.*)$""),regexextract(B130,""e(.*)$""),"""")"),"-18")</f>
        <v>-18</v>
      </c>
    </row>
    <row r="131" hidden="1">
      <c r="A131" s="17" t="s">
        <v>1993</v>
      </c>
      <c r="B131" s="17" t="s">
        <v>2462</v>
      </c>
      <c r="C131" s="17" t="s">
        <v>2463</v>
      </c>
      <c r="D131" s="17" t="s">
        <v>181</v>
      </c>
      <c r="E131" s="60" t="str">
        <f>VLOOKUP($A131,nist_names_ids!A:B,2,false)</f>
        <v>threv</v>
      </c>
      <c r="F131" s="61">
        <f>countif(Constants!A:A,E131)</f>
        <v>1</v>
      </c>
      <c r="G131" s="62" t="str">
        <f t="shared" si="1"/>
        <v>27.211386245988</v>
      </c>
      <c r="H131" s="62">
        <f t="shared" si="2"/>
        <v>27.21138625</v>
      </c>
      <c r="I131" s="62" t="str">
        <f t="shared" si="3"/>
        <v>0.000000000053</v>
      </c>
      <c r="J131" s="63">
        <f t="shared" si="4"/>
        <v>0</v>
      </c>
      <c r="K131" s="62" t="b">
        <f t="shared" si="5"/>
        <v>0</v>
      </c>
      <c r="L131" s="62" t="b">
        <f t="shared" si="6"/>
        <v>0</v>
      </c>
      <c r="M131" s="60" t="str">
        <f>IFERROR(__xludf.DUMMYFUNCTION("if(regexmatch(B131,""e(.*)$""),regexextract(B131,""e(.*)$""),"""")"),"")</f>
        <v/>
      </c>
    </row>
    <row r="132" hidden="1">
      <c r="A132" s="17" t="s">
        <v>1997</v>
      </c>
      <c r="B132" s="17" t="s">
        <v>3016</v>
      </c>
      <c r="C132" s="17" t="s">
        <v>3017</v>
      </c>
      <c r="D132" s="17" t="s">
        <v>257</v>
      </c>
      <c r="E132" s="60" t="str">
        <f>VLOOKUP($A132,nist_names_ids!A:B,2,false)</f>
        <v>hrhz</v>
      </c>
      <c r="F132" s="61">
        <f>countif(Constants!A:A,E132)</f>
        <v>1</v>
      </c>
      <c r="G132" s="62" t="str">
        <f t="shared" si="1"/>
        <v>6.579683920502e15</v>
      </c>
      <c r="H132" s="62">
        <f t="shared" si="2"/>
        <v>6.57968E+15</v>
      </c>
      <c r="I132" s="62" t="str">
        <f t="shared" si="3"/>
        <v>0.000000000013e15</v>
      </c>
      <c r="J132" s="63">
        <f t="shared" si="4"/>
        <v>13000</v>
      </c>
      <c r="K132" s="62" t="b">
        <f t="shared" si="5"/>
        <v>0</v>
      </c>
      <c r="L132" s="62" t="b">
        <f t="shared" si="6"/>
        <v>0</v>
      </c>
      <c r="M132" s="60" t="str">
        <f>IFERROR(__xludf.DUMMYFUNCTION("if(regexmatch(B132,""e(.*)$""),regexextract(B132,""e(.*)$""),"""")"),"15")</f>
        <v>15</v>
      </c>
    </row>
    <row r="133" hidden="1">
      <c r="A133" s="17" t="s">
        <v>2000</v>
      </c>
      <c r="B133" s="17" t="s">
        <v>3020</v>
      </c>
      <c r="C133" s="17" t="s">
        <v>3021</v>
      </c>
      <c r="D133" s="17" t="s">
        <v>561</v>
      </c>
      <c r="E133" s="60" t="str">
        <f>VLOOKUP($A133,nist_names_ids!A:B,2,false)</f>
        <v>hrminv</v>
      </c>
      <c r="F133" s="61">
        <f>countif(Constants!A:A,E133)</f>
        <v>1</v>
      </c>
      <c r="G133" s="62" t="str">
        <f t="shared" si="1"/>
        <v>2.1947463136320e7</v>
      </c>
      <c r="H133" s="62">
        <f t="shared" si="2"/>
        <v>21947463.14</v>
      </c>
      <c r="I133" s="62" t="str">
        <f t="shared" si="3"/>
        <v>0.0000000000043e7</v>
      </c>
      <c r="J133" s="63">
        <f t="shared" si="4"/>
        <v>0.000043</v>
      </c>
      <c r="K133" s="62" t="b">
        <f t="shared" si="5"/>
        <v>0</v>
      </c>
      <c r="L133" s="62" t="b">
        <f t="shared" si="6"/>
        <v>0</v>
      </c>
      <c r="M133" s="60" t="str">
        <f>IFERROR(__xludf.DUMMYFUNCTION("if(regexmatch(B133,""e(.*)$""),regexextract(B133,""e(.*)$""),"""")"),"7")</f>
        <v>7</v>
      </c>
    </row>
    <row r="134" hidden="1">
      <c r="A134" s="17" t="s">
        <v>2004</v>
      </c>
      <c r="B134" s="17" t="s">
        <v>2475</v>
      </c>
      <c r="C134" s="17" t="s">
        <v>2477</v>
      </c>
      <c r="D134" s="17" t="s">
        <v>173</v>
      </c>
      <c r="E134" s="60" t="str">
        <f>VLOOKUP($A134,nist_names_ids!A:B,2,false)</f>
        <v>hrj</v>
      </c>
      <c r="F134" s="61">
        <f>countif(Constants!A:A,E134)</f>
        <v>1</v>
      </c>
      <c r="G134" s="62" t="str">
        <f t="shared" si="1"/>
        <v>4.3597447222071e-18</v>
      </c>
      <c r="H134" s="62">
        <f t="shared" si="2"/>
        <v>0</v>
      </c>
      <c r="I134" s="62" t="str">
        <f t="shared" si="3"/>
        <v>0.0000000000085e-18</v>
      </c>
      <c r="J134" s="63">
        <f t="shared" si="4"/>
        <v>0</v>
      </c>
      <c r="K134" s="62" t="b">
        <f t="shared" si="5"/>
        <v>0</v>
      </c>
      <c r="L134" s="62" t="b">
        <f t="shared" si="6"/>
        <v>0</v>
      </c>
      <c r="M134" s="60" t="str">
        <f>IFERROR(__xludf.DUMMYFUNCTION("if(regexmatch(B134,""e(.*)$""),regexextract(B134,""e(.*)$""),"""")"),"-18")</f>
        <v>-18</v>
      </c>
    </row>
    <row r="135" hidden="1">
      <c r="A135" s="17" t="s">
        <v>2009</v>
      </c>
      <c r="B135" s="17" t="s">
        <v>3026</v>
      </c>
      <c r="C135" s="17" t="s">
        <v>3027</v>
      </c>
      <c r="D135" s="17" t="s">
        <v>345</v>
      </c>
      <c r="E135" s="60" t="str">
        <f>VLOOKUP($A135,nist_names_ids!A:B,2,false)</f>
        <v>hrk</v>
      </c>
      <c r="F135" s="61">
        <f>countif(Constants!A:A,E135)</f>
        <v>1</v>
      </c>
      <c r="G135" s="62" t="str">
        <f t="shared" si="1"/>
        <v>3.1577502480407e5</v>
      </c>
      <c r="H135" s="62">
        <f t="shared" si="2"/>
        <v>315775.0248</v>
      </c>
      <c r="I135" s="62" t="str">
        <f t="shared" si="3"/>
        <v>0.0000000000061e5</v>
      </c>
      <c r="J135" s="63">
        <f t="shared" si="4"/>
        <v>0.00000061</v>
      </c>
      <c r="K135" s="62" t="b">
        <f t="shared" si="5"/>
        <v>0</v>
      </c>
      <c r="L135" s="62" t="b">
        <f t="shared" si="6"/>
        <v>0</v>
      </c>
      <c r="M135" s="60" t="str">
        <f>IFERROR(__xludf.DUMMYFUNCTION("if(regexmatch(B135,""e(.*)$""),regexextract(B135,""e(.*)$""),"""")"),"5")</f>
        <v>5</v>
      </c>
    </row>
    <row r="136" hidden="1">
      <c r="A136" s="17" t="s">
        <v>2013</v>
      </c>
      <c r="B136" s="17" t="s">
        <v>3028</v>
      </c>
      <c r="C136" s="17" t="s">
        <v>3029</v>
      </c>
      <c r="D136" s="17" t="s">
        <v>98</v>
      </c>
      <c r="E136" s="60" t="str">
        <f>VLOOKUP($A136,nist_names_ids!A:B,2,false)</f>
        <v>hrkg</v>
      </c>
      <c r="F136" s="61">
        <f>countif(Constants!A:A,E136)</f>
        <v>1</v>
      </c>
      <c r="G136" s="62" t="str">
        <f t="shared" si="1"/>
        <v>4.8508702095432e-35</v>
      </c>
      <c r="H136" s="62">
        <f t="shared" si="2"/>
        <v>0</v>
      </c>
      <c r="I136" s="62" t="str">
        <f t="shared" si="3"/>
        <v>0.0000000000094e-35</v>
      </c>
      <c r="J136" s="63">
        <f t="shared" si="4"/>
        <v>0</v>
      </c>
      <c r="K136" s="62" t="b">
        <f t="shared" si="5"/>
        <v>0</v>
      </c>
      <c r="L136" s="62" t="b">
        <f t="shared" si="6"/>
        <v>0</v>
      </c>
      <c r="M136" s="60" t="str">
        <f>IFERROR(__xludf.DUMMYFUNCTION("if(regexmatch(B136,""e(.*)$""),regexextract(B136,""e(.*)$""),"""")"),"-35")</f>
        <v>-35</v>
      </c>
    </row>
    <row r="137" hidden="1">
      <c r="A137" s="17" t="s">
        <v>2018</v>
      </c>
      <c r="B137" s="17" t="s">
        <v>3030</v>
      </c>
      <c r="C137" s="17" t="s">
        <v>2299</v>
      </c>
      <c r="E137" s="60" t="str">
        <f>VLOOKUP($A137,nist_names_ids!A:B,2,false)</f>
        <v>mhsme</v>
      </c>
      <c r="F137" s="61">
        <f>countif(Constants!A:A,E137)</f>
        <v>1</v>
      </c>
      <c r="G137" s="62" t="str">
        <f t="shared" si="1"/>
        <v>5495.88528007</v>
      </c>
      <c r="H137" s="62">
        <f t="shared" si="2"/>
        <v>5495.88528</v>
      </c>
      <c r="I137" s="62" t="str">
        <f t="shared" si="3"/>
        <v>0.00000024</v>
      </c>
      <c r="J137" s="63">
        <f t="shared" si="4"/>
        <v>0.00000024</v>
      </c>
      <c r="K137" s="62" t="b">
        <f t="shared" si="5"/>
        <v>0</v>
      </c>
      <c r="L137" s="62" t="b">
        <f t="shared" si="6"/>
        <v>0</v>
      </c>
      <c r="M137" s="60" t="str">
        <f>IFERROR(__xludf.DUMMYFUNCTION("if(regexmatch(B137,""e(.*)$""),regexextract(B137,""e(.*)$""),"""")"),"")</f>
        <v/>
      </c>
    </row>
    <row r="138" hidden="1">
      <c r="A138" s="17" t="s">
        <v>2024</v>
      </c>
      <c r="B138" s="17" t="s">
        <v>3031</v>
      </c>
      <c r="C138" s="17" t="s">
        <v>3032</v>
      </c>
      <c r="E138" s="60" t="str">
        <f>VLOOKUP($A138,nist_names_ids!A:B,2,false)</f>
        <v>ghn</v>
      </c>
      <c r="F138" s="61">
        <f>countif(Constants!A:A,E138)</f>
        <v>1</v>
      </c>
      <c r="G138" s="62" t="str">
        <f t="shared" si="1"/>
        <v>-4.255250615</v>
      </c>
      <c r="H138" s="62">
        <f t="shared" si="2"/>
        <v>-4.255250615</v>
      </c>
      <c r="I138" s="62" t="str">
        <f t="shared" si="3"/>
        <v>0.000000050</v>
      </c>
      <c r="J138" s="63">
        <f t="shared" si="4"/>
        <v>0.00000005</v>
      </c>
      <c r="K138" s="62" t="b">
        <f t="shared" si="5"/>
        <v>0</v>
      </c>
      <c r="L138" s="62" t="b">
        <f t="shared" si="6"/>
        <v>0</v>
      </c>
      <c r="M138" s="60" t="str">
        <f>IFERROR(__xludf.DUMMYFUNCTION("if(regexmatch(B138,""e(.*)$""),regexextract(B138,""e(.*)$""),"""")"),"")</f>
        <v/>
      </c>
    </row>
    <row r="139" hidden="1">
      <c r="A139" s="17" t="s">
        <v>2036</v>
      </c>
      <c r="B139" s="17" t="s">
        <v>3033</v>
      </c>
      <c r="C139" s="17" t="s">
        <v>3034</v>
      </c>
      <c r="D139" s="17" t="s">
        <v>964</v>
      </c>
      <c r="E139" s="60" t="str">
        <f>VLOOKUP($A139,nist_names_ids!A:B,2,false)</f>
        <v>muh</v>
      </c>
      <c r="F139" s="61">
        <f>countif(Constants!A:A,E139)</f>
        <v>1</v>
      </c>
      <c r="G139" s="62" t="str">
        <f t="shared" si="1"/>
        <v>-1.074617532e-26</v>
      </c>
      <c r="H139" s="62">
        <f t="shared" si="2"/>
        <v>0</v>
      </c>
      <c r="I139" s="62" t="str">
        <f t="shared" si="3"/>
        <v>0.000000013e-26</v>
      </c>
      <c r="J139" s="63">
        <f t="shared" si="4"/>
        <v>0</v>
      </c>
      <c r="K139" s="62" t="b">
        <f t="shared" si="5"/>
        <v>0</v>
      </c>
      <c r="L139" s="62" t="b">
        <f t="shared" si="6"/>
        <v>0</v>
      </c>
      <c r="M139" s="60" t="str">
        <f>IFERROR(__xludf.DUMMYFUNCTION("if(regexmatch(B139,""e(.*)$""),regexextract(B139,""e(.*)$""),"""")"),"-26")</f>
        <v>-26</v>
      </c>
    </row>
    <row r="140" hidden="1">
      <c r="A140" s="17" t="s">
        <v>2042</v>
      </c>
      <c r="B140" s="17" t="s">
        <v>3035</v>
      </c>
      <c r="C140" s="17" t="s">
        <v>3036</v>
      </c>
      <c r="E140" s="60" t="str">
        <f>VLOOKUP($A140,nist_names_ids!A:B,2,false)</f>
        <v>muhsmub</v>
      </c>
      <c r="F140" s="61">
        <f>countif(Constants!A:A,E140)</f>
        <v>1</v>
      </c>
      <c r="G140" s="62" t="str">
        <f t="shared" si="1"/>
        <v>-1.158740958e-3</v>
      </c>
      <c r="H140" s="62">
        <f t="shared" si="2"/>
        <v>-0.001158740958</v>
      </c>
      <c r="I140" s="62" t="str">
        <f t="shared" si="3"/>
        <v>0.000000014e-3</v>
      </c>
      <c r="J140" s="63">
        <f t="shared" si="4"/>
        <v>0</v>
      </c>
      <c r="K140" s="62" t="b">
        <f t="shared" si="5"/>
        <v>0</v>
      </c>
      <c r="L140" s="62" t="b">
        <f t="shared" si="6"/>
        <v>0</v>
      </c>
      <c r="M140" s="60" t="str">
        <f>IFERROR(__xludf.DUMMYFUNCTION("if(regexmatch(B140,""e(.*)$""),regexextract(B140,""e(.*)$""),"""")"),"-3")</f>
        <v>-3</v>
      </c>
    </row>
    <row r="141" hidden="1">
      <c r="A141" s="17" t="s">
        <v>2045</v>
      </c>
      <c r="B141" s="17" t="s">
        <v>3041</v>
      </c>
      <c r="C141" s="17" t="s">
        <v>3043</v>
      </c>
      <c r="E141" s="60" t="str">
        <f>VLOOKUP($A141,nist_names_ids!A:B,2,false)</f>
        <v>muhsmun</v>
      </c>
      <c r="F141" s="61">
        <f>countif(Constants!A:A,E141)</f>
        <v>1</v>
      </c>
      <c r="G141" s="62" t="str">
        <f t="shared" si="1"/>
        <v>-2.127625307</v>
      </c>
      <c r="H141" s="62">
        <f t="shared" si="2"/>
        <v>-2.127625307</v>
      </c>
      <c r="I141" s="62" t="str">
        <f t="shared" si="3"/>
        <v>0.000000025</v>
      </c>
      <c r="J141" s="63">
        <f t="shared" si="4"/>
        <v>0.000000025</v>
      </c>
      <c r="K141" s="62" t="b">
        <f t="shared" si="5"/>
        <v>0</v>
      </c>
      <c r="L141" s="62" t="b">
        <f t="shared" si="6"/>
        <v>0</v>
      </c>
      <c r="M141" s="60" t="str">
        <f>IFERROR(__xludf.DUMMYFUNCTION("if(regexmatch(B141,""e(.*)$""),regexextract(B141,""e(.*)$""),"""")"),"")</f>
        <v/>
      </c>
    </row>
    <row r="142" hidden="1">
      <c r="A142" s="17" t="s">
        <v>2052</v>
      </c>
      <c r="B142" s="17" t="s">
        <v>3044</v>
      </c>
      <c r="C142" s="17" t="s">
        <v>3045</v>
      </c>
      <c r="D142" s="17" t="s">
        <v>98</v>
      </c>
      <c r="E142" s="60" t="str">
        <f>VLOOKUP($A142,nist_names_ids!A:B,2,false)</f>
        <v>mh</v>
      </c>
      <c r="F142" s="61">
        <f>countif(Constants!A:A,E142)</f>
        <v>1</v>
      </c>
      <c r="G142" s="62" t="str">
        <f t="shared" si="1"/>
        <v>5.0064127796e-27</v>
      </c>
      <c r="H142" s="62">
        <f t="shared" si="2"/>
        <v>0</v>
      </c>
      <c r="I142" s="62" t="str">
        <f t="shared" si="3"/>
        <v>0.0000000015e-27</v>
      </c>
      <c r="J142" s="63">
        <f t="shared" si="4"/>
        <v>0</v>
      </c>
      <c r="K142" s="62" t="b">
        <f t="shared" si="5"/>
        <v>0</v>
      </c>
      <c r="L142" s="62" t="b">
        <f t="shared" si="6"/>
        <v>0</v>
      </c>
      <c r="M142" s="60" t="str">
        <f>IFERROR(__xludf.DUMMYFUNCTION("if(regexmatch(B142,""e(.*)$""),regexextract(B142,""e(.*)$""),"""")"),"-27")</f>
        <v>-27</v>
      </c>
    </row>
    <row r="143" hidden="1">
      <c r="A143" s="17" t="s">
        <v>2056</v>
      </c>
      <c r="B143" s="17" t="s">
        <v>3046</v>
      </c>
      <c r="C143" s="17" t="s">
        <v>2058</v>
      </c>
      <c r="D143" s="17" t="s">
        <v>173</v>
      </c>
      <c r="E143" s="60" t="str">
        <f>VLOOKUP($A143,nist_names_ids!A:B,2,false)</f>
        <v>mhc2</v>
      </c>
      <c r="F143" s="61">
        <f>countif(Constants!A:A,E143)</f>
        <v>1</v>
      </c>
      <c r="G143" s="62" t="str">
        <f t="shared" si="1"/>
        <v>4.4995394125e-10</v>
      </c>
      <c r="H143" s="62">
        <f t="shared" si="2"/>
        <v>0.0000000004499539413</v>
      </c>
      <c r="I143" s="62" t="str">
        <f t="shared" si="3"/>
        <v>0.0000000014e-10</v>
      </c>
      <c r="J143" s="63">
        <f t="shared" si="4"/>
        <v>0</v>
      </c>
      <c r="K143" s="62" t="b">
        <f t="shared" si="5"/>
        <v>0</v>
      </c>
      <c r="L143" s="62" t="b">
        <f t="shared" si="6"/>
        <v>0</v>
      </c>
      <c r="M143" s="60" t="str">
        <f>IFERROR(__xludf.DUMMYFUNCTION("if(regexmatch(B143,""e(.*)$""),regexextract(B143,""e(.*)$""),"""")"),"-10")</f>
        <v>-10</v>
      </c>
    </row>
    <row r="144" hidden="1">
      <c r="A144" s="17" t="s">
        <v>2063</v>
      </c>
      <c r="B144" s="17" t="s">
        <v>3047</v>
      </c>
      <c r="C144" s="17" t="s">
        <v>3048</v>
      </c>
      <c r="D144" s="17" t="s">
        <v>224</v>
      </c>
      <c r="E144" s="60" t="str">
        <f>VLOOKUP($A144,nist_names_ids!A:B,2,false)</f>
        <v>mhc2mev</v>
      </c>
      <c r="F144" s="61">
        <f>countif(Constants!A:A,E144)</f>
        <v>1</v>
      </c>
      <c r="G144" s="62" t="str">
        <f t="shared" si="1"/>
        <v>2808.39160743</v>
      </c>
      <c r="H144" s="62">
        <f t="shared" si="2"/>
        <v>2808.391607</v>
      </c>
      <c r="I144" s="62" t="str">
        <f t="shared" si="3"/>
        <v>0.00000085</v>
      </c>
      <c r="J144" s="63">
        <f t="shared" si="4"/>
        <v>0.00000085</v>
      </c>
      <c r="K144" s="62" t="b">
        <f t="shared" si="5"/>
        <v>0</v>
      </c>
      <c r="L144" s="62" t="b">
        <f t="shared" si="6"/>
        <v>0</v>
      </c>
      <c r="M144" s="60" t="str">
        <f>IFERROR(__xludf.DUMMYFUNCTION("if(regexmatch(B144,""e(.*)$""),regexextract(B144,""e(.*)$""),"""")"),"")</f>
        <v/>
      </c>
    </row>
    <row r="145" hidden="1">
      <c r="A145" s="17" t="s">
        <v>2067</v>
      </c>
      <c r="B145" s="17" t="s">
        <v>3050</v>
      </c>
      <c r="C145" s="17" t="s">
        <v>3051</v>
      </c>
      <c r="D145" s="17" t="s">
        <v>249</v>
      </c>
      <c r="E145" s="60" t="str">
        <f>VLOOKUP($A145,nist_names_ids!A:B,2,false)</f>
        <v>mhu</v>
      </c>
      <c r="F145" s="61">
        <f>countif(Constants!A:A,E145)</f>
        <v>1</v>
      </c>
      <c r="G145" s="62" t="str">
        <f t="shared" si="1"/>
        <v>3.014932247175</v>
      </c>
      <c r="H145" s="62">
        <f t="shared" si="2"/>
        <v>3.014932247</v>
      </c>
      <c r="I145" s="62" t="str">
        <f t="shared" si="3"/>
        <v>0.000000000097</v>
      </c>
      <c r="J145" s="63">
        <f t="shared" si="4"/>
        <v>0</v>
      </c>
      <c r="K145" s="62" t="b">
        <f t="shared" si="5"/>
        <v>0</v>
      </c>
      <c r="L145" s="62" t="b">
        <f t="shared" si="6"/>
        <v>0</v>
      </c>
      <c r="M145" s="60" t="str">
        <f>IFERROR(__xludf.DUMMYFUNCTION("if(regexmatch(B145,""e(.*)$""),regexextract(B145,""e(.*)$""),"""")"),"")</f>
        <v/>
      </c>
    </row>
    <row r="146" hidden="1">
      <c r="A146" s="17" t="s">
        <v>2070</v>
      </c>
      <c r="B146" s="17" t="s">
        <v>3057</v>
      </c>
      <c r="C146" s="17" t="s">
        <v>3058</v>
      </c>
      <c r="D146" s="17" t="s">
        <v>286</v>
      </c>
      <c r="E146" s="60" t="str">
        <f>VLOOKUP($A146,nist_names_ids!A:B,2,false)</f>
        <v>mmh</v>
      </c>
      <c r="F146" s="61">
        <f>countif(Constants!A:A,E146)</f>
        <v>1</v>
      </c>
      <c r="G146" s="62" t="str">
        <f t="shared" si="1"/>
        <v>3.01493224613e-3</v>
      </c>
      <c r="H146" s="62">
        <f t="shared" si="2"/>
        <v>0.003014932246</v>
      </c>
      <c r="I146" s="62" t="str">
        <f t="shared" si="3"/>
        <v>0.00000000091e-3</v>
      </c>
      <c r="J146" s="63">
        <f t="shared" si="4"/>
        <v>0</v>
      </c>
      <c r="K146" s="62" t="b">
        <f t="shared" si="5"/>
        <v>0</v>
      </c>
      <c r="L146" s="62" t="b">
        <f t="shared" si="6"/>
        <v>0</v>
      </c>
      <c r="M146" s="60" t="str">
        <f>IFERROR(__xludf.DUMMYFUNCTION("if(regexmatch(B146,""e(.*)$""),regexextract(B146,""e(.*)$""),"""")"),"-3")</f>
        <v>-3</v>
      </c>
    </row>
    <row r="147" hidden="1">
      <c r="A147" s="17" t="s">
        <v>2073</v>
      </c>
      <c r="B147" s="17" t="s">
        <v>3061</v>
      </c>
      <c r="C147" s="17" t="s">
        <v>3062</v>
      </c>
      <c r="E147" s="60" t="str">
        <f>VLOOKUP($A147,nist_names_ids!A:B,2,false)</f>
        <v>mhsmp</v>
      </c>
      <c r="F147" s="61">
        <f>countif(Constants!A:A,E147)</f>
        <v>1</v>
      </c>
      <c r="G147" s="62" t="str">
        <f t="shared" si="1"/>
        <v>2.99315267167</v>
      </c>
      <c r="H147" s="62">
        <f t="shared" si="2"/>
        <v>2.993152672</v>
      </c>
      <c r="I147" s="62" t="str">
        <f t="shared" si="3"/>
        <v>0.00000000013</v>
      </c>
      <c r="J147" s="63">
        <f t="shared" si="4"/>
        <v>0.00000000013</v>
      </c>
      <c r="K147" s="62" t="b">
        <f t="shared" si="5"/>
        <v>0</v>
      </c>
      <c r="L147" s="62" t="b">
        <f t="shared" si="6"/>
        <v>0</v>
      </c>
      <c r="M147" s="60" t="str">
        <f>IFERROR(__xludf.DUMMYFUNCTION("if(regexmatch(B147,""e(.*)$""),regexextract(B147,""e(.*)$""),"""")"),"")</f>
        <v/>
      </c>
    </row>
    <row r="148" hidden="1">
      <c r="A148" s="17" t="s">
        <v>2079</v>
      </c>
      <c r="B148" s="17" t="s">
        <v>3050</v>
      </c>
      <c r="C148" s="17" t="s">
        <v>3051</v>
      </c>
      <c r="E148" s="60" t="str">
        <f>VLOOKUP($A148,nist_names_ids!A:B,2,false)</f>
        <v>arh</v>
      </c>
      <c r="F148" s="61">
        <f>countif(Constants!A:A,E148)</f>
        <v>1</v>
      </c>
      <c r="G148" s="62" t="str">
        <f t="shared" si="1"/>
        <v>3.014932247175</v>
      </c>
      <c r="H148" s="62">
        <f t="shared" si="2"/>
        <v>3.014932247</v>
      </c>
      <c r="I148" s="62" t="str">
        <f t="shared" si="3"/>
        <v>0.000000000097</v>
      </c>
      <c r="J148" s="63">
        <f t="shared" si="4"/>
        <v>0</v>
      </c>
      <c r="K148" s="62" t="b">
        <f t="shared" si="5"/>
        <v>0</v>
      </c>
      <c r="L148" s="62" t="b">
        <f t="shared" si="6"/>
        <v>0</v>
      </c>
      <c r="M148" s="60" t="str">
        <f>IFERROR(__xludf.DUMMYFUNCTION("if(regexmatch(B148,""e(.*)$""),regexextract(B148,""e(.*)$""),"""")"),"")</f>
        <v/>
      </c>
    </row>
    <row r="149" hidden="1">
      <c r="A149" s="17" t="s">
        <v>2086</v>
      </c>
      <c r="B149" s="17" t="s">
        <v>3068</v>
      </c>
      <c r="C149" s="17" t="s">
        <v>3069</v>
      </c>
      <c r="E149" s="60" t="str">
        <f>VLOOKUP($A149,nist_names_ids!A:B,2,false)</f>
        <v>sigmah</v>
      </c>
      <c r="F149" s="61">
        <f>countif(Constants!A:A,E149)</f>
        <v>1</v>
      </c>
      <c r="G149" s="62" t="str">
        <f t="shared" si="1"/>
        <v>5.996743e-5</v>
      </c>
      <c r="H149" s="62">
        <f t="shared" si="2"/>
        <v>0.00005996743</v>
      </c>
      <c r="I149" s="62" t="str">
        <f t="shared" si="3"/>
        <v>0.000010e-5</v>
      </c>
      <c r="J149" s="63">
        <f t="shared" si="4"/>
        <v>0.0000000001</v>
      </c>
      <c r="K149" s="62" t="b">
        <f t="shared" si="5"/>
        <v>0</v>
      </c>
      <c r="L149" s="62" t="b">
        <f t="shared" si="6"/>
        <v>0</v>
      </c>
      <c r="M149" s="60" t="str">
        <f>IFERROR(__xludf.DUMMYFUNCTION("if(regexmatch(B149,""e(.*)$""),regexextract(B149,""e(.*)$""),"""")"),"-5")</f>
        <v>-5</v>
      </c>
    </row>
    <row r="150" hidden="1">
      <c r="A150" s="17" t="s">
        <v>2093</v>
      </c>
      <c r="B150" s="17" t="s">
        <v>3072</v>
      </c>
      <c r="C150" s="17" t="s">
        <v>3073</v>
      </c>
      <c r="D150" s="17" t="s">
        <v>249</v>
      </c>
      <c r="E150" s="60" t="str">
        <f>VLOOKUP($A150,nist_names_ids!A:B,2,false)</f>
        <v>hzu</v>
      </c>
      <c r="F150" s="61">
        <f>countif(Constants!A:A,E150)</f>
        <v>1</v>
      </c>
      <c r="G150" s="62" t="str">
        <f t="shared" si="1"/>
        <v>4.4398216652e-24</v>
      </c>
      <c r="H150" s="62">
        <f t="shared" si="2"/>
        <v>0</v>
      </c>
      <c r="I150" s="62" t="str">
        <f t="shared" si="3"/>
        <v>0.0000000013e-24</v>
      </c>
      <c r="J150" s="63">
        <f t="shared" si="4"/>
        <v>0</v>
      </c>
      <c r="K150" s="62" t="b">
        <f t="shared" si="5"/>
        <v>0</v>
      </c>
      <c r="L150" s="62" t="b">
        <f t="shared" si="6"/>
        <v>0</v>
      </c>
      <c r="M150" s="60" t="str">
        <f>IFERROR(__xludf.DUMMYFUNCTION("if(regexmatch(B150,""e(.*)$""),regexextract(B150,""e(.*)$""),"""")"),"-24")</f>
        <v>-24</v>
      </c>
    </row>
    <row r="151">
      <c r="A151" s="17" t="s">
        <v>2099</v>
      </c>
      <c r="B151" s="17" t="s">
        <v>3075</v>
      </c>
      <c r="C151" s="17" t="s">
        <v>1501</v>
      </c>
      <c r="D151" s="17" t="s">
        <v>181</v>
      </c>
      <c r="E151" s="60" t="str">
        <f>VLOOKUP($A151,nist_names_ids!A:B,2,false)</f>
        <v>hzev</v>
      </c>
      <c r="F151" s="61">
        <f>countif(Constants!A:A,E151)</f>
        <v>1</v>
      </c>
      <c r="G151" s="62" t="str">
        <f t="shared" si="1"/>
        <v>4.135667696e-15</v>
      </c>
      <c r="H151" s="62">
        <f t="shared" si="2"/>
        <v>0</v>
      </c>
      <c r="I151" s="62" t="str">
        <f t="shared" si="3"/>
        <v>(exact)</v>
      </c>
      <c r="J151" s="63" t="str">
        <f t="shared" si="4"/>
        <v/>
      </c>
      <c r="K151" s="62" t="b">
        <f t="shared" si="5"/>
        <v>1</v>
      </c>
      <c r="L151" s="62" t="b">
        <f t="shared" si="6"/>
        <v>1</v>
      </c>
      <c r="M151" s="60" t="str">
        <f>IFERROR(__xludf.DUMMYFUNCTION("if(regexmatch(B151,""e(.*)$""),regexextract(B151,""e(.*)$""),"""")"),"-15")</f>
        <v>-15</v>
      </c>
    </row>
    <row r="152" hidden="1">
      <c r="A152" s="17" t="s">
        <v>2103</v>
      </c>
      <c r="B152" s="17" t="s">
        <v>3078</v>
      </c>
      <c r="C152" s="17" t="s">
        <v>3079</v>
      </c>
      <c r="D152" s="17" t="s">
        <v>170</v>
      </c>
      <c r="E152" s="60" t="str">
        <f>VLOOKUP($A152,nist_names_ids!A:B,2,false)</f>
        <v>hzhr</v>
      </c>
      <c r="F152" s="61">
        <f>countif(Constants!A:A,E152)</f>
        <v>1</v>
      </c>
      <c r="G152" s="62" t="str">
        <f t="shared" si="1"/>
        <v>1.5198298460570e-16</v>
      </c>
      <c r="H152" s="62">
        <f t="shared" si="2"/>
        <v>0</v>
      </c>
      <c r="I152" s="62" t="str">
        <f t="shared" si="3"/>
        <v>0.0000000000029e-16</v>
      </c>
      <c r="J152" s="63">
        <f t="shared" si="4"/>
        <v>0</v>
      </c>
      <c r="K152" s="62" t="b">
        <f t="shared" si="5"/>
        <v>0</v>
      </c>
      <c r="L152" s="62" t="b">
        <f t="shared" si="6"/>
        <v>0</v>
      </c>
      <c r="M152" s="60" t="str">
        <f>IFERROR(__xludf.DUMMYFUNCTION("if(regexmatch(B152,""e(.*)$""),regexextract(B152,""e(.*)$""),"""")"),"-16")</f>
        <v>-16</v>
      </c>
    </row>
    <row r="153">
      <c r="A153" s="17" t="s">
        <v>2108</v>
      </c>
      <c r="B153" s="17" t="s">
        <v>3081</v>
      </c>
      <c r="C153" s="17" t="s">
        <v>1501</v>
      </c>
      <c r="D153" s="17" t="s">
        <v>561</v>
      </c>
      <c r="E153" s="60" t="str">
        <f>VLOOKUP($A153,nist_names_ids!A:B,2,false)</f>
        <v>hzminv</v>
      </c>
      <c r="F153" s="61">
        <f>countif(Constants!A:A,E153)</f>
        <v>1</v>
      </c>
      <c r="G153" s="62" t="str">
        <f t="shared" si="1"/>
        <v>3.335640951e-9</v>
      </c>
      <c r="H153" s="62">
        <f t="shared" si="2"/>
        <v>0.000000003335640951</v>
      </c>
      <c r="I153" s="62" t="str">
        <f t="shared" si="3"/>
        <v>(exact)</v>
      </c>
      <c r="J153" s="63" t="str">
        <f t="shared" si="4"/>
        <v/>
      </c>
      <c r="K153" s="62" t="b">
        <f t="shared" si="5"/>
        <v>1</v>
      </c>
      <c r="L153" s="62" t="b">
        <f t="shared" si="6"/>
        <v>1</v>
      </c>
      <c r="M153" s="60" t="str">
        <f>IFERROR(__xludf.DUMMYFUNCTION("if(regexmatch(B153,""e(.*)$""),regexextract(B153,""e(.*)$""),"""")"),"-9")</f>
        <v>-9</v>
      </c>
    </row>
    <row r="154">
      <c r="A154" s="17" t="s">
        <v>2110</v>
      </c>
      <c r="B154" s="17" t="s">
        <v>3083</v>
      </c>
      <c r="C154" s="17" t="s">
        <v>1501</v>
      </c>
      <c r="D154" s="17" t="s">
        <v>173</v>
      </c>
      <c r="E154" s="60" t="str">
        <f>VLOOKUP($A154,nist_names_ids!A:B,2,false)</f>
        <v>hzj</v>
      </c>
      <c r="F154" s="61">
        <f>countif(Constants!A:A,E154)</f>
        <v>1</v>
      </c>
      <c r="G154" s="62" t="str">
        <f t="shared" si="1"/>
        <v>6.62607015e-34</v>
      </c>
      <c r="H154" s="62">
        <f t="shared" si="2"/>
        <v>0</v>
      </c>
      <c r="I154" s="62" t="str">
        <f t="shared" si="3"/>
        <v>(exact)</v>
      </c>
      <c r="J154" s="63" t="str">
        <f t="shared" si="4"/>
        <v/>
      </c>
      <c r="K154" s="62" t="b">
        <f t="shared" si="5"/>
        <v>1</v>
      </c>
      <c r="L154" s="62" t="b">
        <f t="shared" si="6"/>
        <v>0</v>
      </c>
      <c r="M154" s="60" t="str">
        <f>IFERROR(__xludf.DUMMYFUNCTION("if(regexmatch(B154,""e(.*)$""),regexextract(B154,""e(.*)$""),"""")"),"-34")</f>
        <v>-34</v>
      </c>
    </row>
    <row r="155">
      <c r="A155" s="17" t="s">
        <v>2116</v>
      </c>
      <c r="B155" s="17" t="s">
        <v>3084</v>
      </c>
      <c r="C155" s="17" t="s">
        <v>1501</v>
      </c>
      <c r="D155" s="17" t="s">
        <v>345</v>
      </c>
      <c r="E155" s="60" t="str">
        <f>VLOOKUP($A155,nist_names_ids!A:B,2,false)</f>
        <v>hzk</v>
      </c>
      <c r="F155" s="61">
        <f>countif(Constants!A:A,E155)</f>
        <v>1</v>
      </c>
      <c r="G155" s="62" t="str">
        <f t="shared" si="1"/>
        <v>4.799243073e-11</v>
      </c>
      <c r="H155" s="62">
        <f t="shared" si="2"/>
        <v>0</v>
      </c>
      <c r="I155" s="62" t="str">
        <f t="shared" si="3"/>
        <v>(exact)</v>
      </c>
      <c r="J155" s="63" t="str">
        <f t="shared" si="4"/>
        <v/>
      </c>
      <c r="K155" s="62" t="b">
        <f t="shared" si="5"/>
        <v>1</v>
      </c>
      <c r="L155" s="62" t="b">
        <f t="shared" si="6"/>
        <v>1</v>
      </c>
      <c r="M155" s="60" t="str">
        <f>IFERROR(__xludf.DUMMYFUNCTION("if(regexmatch(B155,""e(.*)$""),regexextract(B155,""e(.*)$""),"""")"),"-11")</f>
        <v>-11</v>
      </c>
    </row>
    <row r="156">
      <c r="A156" s="17" t="s">
        <v>2119</v>
      </c>
      <c r="B156" s="17" t="s">
        <v>3085</v>
      </c>
      <c r="C156" s="17" t="s">
        <v>1501</v>
      </c>
      <c r="D156" s="17" t="s">
        <v>98</v>
      </c>
      <c r="E156" s="60" t="str">
        <f>VLOOKUP($A156,nist_names_ids!A:B,2,false)</f>
        <v>hzkg</v>
      </c>
      <c r="F156" s="61">
        <f>countif(Constants!A:A,E156)</f>
        <v>1</v>
      </c>
      <c r="G156" s="62" t="str">
        <f t="shared" si="1"/>
        <v>7.372497323e-51</v>
      </c>
      <c r="H156" s="62">
        <f t="shared" si="2"/>
        <v>0</v>
      </c>
      <c r="I156" s="62" t="str">
        <f t="shared" si="3"/>
        <v>(exact)</v>
      </c>
      <c r="J156" s="63" t="str">
        <f t="shared" si="4"/>
        <v/>
      </c>
      <c r="K156" s="62" t="b">
        <f t="shared" si="5"/>
        <v>1</v>
      </c>
      <c r="L156" s="62" t="b">
        <f t="shared" si="6"/>
        <v>1</v>
      </c>
      <c r="M156" s="60" t="str">
        <f>IFERROR(__xludf.DUMMYFUNCTION("if(regexmatch(B156,""e(.*)$""),regexextract(B156,""e(.*)$""),"""")"),"-51")</f>
        <v>-51</v>
      </c>
    </row>
    <row r="157">
      <c r="A157" s="17" t="s">
        <v>2121</v>
      </c>
      <c r="B157" s="17" t="s">
        <v>3088</v>
      </c>
      <c r="C157" s="17" t="s">
        <v>1501</v>
      </c>
      <c r="D157" s="17" t="s">
        <v>257</v>
      </c>
      <c r="E157" s="60" t="str">
        <f>VLOOKUP($A157,nist_names_ids!A:B,2,false)</f>
        <v>nucs</v>
      </c>
      <c r="F157" s="61">
        <f>countif(Constants!A:A,E157)</f>
        <v>1</v>
      </c>
      <c r="G157" s="62" t="str">
        <f t="shared" si="1"/>
        <v>9192631770</v>
      </c>
      <c r="H157" s="62">
        <f t="shared" si="2"/>
        <v>9192631770</v>
      </c>
      <c r="I157" s="62" t="str">
        <f t="shared" si="3"/>
        <v>(exact)</v>
      </c>
      <c r="J157" s="63" t="str">
        <f t="shared" si="4"/>
        <v/>
      </c>
      <c r="K157" s="62" t="b">
        <f t="shared" si="5"/>
        <v>1</v>
      </c>
      <c r="L157" s="62" t="b">
        <f t="shared" si="6"/>
        <v>0</v>
      </c>
      <c r="M157" s="60" t="str">
        <f>IFERROR(__xludf.DUMMYFUNCTION("if(regexmatch(B157,""e(.*)$""),regexextract(B157,""e(.*)$""),"""")"),"")</f>
        <v/>
      </c>
    </row>
    <row r="158" hidden="1">
      <c r="A158" s="17" t="s">
        <v>2126</v>
      </c>
      <c r="B158" s="17" t="s">
        <v>3091</v>
      </c>
      <c r="C158" s="17" t="s">
        <v>2128</v>
      </c>
      <c r="E158" s="60" t="str">
        <f>VLOOKUP($A158,nist_names_ids!A:B,2,false)</f>
        <v>alphinv</v>
      </c>
      <c r="F158" s="61">
        <f>countif(Constants!A:A,E158)</f>
        <v>1</v>
      </c>
      <c r="G158" s="62" t="str">
        <f t="shared" si="1"/>
        <v>137.035999084</v>
      </c>
      <c r="H158" s="62">
        <f t="shared" si="2"/>
        <v>137.0359991</v>
      </c>
      <c r="I158" s="62" t="str">
        <f t="shared" si="3"/>
        <v>0.000000021</v>
      </c>
      <c r="J158" s="63">
        <f t="shared" si="4"/>
        <v>0.000000021</v>
      </c>
      <c r="K158" s="62" t="b">
        <f t="shared" si="5"/>
        <v>0</v>
      </c>
      <c r="L158" s="62" t="b">
        <f t="shared" si="6"/>
        <v>0</v>
      </c>
      <c r="M158" s="60" t="str">
        <f>IFERROR(__xludf.DUMMYFUNCTION("if(regexmatch(B158,""e(.*)$""),regexextract(B158,""e(.*)$""),"""")"),"")</f>
        <v/>
      </c>
    </row>
    <row r="159" hidden="1">
      <c r="A159" s="17" t="s">
        <v>2130</v>
      </c>
      <c r="B159" s="17" t="s">
        <v>3093</v>
      </c>
      <c r="C159" s="17" t="s">
        <v>3094</v>
      </c>
      <c r="D159" s="17" t="s">
        <v>249</v>
      </c>
      <c r="E159" s="60" t="str">
        <f>VLOOKUP($A159,nist_names_ids!A:B,2,false)</f>
        <v>minvu</v>
      </c>
      <c r="F159" s="61">
        <f>countif(Constants!A:A,E159)</f>
        <v>1</v>
      </c>
      <c r="G159" s="62" t="str">
        <f t="shared" si="1"/>
        <v>1.33102505010e-15</v>
      </c>
      <c r="H159" s="62">
        <f t="shared" si="2"/>
        <v>0</v>
      </c>
      <c r="I159" s="62" t="str">
        <f t="shared" si="3"/>
        <v>0.00000000040e-15</v>
      </c>
      <c r="J159" s="63">
        <f t="shared" si="4"/>
        <v>0</v>
      </c>
      <c r="K159" s="62" t="b">
        <f t="shared" si="5"/>
        <v>0</v>
      </c>
      <c r="L159" s="62" t="b">
        <f t="shared" si="6"/>
        <v>0</v>
      </c>
      <c r="M159" s="60" t="str">
        <f>IFERROR(__xludf.DUMMYFUNCTION("if(regexmatch(B159,""e(.*)$""),regexextract(B159,""e(.*)$""),"""")"),"-15")</f>
        <v>-15</v>
      </c>
    </row>
    <row r="160">
      <c r="A160" s="17" t="s">
        <v>2134</v>
      </c>
      <c r="B160" s="17" t="s">
        <v>3099</v>
      </c>
      <c r="C160" s="17" t="s">
        <v>1501</v>
      </c>
      <c r="D160" s="17" t="s">
        <v>181</v>
      </c>
      <c r="E160" s="60" t="str">
        <f>VLOOKUP($A160,nist_names_ids!A:B,2,false)</f>
        <v>minvev</v>
      </c>
      <c r="F160" s="61">
        <f>countif(Constants!A:A,E160)</f>
        <v>1</v>
      </c>
      <c r="G160" s="62" t="str">
        <f t="shared" si="1"/>
        <v>1.239841984e-6</v>
      </c>
      <c r="H160" s="62">
        <f t="shared" si="2"/>
        <v>0.000001239841984</v>
      </c>
      <c r="I160" s="62" t="str">
        <f t="shared" si="3"/>
        <v>(exact)</v>
      </c>
      <c r="J160" s="63" t="str">
        <f t="shared" si="4"/>
        <v/>
      </c>
      <c r="K160" s="62" t="b">
        <f t="shared" si="5"/>
        <v>1</v>
      </c>
      <c r="L160" s="62" t="b">
        <f t="shared" si="6"/>
        <v>1</v>
      </c>
      <c r="M160" s="60" t="str">
        <f>IFERROR(__xludf.DUMMYFUNCTION("if(regexmatch(B160,""e(.*)$""),regexextract(B160,""e(.*)$""),"""")"),"-6")</f>
        <v>-6</v>
      </c>
    </row>
    <row r="161" hidden="1">
      <c r="A161" s="17" t="s">
        <v>2137</v>
      </c>
      <c r="B161" s="17" t="s">
        <v>3102</v>
      </c>
      <c r="C161" s="17" t="s">
        <v>3103</v>
      </c>
      <c r="D161" s="17" t="s">
        <v>170</v>
      </c>
      <c r="E161" s="60" t="str">
        <f>VLOOKUP($A161,nist_names_ids!A:B,2,false)</f>
        <v>minvhr</v>
      </c>
      <c r="F161" s="61">
        <f>countif(Constants!A:A,E161)</f>
        <v>1</v>
      </c>
      <c r="G161" s="62" t="str">
        <f t="shared" si="1"/>
        <v>4.5563352529120e-8</v>
      </c>
      <c r="H161" s="62">
        <f t="shared" si="2"/>
        <v>0.00000004556335253</v>
      </c>
      <c r="I161" s="62" t="str">
        <f t="shared" si="3"/>
        <v>0.0000000000088e-8</v>
      </c>
      <c r="J161" s="63">
        <f t="shared" si="4"/>
        <v>0</v>
      </c>
      <c r="K161" s="62" t="b">
        <f t="shared" si="5"/>
        <v>0</v>
      </c>
      <c r="L161" s="62" t="b">
        <f t="shared" si="6"/>
        <v>0</v>
      </c>
      <c r="M161" s="60" t="str">
        <f>IFERROR(__xludf.DUMMYFUNCTION("if(regexmatch(B161,""e(.*)$""),regexextract(B161,""e(.*)$""),"""")"),"-8")</f>
        <v>-8</v>
      </c>
    </row>
    <row r="162">
      <c r="A162" s="17" t="s">
        <v>2144</v>
      </c>
      <c r="B162" s="17" t="s">
        <v>3106</v>
      </c>
      <c r="C162" s="17" t="s">
        <v>1501</v>
      </c>
      <c r="D162" s="17" t="s">
        <v>257</v>
      </c>
      <c r="E162" s="60" t="str">
        <f>VLOOKUP($A162,nist_names_ids!A:B,2,false)</f>
        <v>minvhz</v>
      </c>
      <c r="F162" s="61">
        <f>countif(Constants!A:A,E162)</f>
        <v>1</v>
      </c>
      <c r="G162" s="62" t="str">
        <f t="shared" si="1"/>
        <v>299792458</v>
      </c>
      <c r="H162" s="62">
        <f t="shared" si="2"/>
        <v>299792458</v>
      </c>
      <c r="I162" s="62" t="str">
        <f t="shared" si="3"/>
        <v>(exact)</v>
      </c>
      <c r="J162" s="63" t="str">
        <f t="shared" si="4"/>
        <v/>
      </c>
      <c r="K162" s="62" t="b">
        <f t="shared" si="5"/>
        <v>1</v>
      </c>
      <c r="L162" s="62" t="b">
        <f t="shared" si="6"/>
        <v>0</v>
      </c>
      <c r="M162" s="60" t="str">
        <f>IFERROR(__xludf.DUMMYFUNCTION("if(regexmatch(B162,""e(.*)$""),regexextract(B162,""e(.*)$""),"""")"),"")</f>
        <v/>
      </c>
    </row>
    <row r="163">
      <c r="A163" s="17" t="s">
        <v>2147</v>
      </c>
      <c r="B163" s="17" t="s">
        <v>3109</v>
      </c>
      <c r="C163" s="17" t="s">
        <v>1501</v>
      </c>
      <c r="D163" s="17" t="s">
        <v>173</v>
      </c>
      <c r="E163" s="60" t="str">
        <f>VLOOKUP($A163,nist_names_ids!A:B,2,false)</f>
        <v>minvj</v>
      </c>
      <c r="F163" s="61">
        <f>countif(Constants!A:A,E163)</f>
        <v>1</v>
      </c>
      <c r="G163" s="62" t="str">
        <f t="shared" si="1"/>
        <v>1.986445857e-25</v>
      </c>
      <c r="H163" s="62">
        <f t="shared" si="2"/>
        <v>0</v>
      </c>
      <c r="I163" s="62" t="str">
        <f t="shared" si="3"/>
        <v>(exact)</v>
      </c>
      <c r="J163" s="63" t="str">
        <f t="shared" si="4"/>
        <v/>
      </c>
      <c r="K163" s="62" t="b">
        <f t="shared" si="5"/>
        <v>1</v>
      </c>
      <c r="L163" s="62" t="b">
        <f t="shared" si="6"/>
        <v>1</v>
      </c>
      <c r="M163" s="60" t="str">
        <f>IFERROR(__xludf.DUMMYFUNCTION("if(regexmatch(B163,""e(.*)$""),regexextract(B163,""e(.*)$""),"""")"),"-25")</f>
        <v>-25</v>
      </c>
    </row>
    <row r="164">
      <c r="A164" s="17" t="s">
        <v>2150</v>
      </c>
      <c r="B164" s="17" t="s">
        <v>3113</v>
      </c>
      <c r="C164" s="17" t="s">
        <v>1501</v>
      </c>
      <c r="D164" s="17" t="s">
        <v>345</v>
      </c>
      <c r="E164" s="60" t="str">
        <f>VLOOKUP($A164,nist_names_ids!A:B,2,false)</f>
        <v>minvk</v>
      </c>
      <c r="F164" s="61">
        <f>countif(Constants!A:A,E164)</f>
        <v>1</v>
      </c>
      <c r="G164" s="62" t="str">
        <f t="shared" si="1"/>
        <v>1.438776877e-2</v>
      </c>
      <c r="H164" s="62">
        <f t="shared" si="2"/>
        <v>0.01438776877</v>
      </c>
      <c r="I164" s="62" t="str">
        <f t="shared" si="3"/>
        <v>(exact)</v>
      </c>
      <c r="J164" s="63" t="str">
        <f t="shared" si="4"/>
        <v/>
      </c>
      <c r="K164" s="62" t="b">
        <f t="shared" si="5"/>
        <v>1</v>
      </c>
      <c r="L164" s="62" t="b">
        <f t="shared" si="6"/>
        <v>1</v>
      </c>
      <c r="M164" s="60" t="str">
        <f>IFERROR(__xludf.DUMMYFUNCTION("if(regexmatch(B164,""e(.*)$""),regexextract(B164,""e(.*)$""),"""")"),"-2")</f>
        <v>-2</v>
      </c>
    </row>
    <row r="165">
      <c r="A165" s="17" t="s">
        <v>2153</v>
      </c>
      <c r="B165" s="17" t="s">
        <v>3116</v>
      </c>
      <c r="C165" s="17" t="s">
        <v>1501</v>
      </c>
      <c r="D165" s="17" t="s">
        <v>98</v>
      </c>
      <c r="E165" s="60" t="str">
        <f>VLOOKUP($A165,nist_names_ids!A:B,2,false)</f>
        <v>minvkg</v>
      </c>
      <c r="F165" s="61">
        <f>countif(Constants!A:A,E165)</f>
        <v>1</v>
      </c>
      <c r="G165" s="62" t="str">
        <f t="shared" si="1"/>
        <v>2.210219094e-42</v>
      </c>
      <c r="H165" s="62">
        <f t="shared" si="2"/>
        <v>0</v>
      </c>
      <c r="I165" s="62" t="str">
        <f t="shared" si="3"/>
        <v>(exact)</v>
      </c>
      <c r="J165" s="63" t="str">
        <f t="shared" si="4"/>
        <v/>
      </c>
      <c r="K165" s="62" t="b">
        <f t="shared" si="5"/>
        <v>1</v>
      </c>
      <c r="L165" s="62" t="b">
        <f t="shared" si="6"/>
        <v>1</v>
      </c>
      <c r="M165" s="60" t="str">
        <f>IFERROR(__xludf.DUMMYFUNCTION("if(regexmatch(B165,""e(.*)$""),regexextract(B165,""e(.*)$""),"""")"),"-42")</f>
        <v>-42</v>
      </c>
    </row>
    <row r="166">
      <c r="A166" s="17" t="s">
        <v>2159</v>
      </c>
      <c r="B166" s="17" t="s">
        <v>3117</v>
      </c>
      <c r="C166" s="17" t="s">
        <v>1501</v>
      </c>
      <c r="D166" s="17" t="s">
        <v>500</v>
      </c>
      <c r="E166" s="60" t="str">
        <f>VLOOKUP($A166,nist_names_ids!A:B,2,false)</f>
        <v>invconqu</v>
      </c>
      <c r="F166" s="61">
        <f>countif(Constants!A:A,E166)</f>
        <v>1</v>
      </c>
      <c r="G166" s="62" t="str">
        <f t="shared" si="1"/>
        <v>12906.40372</v>
      </c>
      <c r="H166" s="62">
        <f t="shared" si="2"/>
        <v>12906.40372</v>
      </c>
      <c r="I166" s="62" t="str">
        <f t="shared" si="3"/>
        <v>(exact)</v>
      </c>
      <c r="J166" s="63" t="str">
        <f t="shared" si="4"/>
        <v/>
      </c>
      <c r="K166" s="62" t="b">
        <f t="shared" si="5"/>
        <v>1</v>
      </c>
      <c r="L166" s="62" t="b">
        <f t="shared" si="6"/>
        <v>1</v>
      </c>
      <c r="M166" s="60" t="str">
        <f>IFERROR(__xludf.DUMMYFUNCTION("if(regexmatch(B166,""e(.*)$""),regexextract(B166,""e(.*)$""),"""")"),"")</f>
        <v/>
      </c>
    </row>
    <row r="167">
      <c r="A167" s="17" t="s">
        <v>2162</v>
      </c>
      <c r="B167" s="17" t="s">
        <v>3123</v>
      </c>
      <c r="C167" s="17" t="s">
        <v>1501</v>
      </c>
      <c r="D167" s="17" t="s">
        <v>1447</v>
      </c>
      <c r="E167" s="60" t="str">
        <f>VLOOKUP($A167,nist_names_ids!A:B,2,false)</f>
        <v>kjos</v>
      </c>
      <c r="F167" s="61">
        <f>countif(Constants!A:A,E167)</f>
        <v>1</v>
      </c>
      <c r="G167" s="62" t="str">
        <f t="shared" si="1"/>
        <v>483597.8484e9</v>
      </c>
      <c r="H167" s="62">
        <f t="shared" si="2"/>
        <v>483597848400000</v>
      </c>
      <c r="I167" s="62" t="str">
        <f t="shared" si="3"/>
        <v>(exact)</v>
      </c>
      <c r="J167" s="63" t="str">
        <f t="shared" si="4"/>
        <v/>
      </c>
      <c r="K167" s="62" t="b">
        <f t="shared" si="5"/>
        <v>1</v>
      </c>
      <c r="L167" s="62" t="b">
        <f t="shared" si="6"/>
        <v>1</v>
      </c>
      <c r="M167" s="60" t="str">
        <f>IFERROR(__xludf.DUMMYFUNCTION("if(regexmatch(B167,""e(.*)$""),regexextract(B167,""e(.*)$""),"""")"),"9")</f>
        <v>9</v>
      </c>
    </row>
    <row r="168" hidden="1">
      <c r="A168" s="17" t="s">
        <v>2166</v>
      </c>
      <c r="B168" s="17" t="s">
        <v>3124</v>
      </c>
      <c r="C168" s="17" t="s">
        <v>3125</v>
      </c>
      <c r="D168" s="17" t="s">
        <v>249</v>
      </c>
      <c r="E168" s="60" t="str">
        <f>VLOOKUP($A168,nist_names_ids!A:B,2,false)</f>
        <v>ju</v>
      </c>
      <c r="F168" s="61">
        <f>countif(Constants!A:A,E168)</f>
        <v>1</v>
      </c>
      <c r="G168" s="62" t="str">
        <f t="shared" si="1"/>
        <v>6.7005352565e9</v>
      </c>
      <c r="H168" s="62">
        <f t="shared" si="2"/>
        <v>6700535257</v>
      </c>
      <c r="I168" s="62" t="str">
        <f t="shared" si="3"/>
        <v>0.0000000020e9</v>
      </c>
      <c r="J168" s="63">
        <f t="shared" si="4"/>
        <v>2</v>
      </c>
      <c r="K168" s="62" t="b">
        <f t="shared" si="5"/>
        <v>0</v>
      </c>
      <c r="L168" s="62" t="b">
        <f t="shared" si="6"/>
        <v>0</v>
      </c>
      <c r="M168" s="60" t="str">
        <f>IFERROR(__xludf.DUMMYFUNCTION("if(regexmatch(B168,""e(.*)$""),regexextract(B168,""e(.*)$""),"""")"),"9")</f>
        <v>9</v>
      </c>
    </row>
    <row r="169">
      <c r="A169" s="17" t="s">
        <v>2172</v>
      </c>
      <c r="B169" s="17" t="s">
        <v>3128</v>
      </c>
      <c r="C169" s="17" t="s">
        <v>1501</v>
      </c>
      <c r="D169" s="17" t="s">
        <v>181</v>
      </c>
      <c r="E169" s="60" t="str">
        <f>VLOOKUP($A169,nist_names_ids!A:B,2,false)</f>
        <v>jev</v>
      </c>
      <c r="F169" s="61">
        <f>countif(Constants!A:A,E169)</f>
        <v>1</v>
      </c>
      <c r="G169" s="62" t="str">
        <f t="shared" si="1"/>
        <v>6.241509074e18</v>
      </c>
      <c r="H169" s="62">
        <f t="shared" si="2"/>
        <v>6.24151E+18</v>
      </c>
      <c r="I169" s="62" t="str">
        <f t="shared" si="3"/>
        <v>(exact)</v>
      </c>
      <c r="J169" s="63" t="str">
        <f t="shared" si="4"/>
        <v/>
      </c>
      <c r="K169" s="62" t="b">
        <f t="shared" si="5"/>
        <v>1</v>
      </c>
      <c r="L169" s="62" t="b">
        <f t="shared" si="6"/>
        <v>1</v>
      </c>
      <c r="M169" s="60" t="str">
        <f>IFERROR(__xludf.DUMMYFUNCTION("if(regexmatch(B169,""e(.*)$""),regexextract(B169,""e(.*)$""),"""")"),"18")</f>
        <v>18</v>
      </c>
    </row>
    <row r="170" hidden="1">
      <c r="A170" s="17" t="s">
        <v>2176</v>
      </c>
      <c r="B170" s="17" t="s">
        <v>3131</v>
      </c>
      <c r="C170" s="17" t="s">
        <v>3132</v>
      </c>
      <c r="D170" s="17" t="s">
        <v>170</v>
      </c>
      <c r="E170" s="60" t="str">
        <f>VLOOKUP($A170,nist_names_ids!A:B,2,false)</f>
        <v>jhr</v>
      </c>
      <c r="F170" s="61">
        <f>countif(Constants!A:A,E170)</f>
        <v>1</v>
      </c>
      <c r="G170" s="62" t="str">
        <f t="shared" si="1"/>
        <v>2.2937122783963e17</v>
      </c>
      <c r="H170" s="62">
        <f t="shared" si="2"/>
        <v>2.29371E+17</v>
      </c>
      <c r="I170" s="62" t="str">
        <f t="shared" si="3"/>
        <v>0.0000000000045e17</v>
      </c>
      <c r="J170" s="63">
        <f t="shared" si="4"/>
        <v>450000</v>
      </c>
      <c r="K170" s="62" t="b">
        <f t="shared" si="5"/>
        <v>0</v>
      </c>
      <c r="L170" s="62" t="b">
        <f t="shared" si="6"/>
        <v>0</v>
      </c>
      <c r="M170" s="60" t="str">
        <f>IFERROR(__xludf.DUMMYFUNCTION("if(regexmatch(B170,""e(.*)$""),regexextract(B170,""e(.*)$""),"""")"),"17")</f>
        <v>17</v>
      </c>
    </row>
    <row r="171">
      <c r="A171" s="17" t="s">
        <v>2180</v>
      </c>
      <c r="B171" s="17" t="s">
        <v>3138</v>
      </c>
      <c r="C171" s="17" t="s">
        <v>1501</v>
      </c>
      <c r="D171" s="17" t="s">
        <v>257</v>
      </c>
      <c r="E171" s="60" t="str">
        <f>VLOOKUP($A171,nist_names_ids!A:B,2,false)</f>
        <v>jhz</v>
      </c>
      <c r="F171" s="61">
        <f>countif(Constants!A:A,E171)</f>
        <v>1</v>
      </c>
      <c r="G171" s="62" t="str">
        <f t="shared" si="1"/>
        <v>1.509190179e33</v>
      </c>
      <c r="H171" s="62">
        <f t="shared" si="2"/>
        <v>1.50919E+33</v>
      </c>
      <c r="I171" s="62" t="str">
        <f t="shared" si="3"/>
        <v>(exact)</v>
      </c>
      <c r="J171" s="63" t="str">
        <f t="shared" si="4"/>
        <v/>
      </c>
      <c r="K171" s="62" t="b">
        <f t="shared" si="5"/>
        <v>1</v>
      </c>
      <c r="L171" s="62" t="b">
        <f t="shared" si="6"/>
        <v>1</v>
      </c>
      <c r="M171" s="60" t="str">
        <f>IFERROR(__xludf.DUMMYFUNCTION("if(regexmatch(B171,""e(.*)$""),regexextract(B171,""e(.*)$""),"""")"),"33")</f>
        <v>33</v>
      </c>
    </row>
    <row r="172">
      <c r="A172" s="17" t="s">
        <v>2184</v>
      </c>
      <c r="B172" s="17" t="s">
        <v>3141</v>
      </c>
      <c r="C172" s="17" t="s">
        <v>1501</v>
      </c>
      <c r="D172" s="17" t="s">
        <v>561</v>
      </c>
      <c r="E172" s="60" t="str">
        <f>VLOOKUP($A172,nist_names_ids!A:B,2,false)</f>
        <v>jminv</v>
      </c>
      <c r="F172" s="61">
        <f>countif(Constants!A:A,E172)</f>
        <v>1</v>
      </c>
      <c r="G172" s="62" t="str">
        <f t="shared" si="1"/>
        <v>5.034116567e24</v>
      </c>
      <c r="H172" s="62">
        <f t="shared" si="2"/>
        <v>5.03412E+24</v>
      </c>
      <c r="I172" s="62" t="str">
        <f t="shared" si="3"/>
        <v>(exact)</v>
      </c>
      <c r="J172" s="63" t="str">
        <f t="shared" si="4"/>
        <v/>
      </c>
      <c r="K172" s="62" t="b">
        <f t="shared" si="5"/>
        <v>1</v>
      </c>
      <c r="L172" s="62" t="b">
        <f t="shared" si="6"/>
        <v>1</v>
      </c>
      <c r="M172" s="60" t="str">
        <f>IFERROR(__xludf.DUMMYFUNCTION("if(regexmatch(B172,""e(.*)$""),regexextract(B172,""e(.*)$""),"""")"),"24")</f>
        <v>24</v>
      </c>
    </row>
    <row r="173">
      <c r="A173" s="17" t="s">
        <v>2190</v>
      </c>
      <c r="B173" s="17" t="s">
        <v>3144</v>
      </c>
      <c r="C173" s="17" t="s">
        <v>1501</v>
      </c>
      <c r="D173" s="17" t="s">
        <v>345</v>
      </c>
      <c r="E173" s="60" t="str">
        <f>VLOOKUP($A173,nist_names_ids!A:B,2,false)</f>
        <v>jk</v>
      </c>
      <c r="F173" s="61">
        <f>countif(Constants!A:A,E173)</f>
        <v>1</v>
      </c>
      <c r="G173" s="62" t="str">
        <f t="shared" si="1"/>
        <v>7.242970516e22</v>
      </c>
      <c r="H173" s="62">
        <f t="shared" si="2"/>
        <v>7.24297E+22</v>
      </c>
      <c r="I173" s="62" t="str">
        <f t="shared" si="3"/>
        <v>(exact)</v>
      </c>
      <c r="J173" s="63" t="str">
        <f t="shared" si="4"/>
        <v/>
      </c>
      <c r="K173" s="62" t="b">
        <f t="shared" si="5"/>
        <v>1</v>
      </c>
      <c r="L173" s="62" t="b">
        <f t="shared" si="6"/>
        <v>1</v>
      </c>
      <c r="M173" s="60" t="str">
        <f>IFERROR(__xludf.DUMMYFUNCTION("if(regexmatch(B173,""e(.*)$""),regexextract(B173,""e(.*)$""),"""")"),"22")</f>
        <v>22</v>
      </c>
    </row>
    <row r="174">
      <c r="A174" s="17" t="s">
        <v>2193</v>
      </c>
      <c r="B174" s="17" t="s">
        <v>3152</v>
      </c>
      <c r="C174" s="17" t="s">
        <v>1501</v>
      </c>
      <c r="D174" s="17" t="s">
        <v>98</v>
      </c>
      <c r="E174" s="60" t="str">
        <f>VLOOKUP($A174,nist_names_ids!A:B,2,false)</f>
        <v>jkg</v>
      </c>
      <c r="F174" s="61">
        <f>countif(Constants!A:A,E174)</f>
        <v>1</v>
      </c>
      <c r="G174" s="62" t="str">
        <f t="shared" si="1"/>
        <v>1.112650056e-17</v>
      </c>
      <c r="H174" s="62">
        <f t="shared" si="2"/>
        <v>0</v>
      </c>
      <c r="I174" s="62" t="str">
        <f t="shared" si="3"/>
        <v>(exact)</v>
      </c>
      <c r="J174" s="63" t="str">
        <f t="shared" si="4"/>
        <v/>
      </c>
      <c r="K174" s="62" t="b">
        <f t="shared" si="5"/>
        <v>1</v>
      </c>
      <c r="L174" s="62" t="b">
        <f t="shared" si="6"/>
        <v>1</v>
      </c>
      <c r="M174" s="60" t="str">
        <f>IFERROR(__xludf.DUMMYFUNCTION("if(regexmatch(B174,""e(.*)$""),regexextract(B174,""e(.*)$""),"""")"),"-17")</f>
        <v>-17</v>
      </c>
    </row>
    <row r="175" hidden="1">
      <c r="A175" s="17" t="s">
        <v>2196</v>
      </c>
      <c r="B175" s="17" t="s">
        <v>3155</v>
      </c>
      <c r="C175" s="17" t="s">
        <v>3156</v>
      </c>
      <c r="D175" s="17" t="s">
        <v>249</v>
      </c>
      <c r="E175" s="60" t="str">
        <f>VLOOKUP($A175,nist_names_ids!A:B,2,false)</f>
        <v>ku</v>
      </c>
      <c r="F175" s="61">
        <f>countif(Constants!A:A,E175)</f>
        <v>1</v>
      </c>
      <c r="G175" s="62" t="str">
        <f t="shared" si="1"/>
        <v>9.2510873014e-14</v>
      </c>
      <c r="H175" s="62">
        <f t="shared" si="2"/>
        <v>0</v>
      </c>
      <c r="I175" s="62" t="str">
        <f t="shared" si="3"/>
        <v>0.0000000028e-14</v>
      </c>
      <c r="J175" s="63">
        <f t="shared" si="4"/>
        <v>0</v>
      </c>
      <c r="K175" s="62" t="b">
        <f t="shared" si="5"/>
        <v>0</v>
      </c>
      <c r="L175" s="62" t="b">
        <f t="shared" si="6"/>
        <v>0</v>
      </c>
      <c r="M175" s="60" t="str">
        <f>IFERROR(__xludf.DUMMYFUNCTION("if(regexmatch(B175,""e(.*)$""),regexextract(B175,""e(.*)$""),"""")"),"-14")</f>
        <v>-14</v>
      </c>
    </row>
    <row r="176">
      <c r="A176" s="17" t="s">
        <v>2200</v>
      </c>
      <c r="B176" s="17" t="s">
        <v>2585</v>
      </c>
      <c r="C176" s="17" t="s">
        <v>1501</v>
      </c>
      <c r="D176" s="17" t="s">
        <v>181</v>
      </c>
      <c r="E176" s="60" t="str">
        <f>VLOOKUP($A176,nist_names_ids!A:B,2,false)</f>
        <v>kev</v>
      </c>
      <c r="F176" s="61">
        <f>countif(Constants!A:A,E176)</f>
        <v>1</v>
      </c>
      <c r="G176" s="62" t="str">
        <f t="shared" si="1"/>
        <v>8.617333262e-5</v>
      </c>
      <c r="H176" s="62">
        <f t="shared" si="2"/>
        <v>0.00008617333262</v>
      </c>
      <c r="I176" s="62" t="str">
        <f t="shared" si="3"/>
        <v>(exact)</v>
      </c>
      <c r="J176" s="63" t="str">
        <f t="shared" si="4"/>
        <v/>
      </c>
      <c r="K176" s="62" t="b">
        <f t="shared" si="5"/>
        <v>1</v>
      </c>
      <c r="L176" s="62" t="b">
        <f t="shared" si="6"/>
        <v>1</v>
      </c>
      <c r="M176" s="60" t="str">
        <f>IFERROR(__xludf.DUMMYFUNCTION("if(regexmatch(B176,""e(.*)$""),regexextract(B176,""e(.*)$""),"""")"),"-5")</f>
        <v>-5</v>
      </c>
    </row>
    <row r="177" hidden="1">
      <c r="A177" s="17" t="s">
        <v>2204</v>
      </c>
      <c r="B177" s="17" t="s">
        <v>3159</v>
      </c>
      <c r="C177" s="17" t="s">
        <v>3160</v>
      </c>
      <c r="D177" s="17" t="s">
        <v>170</v>
      </c>
      <c r="E177" s="60" t="str">
        <f>VLOOKUP($A177,nist_names_ids!A:B,2,false)</f>
        <v>khr</v>
      </c>
      <c r="F177" s="61">
        <f>countif(Constants!A:A,E177)</f>
        <v>1</v>
      </c>
      <c r="G177" s="62" t="str">
        <f t="shared" si="1"/>
        <v>3.1668115634556e-6</v>
      </c>
      <c r="H177" s="62">
        <f t="shared" si="2"/>
        <v>0.000003166811563</v>
      </c>
      <c r="I177" s="62" t="str">
        <f t="shared" si="3"/>
        <v>0.0000000000061e-6</v>
      </c>
      <c r="J177" s="63">
        <f t="shared" si="4"/>
        <v>0</v>
      </c>
      <c r="K177" s="62" t="b">
        <f t="shared" si="5"/>
        <v>0</v>
      </c>
      <c r="L177" s="62" t="b">
        <f t="shared" si="6"/>
        <v>0</v>
      </c>
      <c r="M177" s="60" t="str">
        <f>IFERROR(__xludf.DUMMYFUNCTION("if(regexmatch(B177,""e(.*)$""),regexextract(B177,""e(.*)$""),"""")"),"-6")</f>
        <v>-6</v>
      </c>
    </row>
    <row r="178">
      <c r="A178" s="17" t="s">
        <v>2208</v>
      </c>
      <c r="B178" s="17" t="s">
        <v>2590</v>
      </c>
      <c r="C178" s="17" t="s">
        <v>1501</v>
      </c>
      <c r="D178" s="17" t="s">
        <v>257</v>
      </c>
      <c r="E178" s="60" t="str">
        <f>VLOOKUP($A178,nist_names_ids!A:B,2,false)</f>
        <v>khz</v>
      </c>
      <c r="F178" s="61">
        <f>countif(Constants!A:A,E178)</f>
        <v>1</v>
      </c>
      <c r="G178" s="62" t="str">
        <f t="shared" si="1"/>
        <v>2.083661912e10</v>
      </c>
      <c r="H178" s="62">
        <f t="shared" si="2"/>
        <v>20836619120</v>
      </c>
      <c r="I178" s="62" t="str">
        <f t="shared" si="3"/>
        <v>(exact)</v>
      </c>
      <c r="J178" s="63" t="str">
        <f t="shared" si="4"/>
        <v/>
      </c>
      <c r="K178" s="62" t="b">
        <f t="shared" si="5"/>
        <v>1</v>
      </c>
      <c r="L178" s="62" t="b">
        <f t="shared" si="6"/>
        <v>1</v>
      </c>
      <c r="M178" s="60" t="str">
        <f>IFERROR(__xludf.DUMMYFUNCTION("if(regexmatch(B178,""e(.*)$""),regexextract(B178,""e(.*)$""),"""")"),"10")</f>
        <v>10</v>
      </c>
    </row>
    <row r="179">
      <c r="A179" s="17" t="s">
        <v>2217</v>
      </c>
      <c r="B179" s="17" t="s">
        <v>2596</v>
      </c>
      <c r="C179" s="17" t="s">
        <v>1501</v>
      </c>
      <c r="D179" s="17" t="s">
        <v>561</v>
      </c>
      <c r="E179" s="60" t="str">
        <f>VLOOKUP($A179,nist_names_ids!A:B,2,false)</f>
        <v>kminv</v>
      </c>
      <c r="F179" s="61">
        <f>countif(Constants!A:A,E179)</f>
        <v>1</v>
      </c>
      <c r="G179" s="62" t="str">
        <f t="shared" si="1"/>
        <v>69.50348004</v>
      </c>
      <c r="H179" s="62">
        <f t="shared" si="2"/>
        <v>69.50348004</v>
      </c>
      <c r="I179" s="62" t="str">
        <f t="shared" si="3"/>
        <v>(exact)</v>
      </c>
      <c r="J179" s="63" t="str">
        <f t="shared" si="4"/>
        <v/>
      </c>
      <c r="K179" s="62" t="b">
        <f t="shared" si="5"/>
        <v>1</v>
      </c>
      <c r="L179" s="62" t="b">
        <f t="shared" si="6"/>
        <v>1</v>
      </c>
      <c r="M179" s="60" t="str">
        <f>IFERROR(__xludf.DUMMYFUNCTION("if(regexmatch(B179,""e(.*)$""),regexextract(B179,""e(.*)$""),"""")"),"")</f>
        <v/>
      </c>
    </row>
    <row r="180">
      <c r="A180" s="17" t="s">
        <v>2219</v>
      </c>
      <c r="B180" s="17" t="s">
        <v>2581</v>
      </c>
      <c r="C180" s="17" t="s">
        <v>1501</v>
      </c>
      <c r="D180" s="17" t="s">
        <v>173</v>
      </c>
      <c r="E180" s="60" t="str">
        <f>VLOOKUP($A180,nist_names_ids!A:B,2,false)</f>
        <v>kj</v>
      </c>
      <c r="F180" s="61">
        <f>countif(Constants!A:A,E180)</f>
        <v>1</v>
      </c>
      <c r="G180" s="62" t="str">
        <f t="shared" si="1"/>
        <v>1.380649e-23</v>
      </c>
      <c r="H180" s="62">
        <f t="shared" si="2"/>
        <v>0</v>
      </c>
      <c r="I180" s="62" t="str">
        <f t="shared" si="3"/>
        <v>(exact)</v>
      </c>
      <c r="J180" s="63" t="str">
        <f t="shared" si="4"/>
        <v/>
      </c>
      <c r="K180" s="62" t="b">
        <f t="shared" si="5"/>
        <v>1</v>
      </c>
      <c r="L180" s="62" t="b">
        <f t="shared" si="6"/>
        <v>0</v>
      </c>
      <c r="M180" s="60" t="str">
        <f>IFERROR(__xludf.DUMMYFUNCTION("if(regexmatch(B180,""e(.*)$""),regexextract(B180,""e(.*)$""),"""")"),"-23")</f>
        <v>-23</v>
      </c>
    </row>
    <row r="181">
      <c r="A181" s="17" t="s">
        <v>2222</v>
      </c>
      <c r="B181" s="17" t="s">
        <v>3174</v>
      </c>
      <c r="C181" s="17" t="s">
        <v>1501</v>
      </c>
      <c r="D181" s="17" t="s">
        <v>98</v>
      </c>
      <c r="E181" s="60" t="str">
        <f>VLOOKUP($A181,nist_names_ids!A:B,2,false)</f>
        <v>kkg</v>
      </c>
      <c r="F181" s="61">
        <f>countif(Constants!A:A,E181)</f>
        <v>1</v>
      </c>
      <c r="G181" s="62" t="str">
        <f t="shared" si="1"/>
        <v>1.536179187e-40</v>
      </c>
      <c r="H181" s="62">
        <f t="shared" si="2"/>
        <v>0</v>
      </c>
      <c r="I181" s="62" t="str">
        <f t="shared" si="3"/>
        <v>(exact)</v>
      </c>
      <c r="J181" s="63" t="str">
        <f t="shared" si="4"/>
        <v/>
      </c>
      <c r="K181" s="62" t="b">
        <f t="shared" si="5"/>
        <v>1</v>
      </c>
      <c r="L181" s="62" t="b">
        <f t="shared" si="6"/>
        <v>1</v>
      </c>
      <c r="M181" s="60" t="str">
        <f>IFERROR(__xludf.DUMMYFUNCTION("if(regexmatch(B181,""e(.*)$""),regexextract(B181,""e(.*)$""),"""")"),"-40")</f>
        <v>-40</v>
      </c>
    </row>
    <row r="182" hidden="1">
      <c r="A182" s="17" t="s">
        <v>2226</v>
      </c>
      <c r="B182" s="17" t="s">
        <v>3177</v>
      </c>
      <c r="C182" s="17" t="s">
        <v>3178</v>
      </c>
      <c r="D182" s="17" t="s">
        <v>249</v>
      </c>
      <c r="E182" s="60" t="str">
        <f>VLOOKUP($A182,nist_names_ids!A:B,2,false)</f>
        <v>kgu</v>
      </c>
      <c r="F182" s="61">
        <f>countif(Constants!A:A,E182)</f>
        <v>1</v>
      </c>
      <c r="G182" s="62" t="str">
        <f t="shared" si="1"/>
        <v>6.0221407621e26</v>
      </c>
      <c r="H182" s="62">
        <f t="shared" si="2"/>
        <v>6.02214E+26</v>
      </c>
      <c r="I182" s="62" t="str">
        <f t="shared" si="3"/>
        <v>0.0000000018e26</v>
      </c>
      <c r="J182" s="63">
        <f t="shared" si="4"/>
        <v>1.8E+17</v>
      </c>
      <c r="K182" s="62" t="b">
        <f t="shared" si="5"/>
        <v>0</v>
      </c>
      <c r="L182" s="62" t="b">
        <f t="shared" si="6"/>
        <v>0</v>
      </c>
      <c r="M182" s="60" t="str">
        <f>IFERROR(__xludf.DUMMYFUNCTION("if(regexmatch(B182,""e(.*)$""),regexextract(B182,""e(.*)$""),"""")"),"26")</f>
        <v>26</v>
      </c>
    </row>
    <row r="183">
      <c r="A183" s="17" t="s">
        <v>2232</v>
      </c>
      <c r="B183" s="17" t="s">
        <v>3181</v>
      </c>
      <c r="C183" s="17" t="s">
        <v>1501</v>
      </c>
      <c r="D183" s="17" t="s">
        <v>181</v>
      </c>
      <c r="E183" s="60" t="str">
        <f>VLOOKUP($A183,nist_names_ids!A:B,2,false)</f>
        <v>kgev</v>
      </c>
      <c r="F183" s="61">
        <f>countif(Constants!A:A,E183)</f>
        <v>1</v>
      </c>
      <c r="G183" s="62" t="str">
        <f t="shared" si="1"/>
        <v>5.609588603e35</v>
      </c>
      <c r="H183" s="62">
        <f t="shared" si="2"/>
        <v>5.60959E+35</v>
      </c>
      <c r="I183" s="62" t="str">
        <f t="shared" si="3"/>
        <v>(exact)</v>
      </c>
      <c r="J183" s="63" t="str">
        <f t="shared" si="4"/>
        <v/>
      </c>
      <c r="K183" s="62" t="b">
        <f t="shared" si="5"/>
        <v>1</v>
      </c>
      <c r="L183" s="62" t="b">
        <f t="shared" si="6"/>
        <v>1</v>
      </c>
      <c r="M183" s="60" t="str">
        <f>IFERROR(__xludf.DUMMYFUNCTION("if(regexmatch(B183,""e(.*)$""),regexextract(B183,""e(.*)$""),"""")"),"35")</f>
        <v>35</v>
      </c>
    </row>
    <row r="184" hidden="1">
      <c r="A184" s="17" t="s">
        <v>2236</v>
      </c>
      <c r="B184" s="17" t="s">
        <v>3182</v>
      </c>
      <c r="C184" s="17" t="s">
        <v>3183</v>
      </c>
      <c r="D184" s="17" t="s">
        <v>170</v>
      </c>
      <c r="E184" s="60" t="str">
        <f>VLOOKUP($A184,nist_names_ids!A:B,2,false)</f>
        <v>kghr</v>
      </c>
      <c r="F184" s="61">
        <f>countif(Constants!A:A,E184)</f>
        <v>1</v>
      </c>
      <c r="G184" s="62" t="str">
        <f t="shared" si="1"/>
        <v>2.0614857887409e34</v>
      </c>
      <c r="H184" s="62">
        <f t="shared" si="2"/>
        <v>2.06149E+34</v>
      </c>
      <c r="I184" s="62" t="str">
        <f t="shared" si="3"/>
        <v>0.0000000000040e34</v>
      </c>
      <c r="J184" s="63">
        <f t="shared" si="4"/>
        <v>4E+22</v>
      </c>
      <c r="K184" s="62" t="b">
        <f t="shared" si="5"/>
        <v>0</v>
      </c>
      <c r="L184" s="62" t="b">
        <f t="shared" si="6"/>
        <v>0</v>
      </c>
      <c r="M184" s="60" t="str">
        <f>IFERROR(__xludf.DUMMYFUNCTION("if(regexmatch(B184,""e(.*)$""),regexextract(B184,""e(.*)$""),"""")"),"34")</f>
        <v>34</v>
      </c>
    </row>
    <row r="185">
      <c r="A185" s="17" t="s">
        <v>2243</v>
      </c>
      <c r="B185" s="17" t="s">
        <v>3184</v>
      </c>
      <c r="C185" s="17" t="s">
        <v>1501</v>
      </c>
      <c r="D185" s="17" t="s">
        <v>257</v>
      </c>
      <c r="E185" s="60" t="str">
        <f>VLOOKUP($A185,nist_names_ids!A:B,2,false)</f>
        <v>kghz</v>
      </c>
      <c r="F185" s="61">
        <f>countif(Constants!A:A,E185)</f>
        <v>1</v>
      </c>
      <c r="G185" s="62" t="str">
        <f t="shared" si="1"/>
        <v>1.356392489e50</v>
      </c>
      <c r="H185" s="62">
        <f t="shared" si="2"/>
        <v>1.35639E+50</v>
      </c>
      <c r="I185" s="62" t="str">
        <f t="shared" si="3"/>
        <v>(exact)</v>
      </c>
      <c r="J185" s="63" t="str">
        <f t="shared" si="4"/>
        <v/>
      </c>
      <c r="K185" s="62" t="b">
        <f t="shared" si="5"/>
        <v>1</v>
      </c>
      <c r="L185" s="62" t="b">
        <f t="shared" si="6"/>
        <v>1</v>
      </c>
      <c r="M185" s="60" t="str">
        <f>IFERROR(__xludf.DUMMYFUNCTION("if(regexmatch(B185,""e(.*)$""),regexextract(B185,""e(.*)$""),"""")"),"50")</f>
        <v>50</v>
      </c>
    </row>
    <row r="186">
      <c r="A186" s="17" t="s">
        <v>2247</v>
      </c>
      <c r="B186" s="17" t="s">
        <v>3185</v>
      </c>
      <c r="C186" s="17" t="s">
        <v>1501</v>
      </c>
      <c r="D186" s="17" t="s">
        <v>561</v>
      </c>
      <c r="E186" s="60" t="str">
        <f>VLOOKUP($A186,nist_names_ids!A:B,2,false)</f>
        <v>kgminv</v>
      </c>
      <c r="F186" s="61">
        <f>countif(Constants!A:A,E186)</f>
        <v>1</v>
      </c>
      <c r="G186" s="62" t="str">
        <f t="shared" si="1"/>
        <v>4.524438335e41</v>
      </c>
      <c r="H186" s="62">
        <f t="shared" si="2"/>
        <v>4.52444E+41</v>
      </c>
      <c r="I186" s="62" t="str">
        <f t="shared" si="3"/>
        <v>(exact)</v>
      </c>
      <c r="J186" s="63" t="str">
        <f t="shared" si="4"/>
        <v/>
      </c>
      <c r="K186" s="62" t="b">
        <f t="shared" si="5"/>
        <v>1</v>
      </c>
      <c r="L186" s="62" t="b">
        <f t="shared" si="6"/>
        <v>1</v>
      </c>
      <c r="M186" s="60" t="str">
        <f>IFERROR(__xludf.DUMMYFUNCTION("if(regexmatch(B186,""e(.*)$""),regexextract(B186,""e(.*)$""),"""")"),"41")</f>
        <v>41</v>
      </c>
    </row>
    <row r="187">
      <c r="A187" s="17" t="s">
        <v>2253</v>
      </c>
      <c r="B187" s="17" t="s">
        <v>3186</v>
      </c>
      <c r="C187" s="17" t="s">
        <v>1501</v>
      </c>
      <c r="D187" s="17" t="s">
        <v>173</v>
      </c>
      <c r="E187" s="60" t="str">
        <f>VLOOKUP($A187,nist_names_ids!A:B,2,false)</f>
        <v>kgj</v>
      </c>
      <c r="F187" s="61">
        <f>countif(Constants!A:A,E187)</f>
        <v>1</v>
      </c>
      <c r="G187" s="62" t="str">
        <f t="shared" si="1"/>
        <v>8.987551787e16</v>
      </c>
      <c r="H187" s="62">
        <f t="shared" si="2"/>
        <v>8.98755E+16</v>
      </c>
      <c r="I187" s="62" t="str">
        <f t="shared" si="3"/>
        <v>(exact)</v>
      </c>
      <c r="J187" s="63" t="str">
        <f t="shared" si="4"/>
        <v/>
      </c>
      <c r="K187" s="62" t="b">
        <f t="shared" si="5"/>
        <v>1</v>
      </c>
      <c r="L187" s="62" t="b">
        <f t="shared" si="6"/>
        <v>1</v>
      </c>
      <c r="M187" s="60" t="str">
        <f>IFERROR(__xludf.DUMMYFUNCTION("if(regexmatch(B187,""e(.*)$""),regexextract(B187,""e(.*)$""),"""")"),"16")</f>
        <v>16</v>
      </c>
    </row>
    <row r="188">
      <c r="A188" s="17" t="s">
        <v>2257</v>
      </c>
      <c r="B188" s="17" t="s">
        <v>3188</v>
      </c>
      <c r="C188" s="17" t="s">
        <v>1501</v>
      </c>
      <c r="D188" s="17" t="s">
        <v>345</v>
      </c>
      <c r="E188" s="60" t="str">
        <f>VLOOKUP($A188,nist_names_ids!A:B,2,false)</f>
        <v>kgk</v>
      </c>
      <c r="F188" s="61">
        <f>countif(Constants!A:A,E188)</f>
        <v>1</v>
      </c>
      <c r="G188" s="62" t="str">
        <f t="shared" si="1"/>
        <v>6.509657260e39</v>
      </c>
      <c r="H188" s="62">
        <f t="shared" si="2"/>
        <v>6.50966E+39</v>
      </c>
      <c r="I188" s="62" t="str">
        <f t="shared" si="3"/>
        <v>(exact)</v>
      </c>
      <c r="J188" s="63" t="str">
        <f t="shared" si="4"/>
        <v/>
      </c>
      <c r="K188" s="62" t="b">
        <f t="shared" si="5"/>
        <v>1</v>
      </c>
      <c r="L188" s="62" t="b">
        <f t="shared" si="6"/>
        <v>1</v>
      </c>
      <c r="M188" s="60" t="str">
        <f>IFERROR(__xludf.DUMMYFUNCTION("if(regexmatch(B188,""e(.*)$""),regexextract(B188,""e(.*)$""),"""")"),"39")</f>
        <v>39</v>
      </c>
    </row>
    <row r="189" hidden="1">
      <c r="A189" s="17" t="s">
        <v>2260</v>
      </c>
      <c r="B189" s="17" t="s">
        <v>3190</v>
      </c>
      <c r="C189" s="17" t="s">
        <v>2262</v>
      </c>
      <c r="D189" s="17" t="s">
        <v>381</v>
      </c>
      <c r="E189" s="60" t="str">
        <f>VLOOKUP($A189,nist_names_ids!A:B,2,false)</f>
        <v>asil</v>
      </c>
      <c r="F189" s="61">
        <f>countif(Constants!A:A,E189)</f>
        <v>1</v>
      </c>
      <c r="G189" s="62" t="str">
        <f t="shared" si="1"/>
        <v>5.431020511e-10</v>
      </c>
      <c r="H189" s="62">
        <f t="shared" si="2"/>
        <v>0.0000000005431020511</v>
      </c>
      <c r="I189" s="62" t="str">
        <f t="shared" si="3"/>
        <v>0.000000089e-10</v>
      </c>
      <c r="J189" s="63">
        <f t="shared" si="4"/>
        <v>0</v>
      </c>
      <c r="K189" s="62" t="b">
        <f t="shared" si="5"/>
        <v>0</v>
      </c>
      <c r="L189" s="62" t="b">
        <f t="shared" si="6"/>
        <v>0</v>
      </c>
      <c r="M189" s="60" t="str">
        <f>IFERROR(__xludf.DUMMYFUNCTION("if(regexmatch(B189,""e(.*)$""),regexextract(B189,""e(.*)$""),"""")"),"-10")</f>
        <v>-10</v>
      </c>
    </row>
    <row r="190" hidden="1">
      <c r="A190" s="17" t="s">
        <v>2263</v>
      </c>
      <c r="B190" s="17" t="s">
        <v>3191</v>
      </c>
      <c r="C190" s="17" t="s">
        <v>2265</v>
      </c>
      <c r="D190" s="17" t="s">
        <v>381</v>
      </c>
      <c r="E190" s="60" t="str">
        <f>VLOOKUP($A190,nist_names_ids!A:B,2,false)</f>
        <v>d220sil</v>
      </c>
      <c r="F190" s="61">
        <f>countif(Constants!A:A,E190)</f>
        <v>1</v>
      </c>
      <c r="G190" s="62" t="str">
        <f t="shared" si="1"/>
        <v>1.920155716e-10</v>
      </c>
      <c r="H190" s="62">
        <f t="shared" si="2"/>
        <v>0.0000000001920155716</v>
      </c>
      <c r="I190" s="62" t="str">
        <f t="shared" si="3"/>
        <v>0.000000032e-10</v>
      </c>
      <c r="J190" s="63">
        <f t="shared" si="4"/>
        <v>0</v>
      </c>
      <c r="K190" s="62" t="b">
        <f t="shared" si="5"/>
        <v>0</v>
      </c>
      <c r="L190" s="62" t="b">
        <f t="shared" si="6"/>
        <v>0</v>
      </c>
      <c r="M190" s="60" t="str">
        <f>IFERROR(__xludf.DUMMYFUNCTION("if(regexmatch(B190,""e(.*)$""),regexextract(B190,""e(.*)$""),"""")"),"-10")</f>
        <v>-10</v>
      </c>
    </row>
    <row r="191">
      <c r="A191" s="17" t="s">
        <v>2267</v>
      </c>
      <c r="B191" s="17" t="s">
        <v>3192</v>
      </c>
      <c r="C191" s="17" t="s">
        <v>1501</v>
      </c>
      <c r="D191" s="17" t="s">
        <v>2269</v>
      </c>
      <c r="E191" s="60" t="str">
        <f>VLOOKUP($A191,nist_names_ids!A:B,2,false)</f>
        <v>n0</v>
      </c>
      <c r="F191" s="61">
        <f>countif(Constants!A:A,E191)</f>
        <v>1</v>
      </c>
      <c r="G191" s="62" t="str">
        <f t="shared" si="1"/>
        <v>2.651645804e25</v>
      </c>
      <c r="H191" s="62">
        <f t="shared" si="2"/>
        <v>2.65165E+25</v>
      </c>
      <c r="I191" s="62" t="str">
        <f t="shared" si="3"/>
        <v>(exact)</v>
      </c>
      <c r="J191" s="63" t="str">
        <f t="shared" si="4"/>
        <v/>
      </c>
      <c r="K191" s="62" t="b">
        <f t="shared" si="5"/>
        <v>1</v>
      </c>
      <c r="L191" s="62" t="b">
        <f t="shared" si="6"/>
        <v>1</v>
      </c>
      <c r="M191" s="60" t="str">
        <f>IFERROR(__xludf.DUMMYFUNCTION("if(regexmatch(B191,""e(.*)$""),regexextract(B191,""e(.*)$""),"""")"),"25")</f>
        <v>25</v>
      </c>
    </row>
    <row r="192">
      <c r="A192" s="17" t="s">
        <v>2273</v>
      </c>
      <c r="B192" s="17" t="s">
        <v>3195</v>
      </c>
      <c r="C192" s="17" t="s">
        <v>1501</v>
      </c>
      <c r="D192" s="17" t="s">
        <v>2269</v>
      </c>
      <c r="E192" s="60" t="str">
        <f>VLOOKUP($A192,nist_names_ids!A:B,2,false)</f>
        <v>n0std</v>
      </c>
      <c r="F192" s="61">
        <f>countif(Constants!A:A,E192)</f>
        <v>1</v>
      </c>
      <c r="G192" s="62" t="str">
        <f t="shared" si="1"/>
        <v>2.686780111e25</v>
      </c>
      <c r="H192" s="62">
        <f t="shared" si="2"/>
        <v>2.68678E+25</v>
      </c>
      <c r="I192" s="62" t="str">
        <f t="shared" si="3"/>
        <v>(exact)</v>
      </c>
      <c r="J192" s="63" t="str">
        <f t="shared" si="4"/>
        <v/>
      </c>
      <c r="K192" s="62" t="b">
        <f t="shared" si="5"/>
        <v>1</v>
      </c>
      <c r="L192" s="62" t="b">
        <f t="shared" si="6"/>
        <v>1</v>
      </c>
      <c r="M192" s="60" t="str">
        <f>IFERROR(__xludf.DUMMYFUNCTION("if(regexmatch(B192,""e(.*)$""),regexextract(B192,""e(.*)$""),"""")"),"25")</f>
        <v>25</v>
      </c>
    </row>
    <row r="193">
      <c r="A193" s="17" t="s">
        <v>2277</v>
      </c>
      <c r="B193" s="64" t="s">
        <v>3199</v>
      </c>
      <c r="C193" s="17" t="s">
        <v>1501</v>
      </c>
      <c r="D193" s="17" t="s">
        <v>2279</v>
      </c>
      <c r="E193" s="60" t="str">
        <f>VLOOKUP($A193,nist_names_ids!A:B,2,false)</f>
        <v>kcd</v>
      </c>
      <c r="F193" s="61">
        <f>countif(Constants!A:A,E193)</f>
        <v>1</v>
      </c>
      <c r="G193" s="62" t="str">
        <f t="shared" si="1"/>
        <v>683</v>
      </c>
      <c r="H193" s="62">
        <f t="shared" si="2"/>
        <v>683</v>
      </c>
      <c r="I193" s="62" t="str">
        <f t="shared" si="3"/>
        <v>(exact)</v>
      </c>
      <c r="J193" s="63" t="str">
        <f t="shared" si="4"/>
        <v/>
      </c>
      <c r="K193" s="62" t="b">
        <f t="shared" si="5"/>
        <v>1</v>
      </c>
      <c r="L193" s="62" t="b">
        <f t="shared" si="6"/>
        <v>0</v>
      </c>
      <c r="M193" s="60" t="str">
        <f>IFERROR(__xludf.DUMMYFUNCTION("if(regexmatch(B193,""e(.*)$""),regexextract(B193,""e(.*)$""),"""")"),"")</f>
        <v/>
      </c>
    </row>
    <row r="194">
      <c r="A194" s="17" t="s">
        <v>2280</v>
      </c>
      <c r="B194" s="17" t="s">
        <v>3202</v>
      </c>
      <c r="C194" s="17" t="s">
        <v>1501</v>
      </c>
      <c r="D194" s="17" t="s">
        <v>622</v>
      </c>
      <c r="E194" s="60" t="str">
        <f>VLOOKUP($A194,nist_names_ids!A:B,2,false)</f>
        <v>flxquhs2e</v>
      </c>
      <c r="F194" s="61">
        <f>countif(Constants!A:A,E194)</f>
        <v>1</v>
      </c>
      <c r="G194" s="62" t="str">
        <f t="shared" si="1"/>
        <v>2.067833848e-15</v>
      </c>
      <c r="H194" s="62">
        <f t="shared" si="2"/>
        <v>0</v>
      </c>
      <c r="I194" s="62" t="str">
        <f t="shared" si="3"/>
        <v>(exact)</v>
      </c>
      <c r="J194" s="63" t="str">
        <f t="shared" si="4"/>
        <v/>
      </c>
      <c r="K194" s="62" t="b">
        <f t="shared" si="5"/>
        <v>1</v>
      </c>
      <c r="L194" s="62" t="b">
        <f t="shared" si="6"/>
        <v>1</v>
      </c>
      <c r="M194" s="60" t="str">
        <f>IFERROR(__xludf.DUMMYFUNCTION("if(regexmatch(B194,""e(.*)$""),regexextract(B194,""e(.*)$""),"""")"),"-15")</f>
        <v>-15</v>
      </c>
    </row>
    <row r="195">
      <c r="A195" s="17" t="s">
        <v>2284</v>
      </c>
      <c r="B195" s="17" t="s">
        <v>3203</v>
      </c>
      <c r="C195" s="17" t="s">
        <v>1501</v>
      </c>
      <c r="D195" s="17" t="s">
        <v>2286</v>
      </c>
      <c r="E195" s="60" t="str">
        <f>VLOOKUP($A195,nist_names_ids!A:B,2,false)</f>
        <v>r</v>
      </c>
      <c r="F195" s="61">
        <f>countif(Constants!A:A,E195)</f>
        <v>1</v>
      </c>
      <c r="G195" s="62" t="str">
        <f t="shared" si="1"/>
        <v>8.314462618</v>
      </c>
      <c r="H195" s="62">
        <f t="shared" si="2"/>
        <v>8.314462618</v>
      </c>
      <c r="I195" s="62" t="str">
        <f t="shared" si="3"/>
        <v>(exact)</v>
      </c>
      <c r="J195" s="63" t="str">
        <f t="shared" si="4"/>
        <v/>
      </c>
      <c r="K195" s="62" t="b">
        <f t="shared" si="5"/>
        <v>1</v>
      </c>
      <c r="L195" s="62" t="b">
        <f t="shared" si="6"/>
        <v>1</v>
      </c>
      <c r="M195" s="60" t="str">
        <f>IFERROR(__xludf.DUMMYFUNCTION("if(regexmatch(B195,""e(.*)$""),regexextract(B195,""e(.*)$""),"""")"),"")</f>
        <v/>
      </c>
    </row>
    <row r="196" hidden="1">
      <c r="A196" s="17" t="s">
        <v>2287</v>
      </c>
      <c r="B196" s="17" t="s">
        <v>3206</v>
      </c>
      <c r="C196" s="17" t="s">
        <v>3207</v>
      </c>
      <c r="D196" s="17" t="s">
        <v>286</v>
      </c>
      <c r="E196" s="60" t="str">
        <f>VLOOKUP($A196,nist_names_ids!A:B,2,false)</f>
        <v>mu</v>
      </c>
      <c r="F196" s="61">
        <f>countif(Constants!A:A,E196)</f>
        <v>1</v>
      </c>
      <c r="G196" s="62" t="str">
        <f t="shared" si="1"/>
        <v>0.99999999965e-3</v>
      </c>
      <c r="H196" s="62">
        <f t="shared" si="2"/>
        <v>0.0009999999997</v>
      </c>
      <c r="I196" s="62" t="str">
        <f t="shared" si="3"/>
        <v>0.00000000030e-3</v>
      </c>
      <c r="J196" s="63">
        <f t="shared" si="4"/>
        <v>0</v>
      </c>
      <c r="K196" s="62" t="b">
        <f t="shared" si="5"/>
        <v>0</v>
      </c>
      <c r="L196" s="62" t="b">
        <f t="shared" si="6"/>
        <v>0</v>
      </c>
      <c r="M196" s="60" t="str">
        <f>IFERROR(__xludf.DUMMYFUNCTION("if(regexmatch(B196,""e(.*)$""),regexextract(B196,""e(.*)$""),"""")"),"-3")</f>
        <v>-3</v>
      </c>
    </row>
    <row r="197" hidden="1">
      <c r="A197" s="17" t="s">
        <v>2290</v>
      </c>
      <c r="B197" s="17" t="s">
        <v>3213</v>
      </c>
      <c r="C197" s="17" t="s">
        <v>3214</v>
      </c>
      <c r="D197" s="17" t="s">
        <v>286</v>
      </c>
      <c r="E197" s="60" t="str">
        <f>VLOOKUP($A197,nist_names_ids!A:B,2,false)</f>
        <v>mm12c</v>
      </c>
      <c r="F197" s="61">
        <f>countif(Constants!A:A,E197)</f>
        <v>1</v>
      </c>
      <c r="G197" s="62" t="str">
        <f t="shared" si="1"/>
        <v>11.9999999958e-3</v>
      </c>
      <c r="H197" s="62">
        <f t="shared" si="2"/>
        <v>0.012</v>
      </c>
      <c r="I197" s="62" t="str">
        <f t="shared" si="3"/>
        <v>0.0000000036e-3</v>
      </c>
      <c r="J197" s="63">
        <f t="shared" si="4"/>
        <v>0</v>
      </c>
      <c r="K197" s="62" t="b">
        <f t="shared" si="5"/>
        <v>0</v>
      </c>
      <c r="L197" s="62" t="b">
        <f t="shared" si="6"/>
        <v>0</v>
      </c>
      <c r="M197" s="60" t="str">
        <f>IFERROR(__xludf.DUMMYFUNCTION("if(regexmatch(B197,""e(.*)$""),regexextract(B197,""e(.*)$""),"""")"),"-3")</f>
        <v>-3</v>
      </c>
    </row>
    <row r="198">
      <c r="A198" s="17" t="s">
        <v>2295</v>
      </c>
      <c r="B198" s="17" t="s">
        <v>3215</v>
      </c>
      <c r="C198" s="17" t="s">
        <v>1501</v>
      </c>
      <c r="D198" s="17" t="s">
        <v>2297</v>
      </c>
      <c r="E198" s="60" t="str">
        <f>VLOOKUP($A198,nist_names_ids!A:B,2,false)</f>
        <v>nah</v>
      </c>
      <c r="F198" s="61">
        <f>countif(Constants!A:A,E198)</f>
        <v>1</v>
      </c>
      <c r="G198" s="62" t="str">
        <f t="shared" si="1"/>
        <v>3.990312712e-10</v>
      </c>
      <c r="H198" s="62">
        <f t="shared" si="2"/>
        <v>0.0000000003990312712</v>
      </c>
      <c r="I198" s="62" t="str">
        <f t="shared" si="3"/>
        <v>(exact)</v>
      </c>
      <c r="J198" s="63" t="str">
        <f t="shared" si="4"/>
        <v/>
      </c>
      <c r="K198" s="62" t="b">
        <f t="shared" si="5"/>
        <v>1</v>
      </c>
      <c r="L198" s="62" t="b">
        <f t="shared" si="6"/>
        <v>1</v>
      </c>
      <c r="M198" s="60" t="str">
        <f>IFERROR(__xludf.DUMMYFUNCTION("if(regexmatch(B198,""e(.*)$""),regexextract(B198,""e(.*)$""),"""")"),"-10")</f>
        <v>-10</v>
      </c>
    </row>
    <row r="199">
      <c r="A199" s="17" t="s">
        <v>2300</v>
      </c>
      <c r="B199" s="17" t="s">
        <v>3217</v>
      </c>
      <c r="C199" s="17" t="s">
        <v>1501</v>
      </c>
      <c r="D199" s="17" t="s">
        <v>2302</v>
      </c>
      <c r="E199" s="60" t="str">
        <f>VLOOKUP($A199,nist_names_ids!A:B,2,false)</f>
        <v>mvol</v>
      </c>
      <c r="F199" s="61">
        <f>countif(Constants!A:A,E199)</f>
        <v>1</v>
      </c>
      <c r="G199" s="62" t="str">
        <f t="shared" si="1"/>
        <v>22.71095464e-3</v>
      </c>
      <c r="H199" s="62">
        <f t="shared" si="2"/>
        <v>0.02271095464</v>
      </c>
      <c r="I199" s="62" t="str">
        <f t="shared" si="3"/>
        <v>(exact)</v>
      </c>
      <c r="J199" s="63" t="str">
        <f t="shared" si="4"/>
        <v/>
      </c>
      <c r="K199" s="62" t="b">
        <f t="shared" si="5"/>
        <v>1</v>
      </c>
      <c r="L199" s="62" t="b">
        <f t="shared" si="6"/>
        <v>1</v>
      </c>
      <c r="M199" s="60" t="str">
        <f>IFERROR(__xludf.DUMMYFUNCTION("if(regexmatch(B199,""e(.*)$""),regexextract(B199,""e(.*)$""),"""")"),"-3")</f>
        <v>-3</v>
      </c>
    </row>
    <row r="200">
      <c r="A200" s="17" t="s">
        <v>2303</v>
      </c>
      <c r="B200" s="17" t="s">
        <v>3221</v>
      </c>
      <c r="C200" s="17" t="s">
        <v>1501</v>
      </c>
      <c r="D200" s="17" t="s">
        <v>2302</v>
      </c>
      <c r="E200" s="60" t="str">
        <f>VLOOKUP($A200,nist_names_ids!A:B,2,false)</f>
        <v>mvolstd</v>
      </c>
      <c r="F200" s="61">
        <f>countif(Constants!A:A,E200)</f>
        <v>1</v>
      </c>
      <c r="G200" s="62" t="str">
        <f t="shared" si="1"/>
        <v>22.41396954e-3</v>
      </c>
      <c r="H200" s="62">
        <f t="shared" si="2"/>
        <v>0.02241396954</v>
      </c>
      <c r="I200" s="62" t="str">
        <f t="shared" si="3"/>
        <v>(exact)</v>
      </c>
      <c r="J200" s="63" t="str">
        <f t="shared" si="4"/>
        <v/>
      </c>
      <c r="K200" s="62" t="b">
        <f t="shared" si="5"/>
        <v>1</v>
      </c>
      <c r="L200" s="62" t="b">
        <f t="shared" si="6"/>
        <v>1</v>
      </c>
      <c r="M200" s="60" t="str">
        <f>IFERROR(__xludf.DUMMYFUNCTION("if(regexmatch(B200,""e(.*)$""),regexextract(B200,""e(.*)$""),"""")"),"-3")</f>
        <v>-3</v>
      </c>
    </row>
    <row r="201" hidden="1">
      <c r="A201" s="17" t="s">
        <v>2308</v>
      </c>
      <c r="B201" s="17" t="s">
        <v>3227</v>
      </c>
      <c r="C201" s="17" t="s">
        <v>2310</v>
      </c>
      <c r="D201" s="17" t="s">
        <v>2302</v>
      </c>
      <c r="E201" s="60" t="str">
        <f>VLOOKUP($A201,nist_names_ids!A:B,2,false)</f>
        <v>mvolsil</v>
      </c>
      <c r="F201" s="61">
        <f>countif(Constants!A:A,E201)</f>
        <v>1</v>
      </c>
      <c r="G201" s="62" t="str">
        <f t="shared" si="1"/>
        <v>1.205883199e-5</v>
      </c>
      <c r="H201" s="62">
        <f t="shared" si="2"/>
        <v>0.00001205883199</v>
      </c>
      <c r="I201" s="62" t="str">
        <f t="shared" si="3"/>
        <v>0.000000060e-5</v>
      </c>
      <c r="J201" s="63">
        <f t="shared" si="4"/>
        <v>0</v>
      </c>
      <c r="K201" s="62" t="b">
        <f t="shared" si="5"/>
        <v>0</v>
      </c>
      <c r="L201" s="62" t="b">
        <f t="shared" si="6"/>
        <v>0</v>
      </c>
      <c r="M201" s="60" t="str">
        <f>IFERROR(__xludf.DUMMYFUNCTION("if(regexmatch(B201,""e(.*)$""),regexextract(B201,""e(.*)$""),"""")"),"-5")</f>
        <v>-5</v>
      </c>
    </row>
    <row r="202" hidden="1">
      <c r="A202" s="17" t="s">
        <v>2313</v>
      </c>
      <c r="B202" s="17" t="s">
        <v>3231</v>
      </c>
      <c r="C202" s="17" t="s">
        <v>2315</v>
      </c>
      <c r="D202" s="17" t="s">
        <v>381</v>
      </c>
      <c r="E202" s="60" t="str">
        <f>VLOOKUP($A202,nist_names_ids!A:B,2,false)</f>
        <v>xumokalph1</v>
      </c>
      <c r="F202" s="61">
        <f>countif(Constants!A:A,E202)</f>
        <v>1</v>
      </c>
      <c r="G202" s="62" t="str">
        <f t="shared" si="1"/>
        <v>1.00209952e-13</v>
      </c>
      <c r="H202" s="62">
        <f t="shared" si="2"/>
        <v>0</v>
      </c>
      <c r="I202" s="62" t="str">
        <f t="shared" si="3"/>
        <v>0.00000053e-13</v>
      </c>
      <c r="J202" s="63">
        <f t="shared" si="4"/>
        <v>0</v>
      </c>
      <c r="K202" s="62" t="b">
        <f t="shared" si="5"/>
        <v>0</v>
      </c>
      <c r="L202" s="62" t="b">
        <f t="shared" si="6"/>
        <v>0</v>
      </c>
      <c r="M202" s="60" t="str">
        <f>IFERROR(__xludf.DUMMYFUNCTION("if(regexmatch(B202,""e(.*)$""),regexextract(B202,""e(.*)$""),"""")"),"-13")</f>
        <v>-13</v>
      </c>
    </row>
    <row r="203" hidden="1">
      <c r="A203" s="17" t="s">
        <v>2318</v>
      </c>
      <c r="B203" s="17" t="s">
        <v>3232</v>
      </c>
      <c r="C203" s="17" t="s">
        <v>2320</v>
      </c>
      <c r="D203" s="17" t="s">
        <v>381</v>
      </c>
      <c r="E203" s="60" t="str">
        <f>VLOOKUP($A203,nist_names_ids!A:B,2,false)</f>
        <v>mcomwl</v>
      </c>
      <c r="F203" s="61">
        <f>countif(Constants!A:A,E203)</f>
        <v>1</v>
      </c>
      <c r="G203" s="62" t="str">
        <f t="shared" si="1"/>
        <v>1.173444110e-14</v>
      </c>
      <c r="H203" s="62">
        <f t="shared" si="2"/>
        <v>0</v>
      </c>
      <c r="I203" s="62" t="str">
        <f t="shared" si="3"/>
        <v>0.000000026e-14</v>
      </c>
      <c r="J203" s="63">
        <f t="shared" si="4"/>
        <v>0</v>
      </c>
      <c r="K203" s="62" t="b">
        <f t="shared" si="5"/>
        <v>0</v>
      </c>
      <c r="L203" s="62" t="b">
        <f t="shared" si="6"/>
        <v>0</v>
      </c>
      <c r="M203" s="60" t="str">
        <f>IFERROR(__xludf.DUMMYFUNCTION("if(regexmatch(B203,""e(.*)$""),regexextract(B203,""e(.*)$""),"""")"),"-14")</f>
        <v>-14</v>
      </c>
    </row>
    <row r="204" hidden="1">
      <c r="A204" s="17" t="s">
        <v>2326</v>
      </c>
      <c r="B204" s="17" t="s">
        <v>3235</v>
      </c>
      <c r="C204" s="17" t="s">
        <v>1866</v>
      </c>
      <c r="E204" s="60" t="str">
        <f>VLOOKUP($A204,nist_names_ids!A:B,2,false)</f>
        <v>mmusme</v>
      </c>
      <c r="F204" s="61">
        <f>countif(Constants!A:A,E204)</f>
        <v>1</v>
      </c>
      <c r="G204" s="62" t="str">
        <f t="shared" si="1"/>
        <v>206.7682830</v>
      </c>
      <c r="H204" s="62">
        <f t="shared" si="2"/>
        <v>206.768283</v>
      </c>
      <c r="I204" s="62" t="str">
        <f t="shared" si="3"/>
        <v>0.0000046</v>
      </c>
      <c r="J204" s="63">
        <f t="shared" si="4"/>
        <v>0.0000046</v>
      </c>
      <c r="K204" s="62" t="b">
        <f t="shared" si="5"/>
        <v>0</v>
      </c>
      <c r="L204" s="62" t="b">
        <f t="shared" si="6"/>
        <v>0</v>
      </c>
      <c r="M204" s="60" t="str">
        <f>IFERROR(__xludf.DUMMYFUNCTION("if(regexmatch(B204,""e(.*)$""),regexextract(B204,""e(.*)$""),"""")"),"")</f>
        <v/>
      </c>
    </row>
    <row r="205" hidden="1">
      <c r="A205" s="17" t="s">
        <v>2330</v>
      </c>
      <c r="B205" s="17" t="s">
        <v>3240</v>
      </c>
      <c r="C205" s="17" t="s">
        <v>3241</v>
      </c>
      <c r="E205" s="60" t="str">
        <f>VLOOKUP($A205,nist_names_ids!A:B,2,false)</f>
        <v>gmum</v>
      </c>
      <c r="F205" s="61">
        <f>countif(Constants!A:A,E205)</f>
        <v>1</v>
      </c>
      <c r="G205" s="62" t="str">
        <f t="shared" si="1"/>
        <v>-2.0023318418</v>
      </c>
      <c r="H205" s="62">
        <f t="shared" si="2"/>
        <v>-2.002331842</v>
      </c>
      <c r="I205" s="62" t="str">
        <f t="shared" si="3"/>
        <v>0.0000000013</v>
      </c>
      <c r="J205" s="63">
        <f t="shared" si="4"/>
        <v>0.0000000013</v>
      </c>
      <c r="K205" s="62" t="b">
        <f t="shared" si="5"/>
        <v>0</v>
      </c>
      <c r="L205" s="62" t="b">
        <f t="shared" si="6"/>
        <v>0</v>
      </c>
      <c r="M205" s="60" t="str">
        <f>IFERROR(__xludf.DUMMYFUNCTION("if(regexmatch(B205,""e(.*)$""),regexextract(B205,""e(.*)$""),"""")"),"")</f>
        <v/>
      </c>
    </row>
    <row r="206" hidden="1">
      <c r="A206" s="17" t="s">
        <v>2333</v>
      </c>
      <c r="B206" s="17" t="s">
        <v>3244</v>
      </c>
      <c r="C206" s="17" t="s">
        <v>2335</v>
      </c>
      <c r="D206" s="17" t="s">
        <v>964</v>
      </c>
      <c r="E206" s="60" t="str">
        <f>VLOOKUP($A206,nist_names_ids!A:B,2,false)</f>
        <v>mumum</v>
      </c>
      <c r="F206" s="61">
        <f>countif(Constants!A:A,E206)</f>
        <v>1</v>
      </c>
      <c r="G206" s="62" t="str">
        <f t="shared" si="1"/>
        <v>-4.49044830e-26</v>
      </c>
      <c r="H206" s="62">
        <f t="shared" si="2"/>
        <v>0</v>
      </c>
      <c r="I206" s="62" t="str">
        <f t="shared" si="3"/>
        <v>0.00000010e-26</v>
      </c>
      <c r="J206" s="63">
        <f t="shared" si="4"/>
        <v>0</v>
      </c>
      <c r="K206" s="62" t="b">
        <f t="shared" si="5"/>
        <v>0</v>
      </c>
      <c r="L206" s="62" t="b">
        <f t="shared" si="6"/>
        <v>0</v>
      </c>
      <c r="M206" s="60" t="str">
        <f>IFERROR(__xludf.DUMMYFUNCTION("if(regexmatch(B206,""e(.*)$""),regexextract(B206,""e(.*)$""),"""")"),"-26")</f>
        <v>-26</v>
      </c>
    </row>
    <row r="207" hidden="1">
      <c r="A207" s="17" t="s">
        <v>2338</v>
      </c>
      <c r="B207" s="17" t="s">
        <v>3246</v>
      </c>
      <c r="C207" s="17" t="s">
        <v>3247</v>
      </c>
      <c r="E207" s="60" t="str">
        <f>VLOOKUP($A207,nist_names_ids!A:B,2,false)</f>
        <v>amu</v>
      </c>
      <c r="F207" s="61">
        <f>countif(Constants!A:A,E207)</f>
        <v>1</v>
      </c>
      <c r="G207" s="62" t="str">
        <f t="shared" si="1"/>
        <v>1.16592089e-3</v>
      </c>
      <c r="H207" s="62">
        <f t="shared" si="2"/>
        <v>0.00116592089</v>
      </c>
      <c r="I207" s="62" t="str">
        <f t="shared" si="3"/>
        <v>0.00000063e-3</v>
      </c>
      <c r="J207" s="63">
        <f t="shared" si="4"/>
        <v>0.00000000063</v>
      </c>
      <c r="K207" s="62" t="b">
        <f t="shared" si="5"/>
        <v>0</v>
      </c>
      <c r="L207" s="62" t="b">
        <f t="shared" si="6"/>
        <v>0</v>
      </c>
      <c r="M207" s="60" t="str">
        <f>IFERROR(__xludf.DUMMYFUNCTION("if(regexmatch(B207,""e(.*)$""),regexextract(B207,""e(.*)$""),"""")"),"-3")</f>
        <v>-3</v>
      </c>
    </row>
    <row r="208" hidden="1">
      <c r="A208" s="17" t="s">
        <v>2344</v>
      </c>
      <c r="B208" s="17" t="s">
        <v>3250</v>
      </c>
      <c r="C208" s="17" t="s">
        <v>1870</v>
      </c>
      <c r="E208" s="60" t="str">
        <f>VLOOKUP($A208,nist_names_ids!A:B,2,false)</f>
        <v>mumumsmub</v>
      </c>
      <c r="F208" s="61">
        <f>countif(Constants!A:A,E208)</f>
        <v>1</v>
      </c>
      <c r="G208" s="62" t="str">
        <f t="shared" si="1"/>
        <v>-4.84197047e-3</v>
      </c>
      <c r="H208" s="62">
        <f t="shared" si="2"/>
        <v>-0.00484197047</v>
      </c>
      <c r="I208" s="62" t="str">
        <f t="shared" si="3"/>
        <v>0.00000011e-3</v>
      </c>
      <c r="J208" s="63">
        <f t="shared" si="4"/>
        <v>0.00000000011</v>
      </c>
      <c r="K208" s="62" t="b">
        <f t="shared" si="5"/>
        <v>0</v>
      </c>
      <c r="L208" s="62" t="b">
        <f t="shared" si="6"/>
        <v>0</v>
      </c>
      <c r="M208" s="60" t="str">
        <f>IFERROR(__xludf.DUMMYFUNCTION("if(regexmatch(B208,""e(.*)$""),regexextract(B208,""e(.*)$""),"""")"),"-3")</f>
        <v>-3</v>
      </c>
    </row>
    <row r="209" hidden="1">
      <c r="A209" s="17" t="s">
        <v>2346</v>
      </c>
      <c r="B209" s="17" t="s">
        <v>3254</v>
      </c>
      <c r="C209" s="17" t="s">
        <v>2348</v>
      </c>
      <c r="E209" s="60" t="str">
        <f>VLOOKUP($A209,nist_names_ids!A:B,2,false)</f>
        <v>mumumsmun</v>
      </c>
      <c r="F209" s="61">
        <f>countif(Constants!A:A,E209)</f>
        <v>1</v>
      </c>
      <c r="G209" s="62" t="str">
        <f t="shared" si="1"/>
        <v>-8.89059703</v>
      </c>
      <c r="H209" s="62">
        <f t="shared" si="2"/>
        <v>-8.89059703</v>
      </c>
      <c r="I209" s="62" t="str">
        <f t="shared" si="3"/>
        <v>0.00000020</v>
      </c>
      <c r="J209" s="63">
        <f t="shared" si="4"/>
        <v>0.0000002</v>
      </c>
      <c r="K209" s="62" t="b">
        <f t="shared" si="5"/>
        <v>0</v>
      </c>
      <c r="L209" s="62" t="b">
        <f t="shared" si="6"/>
        <v>0</v>
      </c>
      <c r="M209" s="60" t="str">
        <f>IFERROR(__xludf.DUMMYFUNCTION("if(regexmatch(B209,""e(.*)$""),regexextract(B209,""e(.*)$""),"""")"),"")</f>
        <v/>
      </c>
    </row>
    <row r="210" hidden="1">
      <c r="A210" s="17" t="s">
        <v>2349</v>
      </c>
      <c r="B210" s="17" t="s">
        <v>3255</v>
      </c>
      <c r="C210" s="17" t="s">
        <v>2351</v>
      </c>
      <c r="D210" s="17" t="s">
        <v>98</v>
      </c>
      <c r="E210" s="60" t="str">
        <f>VLOOKUP($A210,nist_names_ids!A:B,2,false)</f>
        <v>mmu</v>
      </c>
      <c r="F210" s="61">
        <f>countif(Constants!A:A,E210)</f>
        <v>1</v>
      </c>
      <c r="G210" s="62" t="str">
        <f t="shared" si="1"/>
        <v>1.883531627e-28</v>
      </c>
      <c r="H210" s="62">
        <f t="shared" si="2"/>
        <v>0</v>
      </c>
      <c r="I210" s="62" t="str">
        <f t="shared" si="3"/>
        <v>0.000000042e-28</v>
      </c>
      <c r="J210" s="63">
        <f t="shared" si="4"/>
        <v>0</v>
      </c>
      <c r="K210" s="62" t="b">
        <f t="shared" si="5"/>
        <v>0</v>
      </c>
      <c r="L210" s="62" t="b">
        <f t="shared" si="6"/>
        <v>0</v>
      </c>
      <c r="M210" s="60" t="str">
        <f>IFERROR(__xludf.DUMMYFUNCTION("if(regexmatch(B210,""e(.*)$""),regexextract(B210,""e(.*)$""),"""")"),"-28")</f>
        <v>-28</v>
      </c>
    </row>
    <row r="211" hidden="1">
      <c r="A211" s="17" t="s">
        <v>2357</v>
      </c>
      <c r="B211" s="17" t="s">
        <v>3258</v>
      </c>
      <c r="C211" s="17" t="s">
        <v>2359</v>
      </c>
      <c r="D211" s="17" t="s">
        <v>173</v>
      </c>
      <c r="E211" s="60" t="str">
        <f>VLOOKUP($A211,nist_names_ids!A:B,2,false)</f>
        <v>mmuc2</v>
      </c>
      <c r="F211" s="61">
        <f>countif(Constants!A:A,E211)</f>
        <v>1</v>
      </c>
      <c r="G211" s="62" t="str">
        <f t="shared" si="1"/>
        <v>1.692833804e-11</v>
      </c>
      <c r="H211" s="62">
        <f t="shared" si="2"/>
        <v>0</v>
      </c>
      <c r="I211" s="62" t="str">
        <f t="shared" si="3"/>
        <v>0.000000038e-11</v>
      </c>
      <c r="J211" s="63">
        <f t="shared" si="4"/>
        <v>0</v>
      </c>
      <c r="K211" s="62" t="b">
        <f t="shared" si="5"/>
        <v>0</v>
      </c>
      <c r="L211" s="62" t="b">
        <f t="shared" si="6"/>
        <v>0</v>
      </c>
      <c r="M211" s="60" t="str">
        <f>IFERROR(__xludf.DUMMYFUNCTION("if(regexmatch(B211,""e(.*)$""),regexextract(B211,""e(.*)$""),"""")"),"-11")</f>
        <v>-11</v>
      </c>
    </row>
    <row r="212" hidden="1">
      <c r="A212" s="17" t="s">
        <v>2362</v>
      </c>
      <c r="B212" s="17" t="s">
        <v>3261</v>
      </c>
      <c r="C212" s="17" t="s">
        <v>2364</v>
      </c>
      <c r="D212" s="17" t="s">
        <v>224</v>
      </c>
      <c r="E212" s="60" t="str">
        <f>VLOOKUP($A212,nist_names_ids!A:B,2,false)</f>
        <v>mmuc2mev</v>
      </c>
      <c r="F212" s="61">
        <f>countif(Constants!A:A,E212)</f>
        <v>1</v>
      </c>
      <c r="G212" s="62" t="str">
        <f t="shared" si="1"/>
        <v>105.6583755</v>
      </c>
      <c r="H212" s="62">
        <f t="shared" si="2"/>
        <v>105.6583755</v>
      </c>
      <c r="I212" s="62" t="str">
        <f t="shared" si="3"/>
        <v>0.0000023</v>
      </c>
      <c r="J212" s="63">
        <f t="shared" si="4"/>
        <v>0.0000023</v>
      </c>
      <c r="K212" s="62" t="b">
        <f t="shared" si="5"/>
        <v>0</v>
      </c>
      <c r="L212" s="62" t="b">
        <f t="shared" si="6"/>
        <v>0</v>
      </c>
      <c r="M212" s="60" t="str">
        <f>IFERROR(__xludf.DUMMYFUNCTION("if(regexmatch(B212,""e(.*)$""),regexextract(B212,""e(.*)$""),"""")"),"")</f>
        <v/>
      </c>
    </row>
    <row r="213" hidden="1">
      <c r="A213" s="17" t="s">
        <v>2367</v>
      </c>
      <c r="B213" s="17" t="s">
        <v>3266</v>
      </c>
      <c r="C213" s="17" t="s">
        <v>2369</v>
      </c>
      <c r="D213" s="17" t="s">
        <v>249</v>
      </c>
      <c r="E213" s="60" t="str">
        <f>VLOOKUP($A213,nist_names_ids!A:B,2,false)</f>
        <v>mmuu</v>
      </c>
      <c r="F213" s="61">
        <f>countif(Constants!A:A,E213)</f>
        <v>1</v>
      </c>
      <c r="G213" s="62" t="str">
        <f t="shared" si="1"/>
        <v>0.1134289259</v>
      </c>
      <c r="H213" s="62">
        <f t="shared" si="2"/>
        <v>0.1134289259</v>
      </c>
      <c r="I213" s="62" t="str">
        <f t="shared" si="3"/>
        <v>0.0000000025</v>
      </c>
      <c r="J213" s="63">
        <f t="shared" si="4"/>
        <v>0.0000000025</v>
      </c>
      <c r="K213" s="62" t="b">
        <f t="shared" si="5"/>
        <v>0</v>
      </c>
      <c r="L213" s="62" t="b">
        <f t="shared" si="6"/>
        <v>0</v>
      </c>
      <c r="M213" s="60" t="str">
        <f>IFERROR(__xludf.DUMMYFUNCTION("if(regexmatch(B213,""e(.*)$""),regexextract(B213,""e(.*)$""),"""")"),"")</f>
        <v/>
      </c>
    </row>
    <row r="214" hidden="1">
      <c r="A214" s="17" t="s">
        <v>2372</v>
      </c>
      <c r="B214" s="17" t="s">
        <v>3269</v>
      </c>
      <c r="C214" s="17" t="s">
        <v>2374</v>
      </c>
      <c r="D214" s="17" t="s">
        <v>286</v>
      </c>
      <c r="E214" s="60" t="str">
        <f>VLOOKUP($A214,nist_names_ids!A:B,2,false)</f>
        <v>mmmu</v>
      </c>
      <c r="F214" s="61">
        <f>countif(Constants!A:A,E214)</f>
        <v>1</v>
      </c>
      <c r="G214" s="62" t="str">
        <f t="shared" si="1"/>
        <v>1.134289259e-4</v>
      </c>
      <c r="H214" s="62">
        <f t="shared" si="2"/>
        <v>0.0001134289259</v>
      </c>
      <c r="I214" s="62" t="str">
        <f t="shared" si="3"/>
        <v>0.000000025e-4</v>
      </c>
      <c r="J214" s="63">
        <f t="shared" si="4"/>
        <v>0</v>
      </c>
      <c r="K214" s="62" t="b">
        <f t="shared" si="5"/>
        <v>0</v>
      </c>
      <c r="L214" s="62" t="b">
        <f t="shared" si="6"/>
        <v>0</v>
      </c>
      <c r="M214" s="60" t="str">
        <f>IFERROR(__xludf.DUMMYFUNCTION("if(regexmatch(B214,""e(.*)$""),regexextract(B214,""e(.*)$""),"""")"),"-4")</f>
        <v>-4</v>
      </c>
    </row>
    <row r="215" hidden="1">
      <c r="A215" s="17" t="s">
        <v>2381</v>
      </c>
      <c r="B215" s="17" t="s">
        <v>3271</v>
      </c>
      <c r="C215" s="17" t="s">
        <v>2369</v>
      </c>
      <c r="E215" s="60" t="str">
        <f>VLOOKUP($A215,nist_names_ids!A:B,2,false)</f>
        <v>mmusmn</v>
      </c>
      <c r="F215" s="61">
        <f>countif(Constants!A:A,E215)</f>
        <v>1</v>
      </c>
      <c r="G215" s="62" t="str">
        <f t="shared" si="1"/>
        <v>0.1124545170</v>
      </c>
      <c r="H215" s="62">
        <f t="shared" si="2"/>
        <v>0.112454517</v>
      </c>
      <c r="I215" s="62" t="str">
        <f t="shared" si="3"/>
        <v>0.0000000025</v>
      </c>
      <c r="J215" s="63">
        <f t="shared" si="4"/>
        <v>0.0000000025</v>
      </c>
      <c r="K215" s="62" t="b">
        <f t="shared" si="5"/>
        <v>0</v>
      </c>
      <c r="L215" s="62" t="b">
        <f t="shared" si="6"/>
        <v>0</v>
      </c>
      <c r="M215" s="60" t="str">
        <f>IFERROR(__xludf.DUMMYFUNCTION("if(regexmatch(B215,""e(.*)$""),regexextract(B215,""e(.*)$""),"""")"),"")</f>
        <v/>
      </c>
    </row>
    <row r="216" hidden="1">
      <c r="A216" s="17" t="s">
        <v>2385</v>
      </c>
      <c r="B216" s="17" t="s">
        <v>3272</v>
      </c>
      <c r="C216" s="17" t="s">
        <v>2387</v>
      </c>
      <c r="E216" s="60" t="str">
        <f>VLOOKUP($A216,nist_names_ids!A:B,2,false)</f>
        <v>mumumsmup</v>
      </c>
      <c r="F216" s="61">
        <f>countif(Constants!A:A,E216)</f>
        <v>1</v>
      </c>
      <c r="G216" s="62" t="str">
        <f t="shared" si="1"/>
        <v>-3.183345142</v>
      </c>
      <c r="H216" s="62">
        <f t="shared" si="2"/>
        <v>-3.183345142</v>
      </c>
      <c r="I216" s="62" t="str">
        <f t="shared" si="3"/>
        <v>0.000000071</v>
      </c>
      <c r="J216" s="63">
        <f t="shared" si="4"/>
        <v>0.000000071</v>
      </c>
      <c r="K216" s="62" t="b">
        <f t="shared" si="5"/>
        <v>0</v>
      </c>
      <c r="L216" s="62" t="b">
        <f t="shared" si="6"/>
        <v>0</v>
      </c>
      <c r="M216" s="60" t="str">
        <f>IFERROR(__xludf.DUMMYFUNCTION("if(regexmatch(B216,""e(.*)$""),regexextract(B216,""e(.*)$""),"""")"),"")</f>
        <v/>
      </c>
    </row>
    <row r="217" hidden="1">
      <c r="A217" s="17" t="s">
        <v>2388</v>
      </c>
      <c r="B217" s="17" t="s">
        <v>3277</v>
      </c>
      <c r="C217" s="17" t="s">
        <v>2369</v>
      </c>
      <c r="E217" s="60" t="str">
        <f>VLOOKUP($A217,nist_names_ids!A:B,2,false)</f>
        <v>mmusmp</v>
      </c>
      <c r="F217" s="61">
        <f>countif(Constants!A:A,E217)</f>
        <v>1</v>
      </c>
      <c r="G217" s="62" t="str">
        <f t="shared" si="1"/>
        <v>0.1126095264</v>
      </c>
      <c r="H217" s="62">
        <f t="shared" si="2"/>
        <v>0.1126095264</v>
      </c>
      <c r="I217" s="62" t="str">
        <f t="shared" si="3"/>
        <v>0.0000000025</v>
      </c>
      <c r="J217" s="63">
        <f t="shared" si="4"/>
        <v>0.0000000025</v>
      </c>
      <c r="K217" s="62" t="b">
        <f t="shared" si="5"/>
        <v>0</v>
      </c>
      <c r="L217" s="62" t="b">
        <f t="shared" si="6"/>
        <v>0</v>
      </c>
      <c r="M217" s="60" t="str">
        <f>IFERROR(__xludf.DUMMYFUNCTION("if(regexmatch(B217,""e(.*)$""),regexextract(B217,""e(.*)$""),"""")"),"")</f>
        <v/>
      </c>
    </row>
    <row r="218" hidden="1">
      <c r="A218" s="17" t="s">
        <v>2392</v>
      </c>
      <c r="B218" s="17" t="s">
        <v>3279</v>
      </c>
      <c r="C218" s="17" t="s">
        <v>2394</v>
      </c>
      <c r="E218" s="60" t="str">
        <f>VLOOKUP($A218,nist_names_ids!A:B,2,false)</f>
        <v>mmusmtau</v>
      </c>
      <c r="F218" s="61">
        <f>countif(Constants!A:A,E218)</f>
        <v>1</v>
      </c>
      <c r="G218" s="62" t="str">
        <f t="shared" si="1"/>
        <v>5.94635e-2</v>
      </c>
      <c r="H218" s="62">
        <f t="shared" si="2"/>
        <v>0.0594635</v>
      </c>
      <c r="I218" s="62" t="str">
        <f t="shared" si="3"/>
        <v>0.00040e-2</v>
      </c>
      <c r="J218" s="63">
        <f t="shared" si="4"/>
        <v>0.000004</v>
      </c>
      <c r="K218" s="62" t="b">
        <f t="shared" si="5"/>
        <v>0</v>
      </c>
      <c r="L218" s="62" t="b">
        <f t="shared" si="6"/>
        <v>0</v>
      </c>
      <c r="M218" s="60" t="str">
        <f>IFERROR(__xludf.DUMMYFUNCTION("if(regexmatch(B218,""e(.*)$""),regexextract(B218,""e(.*)$""),"""")"),"-2")</f>
        <v>-2</v>
      </c>
    </row>
    <row r="219">
      <c r="A219" s="17" t="s">
        <v>2399</v>
      </c>
      <c r="B219" s="17" t="s">
        <v>2420</v>
      </c>
      <c r="C219" s="17" t="s">
        <v>1501</v>
      </c>
      <c r="D219" s="17" t="s">
        <v>714</v>
      </c>
      <c r="E219" s="60" t="str">
        <f>VLOOKUP($A219,nist_names_ids!A:B,2,false)</f>
        <v>thbar</v>
      </c>
      <c r="F219" s="61">
        <f>countif(Constants!A:A,E219)</f>
        <v>1</v>
      </c>
      <c r="G219" s="62" t="str">
        <f t="shared" si="1"/>
        <v>1.054571817e-34</v>
      </c>
      <c r="H219" s="62">
        <f t="shared" si="2"/>
        <v>0</v>
      </c>
      <c r="I219" s="62" t="str">
        <f t="shared" si="3"/>
        <v>(exact)</v>
      </c>
      <c r="J219" s="63" t="str">
        <f t="shared" si="4"/>
        <v/>
      </c>
      <c r="K219" s="62" t="b">
        <f t="shared" si="5"/>
        <v>1</v>
      </c>
      <c r="L219" s="62" t="b">
        <f t="shared" si="6"/>
        <v>1</v>
      </c>
      <c r="M219" s="60" t="str">
        <f>IFERROR(__xludf.DUMMYFUNCTION("if(regexmatch(B219,""e(.*)$""),regexextract(B219,""e(.*)$""),"""")"),"-34")</f>
        <v>-34</v>
      </c>
    </row>
    <row r="220">
      <c r="A220" s="17" t="s">
        <v>2400</v>
      </c>
      <c r="B220" s="17" t="s">
        <v>3282</v>
      </c>
      <c r="C220" s="17" t="s">
        <v>1501</v>
      </c>
      <c r="D220" s="17" t="s">
        <v>2402</v>
      </c>
      <c r="E220" s="60" t="str">
        <f>VLOOKUP($A220,nist_names_ids!A:B,2,false)</f>
        <v>thbarev</v>
      </c>
      <c r="F220" s="61">
        <f>countif(Constants!A:A,E220)</f>
        <v>1</v>
      </c>
      <c r="G220" s="62" t="str">
        <f t="shared" si="1"/>
        <v>6.582119569e-16</v>
      </c>
      <c r="H220" s="62">
        <f t="shared" si="2"/>
        <v>0</v>
      </c>
      <c r="I220" s="62" t="str">
        <f t="shared" si="3"/>
        <v>(exact)</v>
      </c>
      <c r="J220" s="63" t="str">
        <f t="shared" si="4"/>
        <v/>
      </c>
      <c r="K220" s="62" t="b">
        <f t="shared" si="5"/>
        <v>1</v>
      </c>
      <c r="L220" s="62" t="b">
        <f t="shared" si="6"/>
        <v>1</v>
      </c>
      <c r="M220" s="60" t="str">
        <f>IFERROR(__xludf.DUMMYFUNCTION("if(regexmatch(B220,""e(.*)$""),regexextract(B220,""e(.*)$""),"""")"),"-16")</f>
        <v>-16</v>
      </c>
    </row>
    <row r="221" hidden="1">
      <c r="A221" s="17" t="s">
        <v>2405</v>
      </c>
      <c r="B221" s="17" t="s">
        <v>2821</v>
      </c>
      <c r="C221" s="17" t="s">
        <v>2822</v>
      </c>
      <c r="D221" s="17" t="s">
        <v>173</v>
      </c>
      <c r="E221" s="60" t="str">
        <f>VLOOKUP($A221,nist_names_ids!A:B,2,false)</f>
        <v>tmec2</v>
      </c>
      <c r="F221" s="61">
        <f>countif(Constants!A:A,E221)</f>
        <v>1</v>
      </c>
      <c r="G221" s="62" t="str">
        <f t="shared" si="1"/>
        <v>8.1871057769e-14</v>
      </c>
      <c r="H221" s="62">
        <f t="shared" si="2"/>
        <v>0</v>
      </c>
      <c r="I221" s="62" t="str">
        <f t="shared" si="3"/>
        <v>0.0000000025e-14</v>
      </c>
      <c r="J221" s="63">
        <f t="shared" si="4"/>
        <v>0</v>
      </c>
      <c r="K221" s="62" t="b">
        <f t="shared" si="5"/>
        <v>0</v>
      </c>
      <c r="L221" s="62" t="b">
        <f t="shared" si="6"/>
        <v>0</v>
      </c>
      <c r="M221" s="60" t="str">
        <f>IFERROR(__xludf.DUMMYFUNCTION("if(regexmatch(B221,""e(.*)$""),regexextract(B221,""e(.*)$""),"""")"),"-14")</f>
        <v>-14</v>
      </c>
    </row>
    <row r="222" hidden="1">
      <c r="A222" s="17" t="s">
        <v>2409</v>
      </c>
      <c r="B222" s="17" t="s">
        <v>2824</v>
      </c>
      <c r="C222" s="17" t="s">
        <v>2825</v>
      </c>
      <c r="D222" s="17" t="s">
        <v>224</v>
      </c>
      <c r="E222" s="60" t="str">
        <f>VLOOKUP($A222,nist_names_ids!A:B,2,false)</f>
        <v>tmec2mev</v>
      </c>
      <c r="F222" s="61">
        <f>countif(Constants!A:A,E222)</f>
        <v>1</v>
      </c>
      <c r="G222" s="62" t="str">
        <f t="shared" si="1"/>
        <v>0.51099895000</v>
      </c>
      <c r="H222" s="62">
        <f t="shared" si="2"/>
        <v>0.51099895</v>
      </c>
      <c r="I222" s="62" t="str">
        <f t="shared" si="3"/>
        <v>0.00000000015</v>
      </c>
      <c r="J222" s="63">
        <f t="shared" si="4"/>
        <v>0.00000000015</v>
      </c>
      <c r="K222" s="62" t="b">
        <f t="shared" si="5"/>
        <v>0</v>
      </c>
      <c r="L222" s="62" t="b">
        <f t="shared" si="6"/>
        <v>0</v>
      </c>
      <c r="M222" s="60" t="str">
        <f>IFERROR(__xludf.DUMMYFUNCTION("if(regexmatch(B222,""e(.*)$""),regexextract(B222,""e(.*)$""),"""")"),"")</f>
        <v/>
      </c>
    </row>
    <row r="223" hidden="1">
      <c r="A223" s="17" t="s">
        <v>2410</v>
      </c>
      <c r="B223" s="17" t="s">
        <v>3286</v>
      </c>
      <c r="C223" s="17" t="s">
        <v>2412</v>
      </c>
      <c r="D223" s="17" t="s">
        <v>381</v>
      </c>
      <c r="E223" s="60" t="str">
        <f>VLOOKUP($A223,nist_names_ids!A:B,2,false)</f>
        <v>tecomwlbar</v>
      </c>
      <c r="F223" s="61">
        <f>countif(Constants!A:A,E223)</f>
        <v>1</v>
      </c>
      <c r="G223" s="62" t="str">
        <f t="shared" si="1"/>
        <v>3.8615926796e-13</v>
      </c>
      <c r="H223" s="62">
        <f t="shared" si="2"/>
        <v>0</v>
      </c>
      <c r="I223" s="62" t="str">
        <f t="shared" si="3"/>
        <v>0.0000000012e-13</v>
      </c>
      <c r="J223" s="63">
        <f t="shared" si="4"/>
        <v>0</v>
      </c>
      <c r="K223" s="62" t="b">
        <f t="shared" si="5"/>
        <v>0</v>
      </c>
      <c r="L223" s="62" t="b">
        <f t="shared" si="6"/>
        <v>0</v>
      </c>
      <c r="M223" s="60" t="str">
        <f>IFERROR(__xludf.DUMMYFUNCTION("if(regexmatch(B223,""e(.*)$""),regexextract(B223,""e(.*)$""),"""")"),"-13")</f>
        <v>-13</v>
      </c>
    </row>
    <row r="224" hidden="1">
      <c r="A224" s="17" t="s">
        <v>2414</v>
      </c>
      <c r="B224" s="17" t="s">
        <v>2507</v>
      </c>
      <c r="C224" s="17" t="s">
        <v>1560</v>
      </c>
      <c r="D224" s="17" t="s">
        <v>98</v>
      </c>
      <c r="E224" s="60" t="str">
        <f>VLOOKUP($A224,nist_names_ids!A:B,2,false)</f>
        <v>tme</v>
      </c>
      <c r="F224" s="61">
        <f>countif(Constants!A:A,E224)</f>
        <v>1</v>
      </c>
      <c r="G224" s="62" t="str">
        <f t="shared" si="1"/>
        <v>9.1093837015e-31</v>
      </c>
      <c r="H224" s="62">
        <f t="shared" si="2"/>
        <v>0</v>
      </c>
      <c r="I224" s="62" t="str">
        <f t="shared" si="3"/>
        <v>0.0000000028e-31</v>
      </c>
      <c r="J224" s="63">
        <f t="shared" si="4"/>
        <v>0</v>
      </c>
      <c r="K224" s="62" t="b">
        <f t="shared" si="5"/>
        <v>0</v>
      </c>
      <c r="L224" s="62" t="b">
        <f t="shared" si="6"/>
        <v>0</v>
      </c>
      <c r="M224" s="60" t="str">
        <f>IFERROR(__xludf.DUMMYFUNCTION("if(regexmatch(B224,""e(.*)$""),regexextract(B224,""e(.*)$""),"""")"),"-31")</f>
        <v>-31</v>
      </c>
    </row>
    <row r="225" hidden="1">
      <c r="A225" s="17" t="s">
        <v>2417</v>
      </c>
      <c r="B225" s="17" t="s">
        <v>3289</v>
      </c>
      <c r="C225" s="17" t="s">
        <v>3290</v>
      </c>
      <c r="D225" s="17" t="s">
        <v>1058</v>
      </c>
      <c r="E225" s="60" t="str">
        <f>VLOOKUP($A225,nist_names_ids!A:B,2,false)</f>
        <v>mec</v>
      </c>
      <c r="F225" s="61">
        <f>countif(Constants!A:A,E225)</f>
        <v>1</v>
      </c>
      <c r="G225" s="62" t="str">
        <f t="shared" si="1"/>
        <v>2.73092453075e-22</v>
      </c>
      <c r="H225" s="62">
        <f t="shared" si="2"/>
        <v>0</v>
      </c>
      <c r="I225" s="62" t="str">
        <f t="shared" si="3"/>
        <v>0.00000000082e-22</v>
      </c>
      <c r="J225" s="63">
        <f t="shared" si="4"/>
        <v>0</v>
      </c>
      <c r="K225" s="62" t="b">
        <f t="shared" si="5"/>
        <v>0</v>
      </c>
      <c r="L225" s="62" t="b">
        <f t="shared" si="6"/>
        <v>0</v>
      </c>
      <c r="M225" s="60" t="str">
        <f>IFERROR(__xludf.DUMMYFUNCTION("if(regexmatch(B225,""e(.*)$""),regexextract(B225,""e(.*)$""),"""")"),"-22")</f>
        <v>-22</v>
      </c>
    </row>
    <row r="226" hidden="1">
      <c r="A226" s="17" t="s">
        <v>2424</v>
      </c>
      <c r="B226" s="17" t="s">
        <v>2824</v>
      </c>
      <c r="C226" s="17" t="s">
        <v>2825</v>
      </c>
      <c r="D226" s="17" t="s">
        <v>2425</v>
      </c>
      <c r="E226" s="60" t="str">
        <f>VLOOKUP($A226,nist_names_ids!A:B,2,false)</f>
        <v>mecmevsc</v>
      </c>
      <c r="F226" s="61">
        <f>countif(Constants!A:A,E226)</f>
        <v>1</v>
      </c>
      <c r="G226" s="62" t="str">
        <f t="shared" si="1"/>
        <v>0.51099895000</v>
      </c>
      <c r="H226" s="62">
        <f t="shared" si="2"/>
        <v>0.51099895</v>
      </c>
      <c r="I226" s="62" t="str">
        <f t="shared" si="3"/>
        <v>0.00000000015</v>
      </c>
      <c r="J226" s="63">
        <f t="shared" si="4"/>
        <v>0.00000000015</v>
      </c>
      <c r="K226" s="62" t="b">
        <f t="shared" si="5"/>
        <v>0</v>
      </c>
      <c r="L226" s="62" t="b">
        <f t="shared" si="6"/>
        <v>0</v>
      </c>
      <c r="M226" s="60" t="str">
        <f>IFERROR(__xludf.DUMMYFUNCTION("if(regexmatch(B226,""e(.*)$""),regexextract(B226,""e(.*)$""),"""")"),"")</f>
        <v/>
      </c>
    </row>
    <row r="227" hidden="1">
      <c r="A227" s="17" t="s">
        <v>2427</v>
      </c>
      <c r="B227" s="17" t="s">
        <v>3291</v>
      </c>
      <c r="C227" s="17" t="s">
        <v>3292</v>
      </c>
      <c r="D227" s="17" t="s">
        <v>520</v>
      </c>
      <c r="E227" s="60" t="str">
        <f>VLOOKUP($A227,nist_names_ids!A:B,2,false)</f>
        <v>nut</v>
      </c>
      <c r="F227" s="61">
        <f>countif(Constants!A:A,E227)</f>
        <v>1</v>
      </c>
      <c r="G227" s="62" t="str">
        <f t="shared" si="1"/>
        <v>1.28808866819e-21</v>
      </c>
      <c r="H227" s="62">
        <f t="shared" si="2"/>
        <v>0</v>
      </c>
      <c r="I227" s="62" t="str">
        <f t="shared" si="3"/>
        <v>0.00000000039e-21</v>
      </c>
      <c r="J227" s="63">
        <f t="shared" si="4"/>
        <v>0</v>
      </c>
      <c r="K227" s="62" t="b">
        <f t="shared" si="5"/>
        <v>0</v>
      </c>
      <c r="L227" s="62" t="b">
        <f t="shared" si="6"/>
        <v>0</v>
      </c>
      <c r="M227" s="60" t="str">
        <f>IFERROR(__xludf.DUMMYFUNCTION("if(regexmatch(B227,""e(.*)$""),regexextract(B227,""e(.*)$""),"""")"),"-21")</f>
        <v>-21</v>
      </c>
    </row>
    <row r="228">
      <c r="A228" s="17" t="s">
        <v>2433</v>
      </c>
      <c r="B228" s="17" t="s">
        <v>3106</v>
      </c>
      <c r="C228" s="17" t="s">
        <v>1501</v>
      </c>
      <c r="D228" s="17" t="s">
        <v>1109</v>
      </c>
      <c r="E228" s="60" t="str">
        <f>VLOOKUP($A228,nist_names_ids!A:B,2,false)</f>
        <v>tc</v>
      </c>
      <c r="F228" s="61">
        <f>countif(Constants!A:A,E228)</f>
        <v>1</v>
      </c>
      <c r="G228" s="62" t="str">
        <f t="shared" si="1"/>
        <v>299792458</v>
      </c>
      <c r="H228" s="62">
        <f t="shared" si="2"/>
        <v>299792458</v>
      </c>
      <c r="I228" s="62" t="str">
        <f t="shared" si="3"/>
        <v>(exact)</v>
      </c>
      <c r="J228" s="63" t="str">
        <f t="shared" si="4"/>
        <v/>
      </c>
      <c r="K228" s="62" t="b">
        <f t="shared" si="5"/>
        <v>1</v>
      </c>
      <c r="L228" s="62" t="b">
        <f t="shared" si="6"/>
        <v>0</v>
      </c>
      <c r="M228" s="60" t="str">
        <f>IFERROR(__xludf.DUMMYFUNCTION("if(regexmatch(B228,""e(.*)$""),regexextract(B228,""e(.*)$""),"""")"),"")</f>
        <v/>
      </c>
    </row>
    <row r="229" hidden="1">
      <c r="A229" s="17" t="s">
        <v>2439</v>
      </c>
      <c r="B229" s="17" t="s">
        <v>3296</v>
      </c>
      <c r="C229" s="17" t="s">
        <v>3297</v>
      </c>
      <c r="D229" s="17" t="s">
        <v>381</v>
      </c>
      <c r="E229" s="60" t="str">
        <f>VLOOKUP($A229,nist_names_ids!A:B,2,false)</f>
        <v>ncomwl</v>
      </c>
      <c r="F229" s="61">
        <f>countif(Constants!A:A,E229)</f>
        <v>1</v>
      </c>
      <c r="G229" s="62" t="str">
        <f t="shared" si="1"/>
        <v>1.31959090581e-15</v>
      </c>
      <c r="H229" s="62">
        <f t="shared" si="2"/>
        <v>0</v>
      </c>
      <c r="I229" s="62" t="str">
        <f t="shared" si="3"/>
        <v>0.00000000075e-15</v>
      </c>
      <c r="J229" s="63">
        <f t="shared" si="4"/>
        <v>0</v>
      </c>
      <c r="K229" s="62" t="b">
        <f t="shared" si="5"/>
        <v>0</v>
      </c>
      <c r="L229" s="62" t="b">
        <f t="shared" si="6"/>
        <v>0</v>
      </c>
      <c r="M229" s="60" t="str">
        <f>IFERROR(__xludf.DUMMYFUNCTION("if(regexmatch(B229,""e(.*)$""),regexextract(B229,""e(.*)$""),"""")"),"-15")</f>
        <v>-15</v>
      </c>
    </row>
    <row r="230" hidden="1">
      <c r="A230" s="17" t="s">
        <v>2443</v>
      </c>
      <c r="B230" s="17" t="s">
        <v>3302</v>
      </c>
      <c r="C230" s="17" t="s">
        <v>2476</v>
      </c>
      <c r="E230" s="60" t="str">
        <f>VLOOKUP($A230,nist_names_ids!A:B,2,false)</f>
        <v>munsmue</v>
      </c>
      <c r="F230" s="61">
        <f>countif(Constants!A:A,E230)</f>
        <v>1</v>
      </c>
      <c r="G230" s="62" t="str">
        <f t="shared" si="1"/>
        <v>1.04066882e-3</v>
      </c>
      <c r="H230" s="62">
        <f t="shared" si="2"/>
        <v>0.00104066882</v>
      </c>
      <c r="I230" s="62" t="str">
        <f t="shared" si="3"/>
        <v>0.00000025e-3</v>
      </c>
      <c r="J230" s="63">
        <f t="shared" si="4"/>
        <v>0.00000000025</v>
      </c>
      <c r="K230" s="62" t="b">
        <f t="shared" si="5"/>
        <v>0</v>
      </c>
      <c r="L230" s="62" t="b">
        <f t="shared" si="6"/>
        <v>0</v>
      </c>
      <c r="M230" s="60" t="str">
        <f>IFERROR(__xludf.DUMMYFUNCTION("if(regexmatch(B230,""e(.*)$""),regexextract(B230,""e(.*)$""),"""")"),"-3")</f>
        <v>-3</v>
      </c>
    </row>
    <row r="231" hidden="1">
      <c r="A231" s="17" t="s">
        <v>2448</v>
      </c>
      <c r="B231" s="17" t="s">
        <v>3306</v>
      </c>
      <c r="C231" s="17" t="s">
        <v>3307</v>
      </c>
      <c r="E231" s="60" t="str">
        <f>VLOOKUP($A231,nist_names_ids!A:B,2,false)</f>
        <v>mnsme</v>
      </c>
      <c r="F231" s="61">
        <f>countif(Constants!A:A,E231)</f>
        <v>1</v>
      </c>
      <c r="G231" s="62" t="str">
        <f t="shared" si="1"/>
        <v>1838.68366173</v>
      </c>
      <c r="H231" s="62">
        <f t="shared" si="2"/>
        <v>1838.683662</v>
      </c>
      <c r="I231" s="62" t="str">
        <f t="shared" si="3"/>
        <v>0.00000089</v>
      </c>
      <c r="J231" s="63">
        <f t="shared" si="4"/>
        <v>0.00000089</v>
      </c>
      <c r="K231" s="62" t="b">
        <f t="shared" si="5"/>
        <v>0</v>
      </c>
      <c r="L231" s="62" t="b">
        <f t="shared" si="6"/>
        <v>0</v>
      </c>
      <c r="M231" s="60" t="str">
        <f>IFERROR(__xludf.DUMMYFUNCTION("if(regexmatch(B231,""e(.*)$""),regexextract(B231,""e(.*)$""),"""")"),"")</f>
        <v/>
      </c>
    </row>
    <row r="232" hidden="1">
      <c r="A232" s="17" t="s">
        <v>2454</v>
      </c>
      <c r="B232" s="17" t="s">
        <v>3313</v>
      </c>
      <c r="C232" s="17" t="s">
        <v>2456</v>
      </c>
      <c r="E232" s="60" t="str">
        <f>VLOOKUP($A232,nist_names_ids!A:B,2,false)</f>
        <v>gnn</v>
      </c>
      <c r="F232" s="61">
        <f>countif(Constants!A:A,E232)</f>
        <v>1</v>
      </c>
      <c r="G232" s="62" t="str">
        <f t="shared" si="1"/>
        <v>-3.82608545</v>
      </c>
      <c r="H232" s="62">
        <f t="shared" si="2"/>
        <v>-3.82608545</v>
      </c>
      <c r="I232" s="62" t="str">
        <f t="shared" si="3"/>
        <v>0.00000090</v>
      </c>
      <c r="J232" s="63">
        <f t="shared" si="4"/>
        <v>0.0000009</v>
      </c>
      <c r="K232" s="62" t="b">
        <f t="shared" si="5"/>
        <v>0</v>
      </c>
      <c r="L232" s="62" t="b">
        <f t="shared" si="6"/>
        <v>0</v>
      </c>
      <c r="M232" s="60" t="str">
        <f>IFERROR(__xludf.DUMMYFUNCTION("if(regexmatch(B232,""e(.*)$""),regexextract(B232,""e(.*)$""),"""")"),"")</f>
        <v/>
      </c>
    </row>
    <row r="233" hidden="1">
      <c r="A233" s="17" t="s">
        <v>2459</v>
      </c>
      <c r="B233" s="17" t="s">
        <v>3317</v>
      </c>
      <c r="C233" s="17" t="s">
        <v>2461</v>
      </c>
      <c r="D233" s="17" t="s">
        <v>1717</v>
      </c>
      <c r="E233" s="60" t="str">
        <f>VLOOKUP($A233,nist_names_ids!A:B,2,false)</f>
        <v>gamman</v>
      </c>
      <c r="F233" s="61">
        <f>countif(Constants!A:A,E233)</f>
        <v>1</v>
      </c>
      <c r="G233" s="62" t="str">
        <f t="shared" si="1"/>
        <v>1.83247171e8</v>
      </c>
      <c r="H233" s="62">
        <f t="shared" si="2"/>
        <v>183247171</v>
      </c>
      <c r="I233" s="62" t="str">
        <f t="shared" si="3"/>
        <v>0.00000043e8</v>
      </c>
      <c r="J233" s="63">
        <f t="shared" si="4"/>
        <v>43</v>
      </c>
      <c r="K233" s="62" t="b">
        <f t="shared" si="5"/>
        <v>0</v>
      </c>
      <c r="L233" s="62" t="b">
        <f t="shared" si="6"/>
        <v>0</v>
      </c>
      <c r="M233" s="60" t="str">
        <f>IFERROR(__xludf.DUMMYFUNCTION("if(regexmatch(B233,""e(.*)$""),regexextract(B233,""e(.*)$""),"""")"),"8")</f>
        <v>8</v>
      </c>
    </row>
    <row r="234" hidden="1">
      <c r="A234" s="17" t="s">
        <v>2464</v>
      </c>
      <c r="B234" s="17" t="s">
        <v>3318</v>
      </c>
      <c r="C234" s="17" t="s">
        <v>2466</v>
      </c>
      <c r="D234" s="17" t="s">
        <v>1733</v>
      </c>
      <c r="E234" s="60" t="str">
        <f>VLOOKUP($A234,nist_names_ids!A:B,2,false)</f>
        <v>gammanbar</v>
      </c>
      <c r="F234" s="61">
        <f>countif(Constants!A:A,E234)</f>
        <v>1</v>
      </c>
      <c r="G234" s="62" t="str">
        <f t="shared" si="1"/>
        <v>29.1646931</v>
      </c>
      <c r="H234" s="62">
        <f t="shared" si="2"/>
        <v>29.1646931</v>
      </c>
      <c r="I234" s="62" t="str">
        <f t="shared" si="3"/>
        <v>0.0000069</v>
      </c>
      <c r="J234" s="63">
        <f t="shared" si="4"/>
        <v>0.0000069</v>
      </c>
      <c r="K234" s="62" t="b">
        <f t="shared" si="5"/>
        <v>0</v>
      </c>
      <c r="L234" s="62" t="b">
        <f t="shared" si="6"/>
        <v>0</v>
      </c>
      <c r="M234" s="60" t="str">
        <f>IFERROR(__xludf.DUMMYFUNCTION("if(regexmatch(B234,""e(.*)$""),regexextract(B234,""e(.*)$""),"""")"),"")</f>
        <v/>
      </c>
    </row>
    <row r="235" hidden="1">
      <c r="A235" s="17" t="s">
        <v>2469</v>
      </c>
      <c r="B235" s="17" t="s">
        <v>3319</v>
      </c>
      <c r="C235" s="17" t="s">
        <v>2471</v>
      </c>
      <c r="D235" s="17" t="s">
        <v>964</v>
      </c>
      <c r="E235" s="60" t="str">
        <f>VLOOKUP($A235,nist_names_ids!A:B,2,false)</f>
        <v>munn</v>
      </c>
      <c r="F235" s="61">
        <f>countif(Constants!A:A,E235)</f>
        <v>1</v>
      </c>
      <c r="G235" s="62" t="str">
        <f t="shared" si="1"/>
        <v>-9.6623651e-27</v>
      </c>
      <c r="H235" s="62">
        <f t="shared" si="2"/>
        <v>0</v>
      </c>
      <c r="I235" s="62" t="str">
        <f t="shared" si="3"/>
        <v>0.0000023e-27</v>
      </c>
      <c r="J235" s="63">
        <f t="shared" si="4"/>
        <v>0</v>
      </c>
      <c r="K235" s="62" t="b">
        <f t="shared" si="5"/>
        <v>0</v>
      </c>
      <c r="L235" s="62" t="b">
        <f t="shared" si="6"/>
        <v>0</v>
      </c>
      <c r="M235" s="60" t="str">
        <f>IFERROR(__xludf.DUMMYFUNCTION("if(regexmatch(B235,""e(.*)$""),regexextract(B235,""e(.*)$""),"""")"),"-27")</f>
        <v>-27</v>
      </c>
    </row>
    <row r="236" hidden="1">
      <c r="A236" s="17" t="s">
        <v>2473</v>
      </c>
      <c r="B236" s="17" t="s">
        <v>3322</v>
      </c>
      <c r="C236" s="17" t="s">
        <v>2476</v>
      </c>
      <c r="E236" s="60" t="str">
        <f>VLOOKUP($A236,nist_names_ids!A:B,2,false)</f>
        <v>munsmub</v>
      </c>
      <c r="F236" s="61">
        <f>countif(Constants!A:A,E236)</f>
        <v>1</v>
      </c>
      <c r="G236" s="62" t="str">
        <f t="shared" si="1"/>
        <v>-1.04187563e-3</v>
      </c>
      <c r="H236" s="62">
        <f t="shared" si="2"/>
        <v>-0.00104187563</v>
      </c>
      <c r="I236" s="62" t="str">
        <f t="shared" si="3"/>
        <v>0.00000025e-3</v>
      </c>
      <c r="J236" s="63">
        <f t="shared" si="4"/>
        <v>0.00000000025</v>
      </c>
      <c r="K236" s="62" t="b">
        <f t="shared" si="5"/>
        <v>0</v>
      </c>
      <c r="L236" s="62" t="b">
        <f t="shared" si="6"/>
        <v>0</v>
      </c>
      <c r="M236" s="60" t="str">
        <f>IFERROR(__xludf.DUMMYFUNCTION("if(regexmatch(B236,""e(.*)$""),regexextract(B236,""e(.*)$""),"""")"),"-3")</f>
        <v>-3</v>
      </c>
    </row>
    <row r="237" hidden="1">
      <c r="A237" s="17" t="s">
        <v>2478</v>
      </c>
      <c r="B237" s="17" t="s">
        <v>3329</v>
      </c>
      <c r="C237" s="17" t="s">
        <v>2482</v>
      </c>
      <c r="E237" s="60" t="str">
        <f>VLOOKUP($A237,nist_names_ids!A:B,2,false)</f>
        <v>munsmun</v>
      </c>
      <c r="F237" s="61">
        <f>countif(Constants!A:A,E237)</f>
        <v>1</v>
      </c>
      <c r="G237" s="62" t="str">
        <f t="shared" si="1"/>
        <v>-1.91304273</v>
      </c>
      <c r="H237" s="62">
        <f t="shared" si="2"/>
        <v>-1.91304273</v>
      </c>
      <c r="I237" s="62" t="str">
        <f t="shared" si="3"/>
        <v>0.00000045</v>
      </c>
      <c r="J237" s="63">
        <f t="shared" si="4"/>
        <v>0.00000045</v>
      </c>
      <c r="K237" s="62" t="b">
        <f t="shared" si="5"/>
        <v>0</v>
      </c>
      <c r="L237" s="62" t="b">
        <f t="shared" si="6"/>
        <v>0</v>
      </c>
      <c r="M237" s="60" t="str">
        <f>IFERROR(__xludf.DUMMYFUNCTION("if(regexmatch(B237,""e(.*)$""),regexextract(B237,""e(.*)$""),"""")"),"")</f>
        <v/>
      </c>
    </row>
    <row r="238" hidden="1">
      <c r="A238" s="17" t="s">
        <v>2483</v>
      </c>
      <c r="B238" s="17" t="s">
        <v>3331</v>
      </c>
      <c r="C238" s="17" t="s">
        <v>3332</v>
      </c>
      <c r="D238" s="17" t="s">
        <v>98</v>
      </c>
      <c r="E238" s="60" t="str">
        <f>VLOOKUP($A238,nist_names_ids!A:B,2,false)</f>
        <v>mn</v>
      </c>
      <c r="F238" s="61">
        <f>countif(Constants!A:A,E238)</f>
        <v>1</v>
      </c>
      <c r="G238" s="62" t="str">
        <f t="shared" si="1"/>
        <v>1.67492749804e-27</v>
      </c>
      <c r="H238" s="62">
        <f t="shared" si="2"/>
        <v>0</v>
      </c>
      <c r="I238" s="62" t="str">
        <f t="shared" si="3"/>
        <v>0.00000000095e-27</v>
      </c>
      <c r="J238" s="63">
        <f t="shared" si="4"/>
        <v>0</v>
      </c>
      <c r="K238" s="62" t="b">
        <f t="shared" si="5"/>
        <v>0</v>
      </c>
      <c r="L238" s="62" t="b">
        <f t="shared" si="6"/>
        <v>0</v>
      </c>
      <c r="M238" s="60" t="str">
        <f>IFERROR(__xludf.DUMMYFUNCTION("if(regexmatch(B238,""e(.*)$""),regexextract(B238,""e(.*)$""),"""")"),"-27")</f>
        <v>-27</v>
      </c>
    </row>
    <row r="239" hidden="1">
      <c r="A239" s="17" t="s">
        <v>2490</v>
      </c>
      <c r="B239" s="17" t="s">
        <v>3333</v>
      </c>
      <c r="C239" s="17" t="s">
        <v>3334</v>
      </c>
      <c r="D239" s="17" t="s">
        <v>173</v>
      </c>
      <c r="E239" s="60" t="str">
        <f>VLOOKUP($A239,nist_names_ids!A:B,2,false)</f>
        <v>mnc2</v>
      </c>
      <c r="F239" s="61">
        <f>countif(Constants!A:A,E239)</f>
        <v>1</v>
      </c>
      <c r="G239" s="62" t="str">
        <f t="shared" si="1"/>
        <v>1.50534976287e-10</v>
      </c>
      <c r="H239" s="62">
        <f t="shared" si="2"/>
        <v>0.0000000001505349763</v>
      </c>
      <c r="I239" s="62" t="str">
        <f t="shared" si="3"/>
        <v>0.00000000086e-10</v>
      </c>
      <c r="J239" s="63">
        <f t="shared" si="4"/>
        <v>0</v>
      </c>
      <c r="K239" s="62" t="b">
        <f t="shared" si="5"/>
        <v>0</v>
      </c>
      <c r="L239" s="62" t="b">
        <f t="shared" si="6"/>
        <v>0</v>
      </c>
      <c r="M239" s="60" t="str">
        <f>IFERROR(__xludf.DUMMYFUNCTION("if(regexmatch(B239,""e(.*)$""),regexextract(B239,""e(.*)$""),"""")"),"-10")</f>
        <v>-10</v>
      </c>
    </row>
    <row r="240" hidden="1">
      <c r="A240" s="17" t="s">
        <v>2495</v>
      </c>
      <c r="B240" s="17" t="s">
        <v>3335</v>
      </c>
      <c r="C240" s="17" t="s">
        <v>3336</v>
      </c>
      <c r="D240" s="17" t="s">
        <v>224</v>
      </c>
      <c r="E240" s="60" t="str">
        <f>VLOOKUP($A240,nist_names_ids!A:B,2,false)</f>
        <v>mnc2mev</v>
      </c>
      <c r="F240" s="61">
        <f>countif(Constants!A:A,E240)</f>
        <v>1</v>
      </c>
      <c r="G240" s="62" t="str">
        <f t="shared" si="1"/>
        <v>939.56542052</v>
      </c>
      <c r="H240" s="62">
        <f t="shared" si="2"/>
        <v>939.5654205</v>
      </c>
      <c r="I240" s="62" t="str">
        <f t="shared" si="3"/>
        <v>0.00000054</v>
      </c>
      <c r="J240" s="63">
        <f t="shared" si="4"/>
        <v>0.00000054</v>
      </c>
      <c r="K240" s="62" t="b">
        <f t="shared" si="5"/>
        <v>0</v>
      </c>
      <c r="L240" s="62" t="b">
        <f t="shared" si="6"/>
        <v>0</v>
      </c>
      <c r="M240" s="60" t="str">
        <f>IFERROR(__xludf.DUMMYFUNCTION("if(regexmatch(B240,""e(.*)$""),regexextract(B240,""e(.*)$""),"""")"),"")</f>
        <v/>
      </c>
    </row>
    <row r="241" hidden="1">
      <c r="A241" s="17" t="s">
        <v>2504</v>
      </c>
      <c r="B241" s="17" t="s">
        <v>3337</v>
      </c>
      <c r="C241" s="17" t="s">
        <v>3338</v>
      </c>
      <c r="D241" s="17" t="s">
        <v>249</v>
      </c>
      <c r="E241" s="60" t="str">
        <f>VLOOKUP($A241,nist_names_ids!A:B,2,false)</f>
        <v>mnu</v>
      </c>
      <c r="F241" s="61">
        <f>countif(Constants!A:A,E241)</f>
        <v>1</v>
      </c>
      <c r="G241" s="62" t="str">
        <f t="shared" si="1"/>
        <v>1.00866491595</v>
      </c>
      <c r="H241" s="62">
        <f t="shared" si="2"/>
        <v>1.008664916</v>
      </c>
      <c r="I241" s="62" t="str">
        <f t="shared" si="3"/>
        <v>0.00000000049</v>
      </c>
      <c r="J241" s="63">
        <f t="shared" si="4"/>
        <v>0.00000000049</v>
      </c>
      <c r="K241" s="62" t="b">
        <f t="shared" si="5"/>
        <v>0</v>
      </c>
      <c r="L241" s="62" t="b">
        <f t="shared" si="6"/>
        <v>0</v>
      </c>
      <c r="M241" s="60" t="str">
        <f>IFERROR(__xludf.DUMMYFUNCTION("if(regexmatch(B241,""e(.*)$""),regexextract(B241,""e(.*)$""),"""")"),"")</f>
        <v/>
      </c>
    </row>
    <row r="242" hidden="1">
      <c r="A242" s="17" t="s">
        <v>2508</v>
      </c>
      <c r="B242" s="17" t="s">
        <v>3344</v>
      </c>
      <c r="C242" s="17" t="s">
        <v>3345</v>
      </c>
      <c r="D242" s="17" t="s">
        <v>286</v>
      </c>
      <c r="E242" s="60" t="str">
        <f>VLOOKUP($A242,nist_names_ids!A:B,2,false)</f>
        <v>mmn</v>
      </c>
      <c r="F242" s="61">
        <f>countif(Constants!A:A,E242)</f>
        <v>1</v>
      </c>
      <c r="G242" s="62" t="str">
        <f t="shared" si="1"/>
        <v>1.00866491560e-3</v>
      </c>
      <c r="H242" s="62">
        <f t="shared" si="2"/>
        <v>0.001008664916</v>
      </c>
      <c r="I242" s="62" t="str">
        <f t="shared" si="3"/>
        <v>0.00000000057e-3</v>
      </c>
      <c r="J242" s="63">
        <f t="shared" si="4"/>
        <v>0</v>
      </c>
      <c r="K242" s="62" t="b">
        <f t="shared" si="5"/>
        <v>0</v>
      </c>
      <c r="L242" s="62" t="b">
        <f t="shared" si="6"/>
        <v>0</v>
      </c>
      <c r="M242" s="60" t="str">
        <f>IFERROR(__xludf.DUMMYFUNCTION("if(regexmatch(B242,""e(.*)$""),regexextract(B242,""e(.*)$""),"""")"),"-3")</f>
        <v>-3</v>
      </c>
    </row>
    <row r="243" hidden="1">
      <c r="A243" s="17" t="s">
        <v>2513</v>
      </c>
      <c r="B243" s="17" t="s">
        <v>3347</v>
      </c>
      <c r="C243" s="17" t="s">
        <v>2348</v>
      </c>
      <c r="E243" s="60" t="str">
        <f>VLOOKUP($A243,nist_names_ids!A:B,2,false)</f>
        <v>mnsmmu</v>
      </c>
      <c r="F243" s="61">
        <f>countif(Constants!A:A,E243)</f>
        <v>1</v>
      </c>
      <c r="G243" s="62" t="str">
        <f t="shared" si="1"/>
        <v>8.89248406</v>
      </c>
      <c r="H243" s="62">
        <f t="shared" si="2"/>
        <v>8.89248406</v>
      </c>
      <c r="I243" s="62" t="str">
        <f t="shared" si="3"/>
        <v>0.00000020</v>
      </c>
      <c r="J243" s="63">
        <f t="shared" si="4"/>
        <v>0.0000002</v>
      </c>
      <c r="K243" s="62" t="b">
        <f t="shared" si="5"/>
        <v>0</v>
      </c>
      <c r="L243" s="62" t="b">
        <f t="shared" si="6"/>
        <v>0</v>
      </c>
      <c r="M243" s="60" t="str">
        <f>IFERROR(__xludf.DUMMYFUNCTION("if(regexmatch(B243,""e(.*)$""),regexextract(B243,""e(.*)$""),"""")"),"")</f>
        <v/>
      </c>
    </row>
    <row r="244" hidden="1">
      <c r="A244" s="17" t="s">
        <v>2516</v>
      </c>
      <c r="B244" s="17" t="s">
        <v>3350</v>
      </c>
      <c r="C244" s="17" t="s">
        <v>2020</v>
      </c>
      <c r="E244" s="60" t="str">
        <f>VLOOKUP($A244,nist_names_ids!A:B,2,false)</f>
        <v>munsmup</v>
      </c>
      <c r="F244" s="61">
        <f>countif(Constants!A:A,E244)</f>
        <v>1</v>
      </c>
      <c r="G244" s="62" t="str">
        <f t="shared" si="1"/>
        <v>-0.68497934</v>
      </c>
      <c r="H244" s="62">
        <f t="shared" si="2"/>
        <v>-0.68497934</v>
      </c>
      <c r="I244" s="62" t="str">
        <f t="shared" si="3"/>
        <v>0.00000016</v>
      </c>
      <c r="J244" s="63">
        <f t="shared" si="4"/>
        <v>0.00000016</v>
      </c>
      <c r="K244" s="62" t="b">
        <f t="shared" si="5"/>
        <v>0</v>
      </c>
      <c r="L244" s="62" t="b">
        <f t="shared" si="6"/>
        <v>0</v>
      </c>
      <c r="M244" s="60" t="str">
        <f>IFERROR(__xludf.DUMMYFUNCTION("if(regexmatch(B244,""e(.*)$""),regexextract(B244,""e(.*)$""),"""")"),"")</f>
        <v/>
      </c>
    </row>
    <row r="245" hidden="1">
      <c r="A245" s="17" t="s">
        <v>2523</v>
      </c>
      <c r="B245" s="17" t="s">
        <v>3351</v>
      </c>
      <c r="C245" s="17" t="s">
        <v>3352</v>
      </c>
      <c r="D245" s="17" t="s">
        <v>98</v>
      </c>
      <c r="E245" s="60" t="str">
        <f>VLOOKUP($A245,nist_names_ids!A:B,2,false)</f>
        <v>mnmmp</v>
      </c>
      <c r="F245" s="61">
        <f>countif(Constants!A:A,E245)</f>
        <v>1</v>
      </c>
      <c r="G245" s="62" t="str">
        <f t="shared" si="1"/>
        <v>2.30557435e-30</v>
      </c>
      <c r="H245" s="62">
        <f t="shared" si="2"/>
        <v>0</v>
      </c>
      <c r="I245" s="62" t="str">
        <f t="shared" si="3"/>
        <v>0.00000082e-30</v>
      </c>
      <c r="J245" s="63">
        <f t="shared" si="4"/>
        <v>0</v>
      </c>
      <c r="K245" s="62" t="b">
        <f t="shared" si="5"/>
        <v>0</v>
      </c>
      <c r="L245" s="62" t="b">
        <f t="shared" si="6"/>
        <v>0</v>
      </c>
      <c r="M245" s="60" t="str">
        <f>IFERROR(__xludf.DUMMYFUNCTION("if(regexmatch(B245,""e(.*)$""),regexextract(B245,""e(.*)$""),"""")"),"-30")</f>
        <v>-30</v>
      </c>
    </row>
    <row r="246" hidden="1">
      <c r="A246" s="17" t="s">
        <v>2528</v>
      </c>
      <c r="B246" s="17" t="s">
        <v>3353</v>
      </c>
      <c r="C246" s="17" t="s">
        <v>3354</v>
      </c>
      <c r="D246" s="17" t="s">
        <v>173</v>
      </c>
      <c r="E246" s="60" t="str">
        <f>VLOOKUP($A246,nist_names_ids!A:B,2,false)</f>
        <v>mnmmpc2</v>
      </c>
      <c r="F246" s="61">
        <f>countif(Constants!A:A,E246)</f>
        <v>1</v>
      </c>
      <c r="G246" s="62" t="str">
        <f t="shared" si="1"/>
        <v>2.07214689e-13</v>
      </c>
      <c r="H246" s="62">
        <f t="shared" si="2"/>
        <v>0</v>
      </c>
      <c r="I246" s="62" t="str">
        <f t="shared" si="3"/>
        <v>0.00000074e-13</v>
      </c>
      <c r="J246" s="63">
        <f t="shared" si="4"/>
        <v>0</v>
      </c>
      <c r="K246" s="62" t="b">
        <f t="shared" si="5"/>
        <v>0</v>
      </c>
      <c r="L246" s="62" t="b">
        <f t="shared" si="6"/>
        <v>0</v>
      </c>
      <c r="M246" s="60" t="str">
        <f>IFERROR(__xludf.DUMMYFUNCTION("if(regexmatch(B246,""e(.*)$""),regexextract(B246,""e(.*)$""),"""")"),"-13")</f>
        <v>-13</v>
      </c>
    </row>
    <row r="247" hidden="1">
      <c r="A247" s="17" t="s">
        <v>2532</v>
      </c>
      <c r="B247" s="17" t="s">
        <v>3356</v>
      </c>
      <c r="C247" s="17" t="s">
        <v>3358</v>
      </c>
      <c r="D247" s="17" t="s">
        <v>224</v>
      </c>
      <c r="E247" s="60" t="str">
        <f>VLOOKUP($A247,nist_names_ids!A:B,2,false)</f>
        <v>mnmmpc2mev</v>
      </c>
      <c r="F247" s="61">
        <f>countif(Constants!A:A,E247)</f>
        <v>1</v>
      </c>
      <c r="G247" s="62" t="str">
        <f t="shared" si="1"/>
        <v>1.29333236</v>
      </c>
      <c r="H247" s="62">
        <f t="shared" si="2"/>
        <v>1.29333236</v>
      </c>
      <c r="I247" s="62" t="str">
        <f t="shared" si="3"/>
        <v>0.00000046</v>
      </c>
      <c r="J247" s="63">
        <f t="shared" si="4"/>
        <v>0.00000046</v>
      </c>
      <c r="K247" s="62" t="b">
        <f t="shared" si="5"/>
        <v>0</v>
      </c>
      <c r="L247" s="62" t="b">
        <f t="shared" si="6"/>
        <v>0</v>
      </c>
      <c r="M247" s="60" t="str">
        <f>IFERROR(__xludf.DUMMYFUNCTION("if(regexmatch(B247,""e(.*)$""),regexextract(B247,""e(.*)$""),"""")"),"")</f>
        <v/>
      </c>
    </row>
    <row r="248" hidden="1">
      <c r="A248" s="17" t="s">
        <v>2538</v>
      </c>
      <c r="B248" s="17" t="s">
        <v>3367</v>
      </c>
      <c r="C248" s="17" t="s">
        <v>3368</v>
      </c>
      <c r="D248" s="17" t="s">
        <v>249</v>
      </c>
      <c r="E248" s="60" t="str">
        <f>VLOOKUP($A248,nist_names_ids!A:B,2,false)</f>
        <v>mnmmpu</v>
      </c>
      <c r="F248" s="61">
        <f>countif(Constants!A:A,E248)</f>
        <v>1</v>
      </c>
      <c r="G248" s="62" t="str">
        <f t="shared" si="1"/>
        <v>1.38844933e-3</v>
      </c>
      <c r="H248" s="62">
        <f t="shared" si="2"/>
        <v>0.00138844933</v>
      </c>
      <c r="I248" s="62" t="str">
        <f t="shared" si="3"/>
        <v>0.00000049e-3</v>
      </c>
      <c r="J248" s="63">
        <f t="shared" si="4"/>
        <v>0.00000000049</v>
      </c>
      <c r="K248" s="62" t="b">
        <f t="shared" si="5"/>
        <v>0</v>
      </c>
      <c r="L248" s="62" t="b">
        <f t="shared" si="6"/>
        <v>0</v>
      </c>
      <c r="M248" s="60" t="str">
        <f>IFERROR(__xludf.DUMMYFUNCTION("if(regexmatch(B248,""e(.*)$""),regexextract(B248,""e(.*)$""),"""")"),"-3")</f>
        <v>-3</v>
      </c>
    </row>
    <row r="249" hidden="1">
      <c r="A249" s="17" t="s">
        <v>2544</v>
      </c>
      <c r="B249" s="17" t="s">
        <v>3370</v>
      </c>
      <c r="C249" s="17" t="s">
        <v>3338</v>
      </c>
      <c r="E249" s="60" t="str">
        <f>VLOOKUP($A249,nist_names_ids!A:B,2,false)</f>
        <v>mnsmp</v>
      </c>
      <c r="F249" s="61">
        <f>countif(Constants!A:A,E249)</f>
        <v>1</v>
      </c>
      <c r="G249" s="62" t="str">
        <f t="shared" si="1"/>
        <v>1.00137841931</v>
      </c>
      <c r="H249" s="62">
        <f t="shared" si="2"/>
        <v>1.001378419</v>
      </c>
      <c r="I249" s="62" t="str">
        <f t="shared" si="3"/>
        <v>0.00000000049</v>
      </c>
      <c r="J249" s="63">
        <f t="shared" si="4"/>
        <v>0.00000000049</v>
      </c>
      <c r="K249" s="62" t="b">
        <f t="shared" si="5"/>
        <v>0</v>
      </c>
      <c r="L249" s="62" t="b">
        <f t="shared" si="6"/>
        <v>0</v>
      </c>
      <c r="M249" s="60" t="str">
        <f>IFERROR(__xludf.DUMMYFUNCTION("if(regexmatch(B249,""e(.*)$""),regexextract(B249,""e(.*)$""),"""")"),"")</f>
        <v/>
      </c>
    </row>
    <row r="250" hidden="1">
      <c r="A250" s="17" t="s">
        <v>2546</v>
      </c>
      <c r="B250" s="17" t="s">
        <v>3337</v>
      </c>
      <c r="C250" s="17" t="s">
        <v>3338</v>
      </c>
      <c r="E250" s="60" t="str">
        <f>VLOOKUP($A250,nist_names_ids!A:B,2,false)</f>
        <v>arn</v>
      </c>
      <c r="F250" s="61">
        <f>countif(Constants!A:A,E250)</f>
        <v>1</v>
      </c>
      <c r="G250" s="62" t="str">
        <f t="shared" si="1"/>
        <v>1.00866491595</v>
      </c>
      <c r="H250" s="62">
        <f t="shared" si="2"/>
        <v>1.008664916</v>
      </c>
      <c r="I250" s="62" t="str">
        <f t="shared" si="3"/>
        <v>0.00000000049</v>
      </c>
      <c r="J250" s="63">
        <f t="shared" si="4"/>
        <v>0.00000000049</v>
      </c>
      <c r="K250" s="62" t="b">
        <f t="shared" si="5"/>
        <v>0</v>
      </c>
      <c r="L250" s="62" t="b">
        <f t="shared" si="6"/>
        <v>0</v>
      </c>
      <c r="M250" s="60" t="str">
        <f>IFERROR(__xludf.DUMMYFUNCTION("if(regexmatch(B250,""e(.*)$""),regexextract(B250,""e(.*)$""),"""")"),"")</f>
        <v/>
      </c>
    </row>
    <row r="251" hidden="1">
      <c r="A251" s="17" t="s">
        <v>2551</v>
      </c>
      <c r="B251" s="17" t="s">
        <v>3376</v>
      </c>
      <c r="C251" s="17" t="s">
        <v>2553</v>
      </c>
      <c r="E251" s="60" t="str">
        <f>VLOOKUP($A251,nist_names_ids!A:B,2,false)</f>
        <v>mnsmtau</v>
      </c>
      <c r="F251" s="61">
        <f>countif(Constants!A:A,E251)</f>
        <v>1</v>
      </c>
      <c r="G251" s="62" t="str">
        <f t="shared" si="1"/>
        <v>0.528779</v>
      </c>
      <c r="H251" s="62">
        <f t="shared" si="2"/>
        <v>0.528779</v>
      </c>
      <c r="I251" s="62" t="str">
        <f t="shared" si="3"/>
        <v>0.000036</v>
      </c>
      <c r="J251" s="63">
        <f t="shared" si="4"/>
        <v>0.000036</v>
      </c>
      <c r="K251" s="62" t="b">
        <f t="shared" si="5"/>
        <v>0</v>
      </c>
      <c r="L251" s="62" t="b">
        <f t="shared" si="6"/>
        <v>0</v>
      </c>
      <c r="M251" s="60" t="str">
        <f>IFERROR(__xludf.DUMMYFUNCTION("if(regexmatch(B251,""e(.*)$""),regexextract(B251,""e(.*)$""),"""")"),"")</f>
        <v/>
      </c>
    </row>
    <row r="252" hidden="1">
      <c r="A252" s="17" t="s">
        <v>2556</v>
      </c>
      <c r="B252" s="17" t="s">
        <v>3378</v>
      </c>
      <c r="C252" s="17" t="s">
        <v>2020</v>
      </c>
      <c r="E252" s="60" t="str">
        <f>VLOOKUP($A252,nist_names_ids!A:B,2,false)</f>
        <v>munsmupp</v>
      </c>
      <c r="F252" s="61">
        <f>countif(Constants!A:A,E252)</f>
        <v>1</v>
      </c>
      <c r="G252" s="62" t="str">
        <f t="shared" si="1"/>
        <v>-0.68499694</v>
      </c>
      <c r="H252" s="62">
        <f t="shared" si="2"/>
        <v>-0.68499694</v>
      </c>
      <c r="I252" s="62" t="str">
        <f t="shared" si="3"/>
        <v>0.00000016</v>
      </c>
      <c r="J252" s="63">
        <f t="shared" si="4"/>
        <v>0.00000016</v>
      </c>
      <c r="K252" s="62" t="b">
        <f t="shared" si="5"/>
        <v>0</v>
      </c>
      <c r="L252" s="62" t="b">
        <f t="shared" si="6"/>
        <v>0</v>
      </c>
      <c r="M252" s="60" t="str">
        <f>IFERROR(__xludf.DUMMYFUNCTION("if(regexmatch(B252,""e(.*)$""),regexextract(B252,""e(.*)$""),"""")"),"")</f>
        <v/>
      </c>
    </row>
    <row r="253" hidden="1">
      <c r="A253" s="17" t="s">
        <v>2558</v>
      </c>
      <c r="B253" s="17" t="s">
        <v>3383</v>
      </c>
      <c r="C253" s="17" t="s">
        <v>2560</v>
      </c>
      <c r="D253" s="17" t="s">
        <v>2561</v>
      </c>
      <c r="E253" s="60" t="str">
        <f>VLOOKUP($A253,nist_names_ids!A:B,2,false)</f>
        <v>bg</v>
      </c>
      <c r="F253" s="61">
        <f>countif(Constants!A:A,E253)</f>
        <v>1</v>
      </c>
      <c r="G253" s="62" t="str">
        <f t="shared" si="1"/>
        <v>6.67430e-11</v>
      </c>
      <c r="H253" s="62">
        <f t="shared" si="2"/>
        <v>0</v>
      </c>
      <c r="I253" s="62" t="str">
        <f t="shared" si="3"/>
        <v>0.00015e-11</v>
      </c>
      <c r="J253" s="63">
        <f t="shared" si="4"/>
        <v>0</v>
      </c>
      <c r="K253" s="62" t="b">
        <f t="shared" si="5"/>
        <v>0</v>
      </c>
      <c r="L253" s="62" t="b">
        <f t="shared" si="6"/>
        <v>0</v>
      </c>
      <c r="M253" s="60" t="str">
        <f>IFERROR(__xludf.DUMMYFUNCTION("if(regexmatch(B253,""e(.*)$""),regexextract(B253,""e(.*)$""),"""")"),"-11")</f>
        <v>-11</v>
      </c>
    </row>
    <row r="254" hidden="1">
      <c r="A254" s="17" t="s">
        <v>2566</v>
      </c>
      <c r="B254" s="17" t="s">
        <v>3386</v>
      </c>
      <c r="C254" s="17" t="s">
        <v>2568</v>
      </c>
      <c r="D254" s="17" t="s">
        <v>2569</v>
      </c>
      <c r="E254" s="60" t="str">
        <f>VLOOKUP($A254,nist_names_ids!A:B,2,false)</f>
        <v>bgspu</v>
      </c>
      <c r="F254" s="61">
        <f>countif(Constants!A:A,E254)</f>
        <v>1</v>
      </c>
      <c r="G254" s="62" t="str">
        <f t="shared" si="1"/>
        <v>6.70883e-39</v>
      </c>
      <c r="H254" s="62">
        <f t="shared" si="2"/>
        <v>0</v>
      </c>
      <c r="I254" s="62" t="str">
        <f t="shared" si="3"/>
        <v>0.00015e-39</v>
      </c>
      <c r="J254" s="63">
        <f t="shared" si="4"/>
        <v>0</v>
      </c>
      <c r="K254" s="62" t="b">
        <f t="shared" si="5"/>
        <v>0</v>
      </c>
      <c r="L254" s="62" t="b">
        <f t="shared" si="6"/>
        <v>0</v>
      </c>
      <c r="M254" s="60" t="str">
        <f>IFERROR(__xludf.DUMMYFUNCTION("if(regexmatch(B254,""e(.*)$""),regexextract(B254,""e(.*)$""),"""")"),"-39")</f>
        <v>-39</v>
      </c>
    </row>
    <row r="255" hidden="1">
      <c r="A255" s="17" t="s">
        <v>2572</v>
      </c>
      <c r="B255" s="17" t="s">
        <v>3389</v>
      </c>
      <c r="C255" s="17" t="s">
        <v>3045</v>
      </c>
      <c r="D255" s="17" t="s">
        <v>964</v>
      </c>
      <c r="E255" s="60" t="str">
        <f>VLOOKUP($A255,nist_names_ids!A:B,2,false)</f>
        <v>mun</v>
      </c>
      <c r="F255" s="61">
        <f>countif(Constants!A:A,E255)</f>
        <v>1</v>
      </c>
      <c r="G255" s="62" t="str">
        <f t="shared" si="1"/>
        <v>5.0507837461e-27</v>
      </c>
      <c r="H255" s="62">
        <f t="shared" si="2"/>
        <v>0</v>
      </c>
      <c r="I255" s="62" t="str">
        <f t="shared" si="3"/>
        <v>0.0000000015e-27</v>
      </c>
      <c r="J255" s="63">
        <f t="shared" si="4"/>
        <v>0</v>
      </c>
      <c r="K255" s="62" t="b">
        <f t="shared" si="5"/>
        <v>0</v>
      </c>
      <c r="L255" s="62" t="b">
        <f t="shared" si="6"/>
        <v>0</v>
      </c>
      <c r="M255" s="60" t="str">
        <f>IFERROR(__xludf.DUMMYFUNCTION("if(regexmatch(B255,""e(.*)$""),regexextract(B255,""e(.*)$""),"""")"),"-27")</f>
        <v>-27</v>
      </c>
    </row>
    <row r="256" hidden="1">
      <c r="A256" s="17" t="s">
        <v>2578</v>
      </c>
      <c r="B256" s="17" t="s">
        <v>3392</v>
      </c>
      <c r="C256" s="17" t="s">
        <v>3393</v>
      </c>
      <c r="D256" s="17" t="s">
        <v>1165</v>
      </c>
      <c r="E256" s="60" t="str">
        <f>VLOOKUP($A256,nist_names_ids!A:B,2,false)</f>
        <v>munev</v>
      </c>
      <c r="F256" s="61">
        <f>countif(Constants!A:A,E256)</f>
        <v>1</v>
      </c>
      <c r="G256" s="62" t="str">
        <f t="shared" si="1"/>
        <v>3.15245125844e-8</v>
      </c>
      <c r="H256" s="62">
        <f t="shared" si="2"/>
        <v>0.00000003152451258</v>
      </c>
      <c r="I256" s="62" t="str">
        <f t="shared" si="3"/>
        <v>0.00000000096e-8</v>
      </c>
      <c r="J256" s="63">
        <f t="shared" si="4"/>
        <v>0</v>
      </c>
      <c r="K256" s="62" t="b">
        <f t="shared" si="5"/>
        <v>0</v>
      </c>
      <c r="L256" s="62" t="b">
        <f t="shared" si="6"/>
        <v>0</v>
      </c>
      <c r="M256" s="60" t="str">
        <f>IFERROR(__xludf.DUMMYFUNCTION("if(regexmatch(B256,""e(.*)$""),regexextract(B256,""e(.*)$""),"""")"),"-8")</f>
        <v>-8</v>
      </c>
    </row>
    <row r="257" hidden="1">
      <c r="A257" s="17" t="s">
        <v>2582</v>
      </c>
      <c r="B257" s="17" t="s">
        <v>3399</v>
      </c>
      <c r="C257" s="17" t="s">
        <v>3400</v>
      </c>
      <c r="D257" s="17" t="s">
        <v>1205</v>
      </c>
      <c r="E257" s="60" t="str">
        <f>VLOOKUP($A257,nist_names_ids!A:B,2,false)</f>
        <v>munshcminv</v>
      </c>
      <c r="F257" s="61">
        <f>countif(Constants!A:A,E257)</f>
        <v>1</v>
      </c>
      <c r="G257" s="62" t="str">
        <f t="shared" si="1"/>
        <v>2.54262341353e-2</v>
      </c>
      <c r="H257" s="62">
        <f t="shared" si="2"/>
        <v>0.02542623414</v>
      </c>
      <c r="I257" s="62" t="str">
        <f t="shared" si="3"/>
        <v>0.00000000078e-2</v>
      </c>
      <c r="J257" s="63">
        <f t="shared" si="4"/>
        <v>0</v>
      </c>
      <c r="K257" s="62" t="b">
        <f t="shared" si="5"/>
        <v>0</v>
      </c>
      <c r="L257" s="62" t="b">
        <f t="shared" si="6"/>
        <v>0</v>
      </c>
      <c r="M257" s="60" t="str">
        <f>IFERROR(__xludf.DUMMYFUNCTION("if(regexmatch(B257,""e(.*)$""),regexextract(B257,""e(.*)$""),"""")"),"-2")</f>
        <v>-2</v>
      </c>
    </row>
    <row r="258" hidden="1">
      <c r="A258" s="17" t="s">
        <v>2586</v>
      </c>
      <c r="B258" s="17" t="s">
        <v>3403</v>
      </c>
      <c r="C258" s="17" t="s">
        <v>2588</v>
      </c>
      <c r="D258" s="17" t="s">
        <v>1226</v>
      </c>
      <c r="E258" s="60" t="str">
        <f>VLOOKUP($A258,nist_names_ids!A:B,2,false)</f>
        <v>munskk</v>
      </c>
      <c r="F258" s="61">
        <f>countif(Constants!A:A,E258)</f>
        <v>1</v>
      </c>
      <c r="G258" s="62" t="str">
        <f t="shared" si="1"/>
        <v>3.6582677756e-4</v>
      </c>
      <c r="H258" s="62">
        <f t="shared" si="2"/>
        <v>0.0003658267776</v>
      </c>
      <c r="I258" s="62" t="str">
        <f t="shared" si="3"/>
        <v>0.0000000011e-4</v>
      </c>
      <c r="J258" s="63">
        <f t="shared" si="4"/>
        <v>0</v>
      </c>
      <c r="K258" s="62" t="b">
        <f t="shared" si="5"/>
        <v>0</v>
      </c>
      <c r="L258" s="62" t="b">
        <f t="shared" si="6"/>
        <v>0</v>
      </c>
      <c r="M258" s="60" t="str">
        <f>IFERROR(__xludf.DUMMYFUNCTION("if(regexmatch(B258,""e(.*)$""),regexextract(B258,""e(.*)$""),"""")"),"-4")</f>
        <v>-4</v>
      </c>
    </row>
    <row r="259" hidden="1">
      <c r="A259" s="17" t="s">
        <v>2589</v>
      </c>
      <c r="B259" s="17" t="s">
        <v>3406</v>
      </c>
      <c r="C259" s="17" t="s">
        <v>3407</v>
      </c>
      <c r="D259" s="17" t="s">
        <v>1733</v>
      </c>
      <c r="E259" s="60" t="str">
        <f>VLOOKUP($A259,nist_names_ids!A:B,2,false)</f>
        <v>munshhz</v>
      </c>
      <c r="F259" s="61">
        <f>countif(Constants!A:A,E259)</f>
        <v>1</v>
      </c>
      <c r="G259" s="62" t="str">
        <f t="shared" si="1"/>
        <v>7.6225932291</v>
      </c>
      <c r="H259" s="62">
        <f t="shared" si="2"/>
        <v>7.622593229</v>
      </c>
      <c r="I259" s="62" t="str">
        <f t="shared" si="3"/>
        <v>0.0000000023</v>
      </c>
      <c r="J259" s="63">
        <f t="shared" si="4"/>
        <v>0.0000000023</v>
      </c>
      <c r="K259" s="62" t="b">
        <f t="shared" si="5"/>
        <v>0</v>
      </c>
      <c r="L259" s="62" t="b">
        <f t="shared" si="6"/>
        <v>0</v>
      </c>
      <c r="M259" s="60" t="str">
        <f>IFERROR(__xludf.DUMMYFUNCTION("if(regexmatch(B259,""e(.*)$""),regexextract(B259,""e(.*)$""),"""")"),"")</f>
        <v/>
      </c>
    </row>
    <row r="260">
      <c r="A260" s="17" t="s">
        <v>2595</v>
      </c>
      <c r="B260" s="17" t="s">
        <v>3083</v>
      </c>
      <c r="C260" s="17" t="s">
        <v>1501</v>
      </c>
      <c r="D260" s="17" t="s">
        <v>2597</v>
      </c>
      <c r="E260" s="60" t="str">
        <f>VLOOKUP($A260,nist_names_ids!A:B,2,false)</f>
        <v>h</v>
      </c>
      <c r="F260" s="61">
        <f>countif(Constants!A:A,E260)</f>
        <v>1</v>
      </c>
      <c r="G260" s="62" t="str">
        <f t="shared" si="1"/>
        <v>6.62607015e-34</v>
      </c>
      <c r="H260" s="62">
        <f t="shared" si="2"/>
        <v>0</v>
      </c>
      <c r="I260" s="62" t="str">
        <f t="shared" si="3"/>
        <v>(exact)</v>
      </c>
      <c r="J260" s="63" t="str">
        <f t="shared" si="4"/>
        <v/>
      </c>
      <c r="K260" s="62" t="b">
        <f t="shared" si="5"/>
        <v>1</v>
      </c>
      <c r="L260" s="62" t="b">
        <f t="shared" si="6"/>
        <v>0</v>
      </c>
      <c r="M260" s="60" t="str">
        <f>IFERROR(__xludf.DUMMYFUNCTION("if(regexmatch(B260,""e(.*)$""),regexextract(B260,""e(.*)$""),"""")"),"-34")</f>
        <v>-34</v>
      </c>
    </row>
    <row r="261">
      <c r="A261" s="17" t="s">
        <v>2599</v>
      </c>
      <c r="B261" s="17" t="s">
        <v>3075</v>
      </c>
      <c r="C261" s="17" t="s">
        <v>1501</v>
      </c>
      <c r="D261" s="17" t="s">
        <v>2602</v>
      </c>
      <c r="E261" s="60" t="str">
        <f>VLOOKUP($A261,nist_names_ids!A:B,2,false)</f>
        <v>hev</v>
      </c>
      <c r="F261" s="61">
        <f>countif(Constants!A:A,E261)</f>
        <v>1</v>
      </c>
      <c r="G261" s="62" t="str">
        <f t="shared" si="1"/>
        <v>4.135667696e-15</v>
      </c>
      <c r="H261" s="62">
        <f t="shared" si="2"/>
        <v>0</v>
      </c>
      <c r="I261" s="62" t="str">
        <f t="shared" si="3"/>
        <v>(exact)</v>
      </c>
      <c r="J261" s="63" t="str">
        <f t="shared" si="4"/>
        <v/>
      </c>
      <c r="K261" s="62" t="b">
        <f t="shared" si="5"/>
        <v>1</v>
      </c>
      <c r="L261" s="62" t="b">
        <f t="shared" si="6"/>
        <v>1</v>
      </c>
      <c r="M261" s="60" t="str">
        <f>IFERROR(__xludf.DUMMYFUNCTION("if(regexmatch(B261,""e(.*)$""),regexextract(B261,""e(.*)$""),"""")"),"-15")</f>
        <v>-15</v>
      </c>
    </row>
    <row r="262" hidden="1">
      <c r="A262" s="17" t="s">
        <v>2605</v>
      </c>
      <c r="B262" s="17" t="s">
        <v>3411</v>
      </c>
      <c r="C262" s="17" t="s">
        <v>2607</v>
      </c>
      <c r="D262" s="17" t="s">
        <v>381</v>
      </c>
      <c r="E262" s="60" t="str">
        <f>VLOOKUP($A262,nist_names_ids!A:B,2,false)</f>
        <v>plkl</v>
      </c>
      <c r="F262" s="61">
        <f>countif(Constants!A:A,E262)</f>
        <v>1</v>
      </c>
      <c r="G262" s="62" t="str">
        <f t="shared" si="1"/>
        <v>1.616255e-35</v>
      </c>
      <c r="H262" s="62">
        <f t="shared" si="2"/>
        <v>0</v>
      </c>
      <c r="I262" s="62" t="str">
        <f t="shared" si="3"/>
        <v>0.000018e-35</v>
      </c>
      <c r="J262" s="63">
        <f t="shared" si="4"/>
        <v>0</v>
      </c>
      <c r="K262" s="62" t="b">
        <f t="shared" si="5"/>
        <v>0</v>
      </c>
      <c r="L262" s="62" t="b">
        <f t="shared" si="6"/>
        <v>0</v>
      </c>
      <c r="M262" s="60" t="str">
        <f>IFERROR(__xludf.DUMMYFUNCTION("if(regexmatch(B262,""e(.*)$""),regexextract(B262,""e(.*)$""),"""")"),"-35")</f>
        <v>-35</v>
      </c>
    </row>
    <row r="263" hidden="1">
      <c r="A263" s="17" t="s">
        <v>2608</v>
      </c>
      <c r="B263" s="17" t="s">
        <v>3412</v>
      </c>
      <c r="C263" s="17" t="s">
        <v>2611</v>
      </c>
      <c r="D263" s="17" t="s">
        <v>98</v>
      </c>
      <c r="E263" s="60" t="str">
        <f>VLOOKUP($A263,nist_names_ids!A:B,2,false)</f>
        <v>plkm</v>
      </c>
      <c r="F263" s="61">
        <f>countif(Constants!A:A,E263)</f>
        <v>1</v>
      </c>
      <c r="G263" s="62" t="str">
        <f t="shared" si="1"/>
        <v>2.176434e-8</v>
      </c>
      <c r="H263" s="62">
        <f t="shared" si="2"/>
        <v>0.00000002176434</v>
      </c>
      <c r="I263" s="62" t="str">
        <f t="shared" si="3"/>
        <v>0.000024e-8</v>
      </c>
      <c r="J263" s="63">
        <f t="shared" si="4"/>
        <v>0</v>
      </c>
      <c r="K263" s="62" t="b">
        <f t="shared" si="5"/>
        <v>0</v>
      </c>
      <c r="L263" s="62" t="b">
        <f t="shared" si="6"/>
        <v>0</v>
      </c>
      <c r="M263" s="60" t="str">
        <f>IFERROR(__xludf.DUMMYFUNCTION("if(regexmatch(B263,""e(.*)$""),regexextract(B263,""e(.*)$""),"""")"),"-8")</f>
        <v>-8</v>
      </c>
    </row>
    <row r="264" hidden="1">
      <c r="A264" s="17" t="s">
        <v>2614</v>
      </c>
      <c r="B264" s="17" t="s">
        <v>3419</v>
      </c>
      <c r="C264" s="17" t="s">
        <v>2616</v>
      </c>
      <c r="D264" s="17" t="s">
        <v>234</v>
      </c>
      <c r="E264" s="60" t="str">
        <f>VLOOKUP($A264,nist_names_ids!A:B,2,false)</f>
        <v>plkmc2gev</v>
      </c>
      <c r="F264" s="61">
        <f>countif(Constants!A:A,E264)</f>
        <v>1</v>
      </c>
      <c r="G264" s="62" t="str">
        <f t="shared" si="1"/>
        <v>1.220890e19</v>
      </c>
      <c r="H264" s="62">
        <f t="shared" si="2"/>
        <v>1.22089E+19</v>
      </c>
      <c r="I264" s="62" t="str">
        <f t="shared" si="3"/>
        <v>0.000014e19</v>
      </c>
      <c r="J264" s="63">
        <f t="shared" si="4"/>
        <v>140000000000000</v>
      </c>
      <c r="K264" s="62" t="b">
        <f t="shared" si="5"/>
        <v>0</v>
      </c>
      <c r="L264" s="62" t="b">
        <f t="shared" si="6"/>
        <v>0</v>
      </c>
      <c r="M264" s="60" t="str">
        <f>IFERROR(__xludf.DUMMYFUNCTION("if(regexmatch(B264,""e(.*)$""),regexextract(B264,""e(.*)$""),"""")"),"19")</f>
        <v>19</v>
      </c>
    </row>
    <row r="265" hidden="1">
      <c r="A265" s="17" t="s">
        <v>2619</v>
      </c>
      <c r="B265" s="17" t="s">
        <v>3420</v>
      </c>
      <c r="C265" s="17" t="s">
        <v>2622</v>
      </c>
      <c r="D265" s="17" t="s">
        <v>345</v>
      </c>
      <c r="E265" s="60" t="str">
        <f>VLOOKUP($A265,nist_names_ids!A:B,2,false)</f>
        <v>plktmp</v>
      </c>
      <c r="F265" s="61">
        <f>countif(Constants!A:A,E265)</f>
        <v>1</v>
      </c>
      <c r="G265" s="62" t="str">
        <f t="shared" si="1"/>
        <v>1.416784e32</v>
      </c>
      <c r="H265" s="62">
        <f t="shared" si="2"/>
        <v>1.41678E+32</v>
      </c>
      <c r="I265" s="62" t="str">
        <f t="shared" si="3"/>
        <v>0.000016e32</v>
      </c>
      <c r="J265" s="63">
        <f t="shared" si="4"/>
        <v>1.6E+27</v>
      </c>
      <c r="K265" s="62" t="b">
        <f t="shared" si="5"/>
        <v>0</v>
      </c>
      <c r="L265" s="62" t="b">
        <f t="shared" si="6"/>
        <v>0</v>
      </c>
      <c r="M265" s="60" t="str">
        <f>IFERROR(__xludf.DUMMYFUNCTION("if(regexmatch(B265,""e(.*)$""),regexextract(B265,""e(.*)$""),"""")"),"32")</f>
        <v>32</v>
      </c>
    </row>
    <row r="266" hidden="1">
      <c r="A266" s="17" t="s">
        <v>2623</v>
      </c>
      <c r="B266" s="17" t="s">
        <v>3422</v>
      </c>
      <c r="C266" s="17" t="s">
        <v>2625</v>
      </c>
      <c r="D266" s="17" t="s">
        <v>520</v>
      </c>
      <c r="E266" s="60" t="str">
        <f>VLOOKUP($A266,nist_names_ids!A:B,2,false)</f>
        <v>plkt</v>
      </c>
      <c r="F266" s="61">
        <f>countif(Constants!A:A,E266)</f>
        <v>1</v>
      </c>
      <c r="G266" s="62" t="str">
        <f t="shared" si="1"/>
        <v>5.391247e-44</v>
      </c>
      <c r="H266" s="62">
        <f t="shared" si="2"/>
        <v>0</v>
      </c>
      <c r="I266" s="62" t="str">
        <f t="shared" si="3"/>
        <v>0.000060e-44</v>
      </c>
      <c r="J266" s="63">
        <f t="shared" si="4"/>
        <v>0</v>
      </c>
      <c r="K266" s="62" t="b">
        <f t="shared" si="5"/>
        <v>0</v>
      </c>
      <c r="L266" s="62" t="b">
        <f t="shared" si="6"/>
        <v>0</v>
      </c>
      <c r="M266" s="60" t="str">
        <f>IFERROR(__xludf.DUMMYFUNCTION("if(regexmatch(B266,""e(.*)$""),regexextract(B266,""e(.*)$""),"""")"),"-44")</f>
        <v>-44</v>
      </c>
    </row>
    <row r="267" hidden="1">
      <c r="A267" s="17" t="s">
        <v>2628</v>
      </c>
      <c r="B267" s="17" t="s">
        <v>3429</v>
      </c>
      <c r="C267" s="17" t="s">
        <v>3430</v>
      </c>
      <c r="D267" s="17" t="s">
        <v>1689</v>
      </c>
      <c r="E267" s="60" t="str">
        <f>VLOOKUP($A267,nist_names_ids!A:B,2,false)</f>
        <v>esmp</v>
      </c>
      <c r="F267" s="61">
        <f>countif(Constants!A:A,E267)</f>
        <v>1</v>
      </c>
      <c r="G267" s="62" t="str">
        <f t="shared" si="1"/>
        <v>9.5788331560e7</v>
      </c>
      <c r="H267" s="62">
        <f t="shared" si="2"/>
        <v>95788331.56</v>
      </c>
      <c r="I267" s="62" t="str">
        <f t="shared" si="3"/>
        <v>0.0000000029e7</v>
      </c>
      <c r="J267" s="63">
        <f t="shared" si="4"/>
        <v>0.029</v>
      </c>
      <c r="K267" s="62" t="b">
        <f t="shared" si="5"/>
        <v>0</v>
      </c>
      <c r="L267" s="62" t="b">
        <f t="shared" si="6"/>
        <v>0</v>
      </c>
      <c r="M267" s="60" t="str">
        <f>IFERROR(__xludf.DUMMYFUNCTION("if(regexmatch(B267,""e(.*)$""),regexextract(B267,""e(.*)$""),"""")"),"7")</f>
        <v>7</v>
      </c>
    </row>
    <row r="268" hidden="1">
      <c r="A268" s="17" t="s">
        <v>2633</v>
      </c>
      <c r="B268" s="17" t="s">
        <v>3432</v>
      </c>
      <c r="C268" s="17" t="s">
        <v>3094</v>
      </c>
      <c r="D268" s="17" t="s">
        <v>381</v>
      </c>
      <c r="E268" s="60" t="str">
        <f>VLOOKUP($A268,nist_names_ids!A:B,2,false)</f>
        <v>pcomwl</v>
      </c>
      <c r="F268" s="61">
        <f>countif(Constants!A:A,E268)</f>
        <v>1</v>
      </c>
      <c r="G268" s="62" t="str">
        <f t="shared" si="1"/>
        <v>1.32140985539e-15</v>
      </c>
      <c r="H268" s="62">
        <f t="shared" si="2"/>
        <v>0</v>
      </c>
      <c r="I268" s="62" t="str">
        <f t="shared" si="3"/>
        <v>0.00000000040e-15</v>
      </c>
      <c r="J268" s="63">
        <f t="shared" si="4"/>
        <v>0</v>
      </c>
      <c r="K268" s="62" t="b">
        <f t="shared" si="5"/>
        <v>0</v>
      </c>
      <c r="L268" s="62" t="b">
        <f t="shared" si="6"/>
        <v>0</v>
      </c>
      <c r="M268" s="60" t="str">
        <f>IFERROR(__xludf.DUMMYFUNCTION("if(regexmatch(B268,""e(.*)$""),regexextract(B268,""e(.*)$""),"""")"),"-15")</f>
        <v>-15</v>
      </c>
    </row>
    <row r="269" hidden="1">
      <c r="A269" s="17" t="s">
        <v>2636</v>
      </c>
      <c r="B269" s="17" t="s">
        <v>3433</v>
      </c>
      <c r="C269" s="17" t="s">
        <v>1779</v>
      </c>
      <c r="E269" s="60" t="str">
        <f>VLOOKUP($A269,nist_names_ids!A:B,2,false)</f>
        <v>mpsme</v>
      </c>
      <c r="F269" s="61">
        <f>countif(Constants!A:A,E269)</f>
        <v>1</v>
      </c>
      <c r="G269" s="62" t="str">
        <f t="shared" si="1"/>
        <v>1836.15267343</v>
      </c>
      <c r="H269" s="62">
        <f t="shared" si="2"/>
        <v>1836.152673</v>
      </c>
      <c r="I269" s="62" t="str">
        <f t="shared" si="3"/>
        <v>0.00000011</v>
      </c>
      <c r="J269" s="63">
        <f t="shared" si="4"/>
        <v>0.00000011</v>
      </c>
      <c r="K269" s="62" t="b">
        <f t="shared" si="5"/>
        <v>0</v>
      </c>
      <c r="L269" s="62" t="b">
        <f t="shared" si="6"/>
        <v>0</v>
      </c>
      <c r="M269" s="60" t="str">
        <f>IFERROR(__xludf.DUMMYFUNCTION("if(regexmatch(B269,""e(.*)$""),regexextract(B269,""e(.*)$""),"""")"),"")</f>
        <v/>
      </c>
    </row>
    <row r="270" hidden="1">
      <c r="A270" s="17" t="s">
        <v>2640</v>
      </c>
      <c r="B270" s="17" t="s">
        <v>3439</v>
      </c>
      <c r="C270" s="17" t="s">
        <v>2642</v>
      </c>
      <c r="E270" s="60" t="str">
        <f>VLOOKUP($A270,nist_names_ids!A:B,2,false)</f>
        <v>gp</v>
      </c>
      <c r="F270" s="61">
        <f>countif(Constants!A:A,E270)</f>
        <v>1</v>
      </c>
      <c r="G270" s="62" t="str">
        <f t="shared" si="1"/>
        <v>5.5856946893</v>
      </c>
      <c r="H270" s="62">
        <f t="shared" si="2"/>
        <v>5.585694689</v>
      </c>
      <c r="I270" s="62" t="str">
        <f t="shared" si="3"/>
        <v>0.0000000016</v>
      </c>
      <c r="J270" s="63">
        <f t="shared" si="4"/>
        <v>0.0000000016</v>
      </c>
      <c r="K270" s="62" t="b">
        <f t="shared" si="5"/>
        <v>0</v>
      </c>
      <c r="L270" s="62" t="b">
        <f t="shared" si="6"/>
        <v>0</v>
      </c>
      <c r="M270" s="60" t="str">
        <f>IFERROR(__xludf.DUMMYFUNCTION("if(regexmatch(B270,""e(.*)$""),regexextract(B270,""e(.*)$""),"""")"),"")</f>
        <v/>
      </c>
    </row>
    <row r="271" hidden="1">
      <c r="A271" s="17" t="s">
        <v>2644</v>
      </c>
      <c r="B271" s="17" t="s">
        <v>3442</v>
      </c>
      <c r="C271" s="17" t="s">
        <v>2646</v>
      </c>
      <c r="D271" s="17" t="s">
        <v>1717</v>
      </c>
      <c r="E271" s="60" t="str">
        <f>VLOOKUP($A271,nist_names_ids!A:B,2,false)</f>
        <v>gammap</v>
      </c>
      <c r="F271" s="61">
        <f>countif(Constants!A:A,E271)</f>
        <v>1</v>
      </c>
      <c r="G271" s="62" t="str">
        <f t="shared" si="1"/>
        <v>2.6752218744e8</v>
      </c>
      <c r="H271" s="62">
        <f t="shared" si="2"/>
        <v>267522187.4</v>
      </c>
      <c r="I271" s="62" t="str">
        <f t="shared" si="3"/>
        <v>0.0000000011e8</v>
      </c>
      <c r="J271" s="63">
        <f t="shared" si="4"/>
        <v>0.11</v>
      </c>
      <c r="K271" s="62" t="b">
        <f t="shared" si="5"/>
        <v>0</v>
      </c>
      <c r="L271" s="62" t="b">
        <f t="shared" si="6"/>
        <v>0</v>
      </c>
      <c r="M271" s="60" t="str">
        <f>IFERROR(__xludf.DUMMYFUNCTION("if(regexmatch(B271,""e(.*)$""),regexextract(B271,""e(.*)$""),"""")"),"8")</f>
        <v>8</v>
      </c>
    </row>
    <row r="272" hidden="1">
      <c r="A272" s="17" t="s">
        <v>2648</v>
      </c>
      <c r="B272" s="17" t="s">
        <v>3455</v>
      </c>
      <c r="C272" s="17" t="s">
        <v>2650</v>
      </c>
      <c r="D272" s="17" t="s">
        <v>1733</v>
      </c>
      <c r="E272" s="60" t="str">
        <f>VLOOKUP($A272,nist_names_ids!A:B,2,false)</f>
        <v>gammapbar</v>
      </c>
      <c r="F272" s="61">
        <f>countif(Constants!A:A,E272)</f>
        <v>1</v>
      </c>
      <c r="G272" s="62" t="str">
        <f t="shared" si="1"/>
        <v>42.577478518</v>
      </c>
      <c r="H272" s="62">
        <f t="shared" si="2"/>
        <v>42.57747852</v>
      </c>
      <c r="I272" s="62" t="str">
        <f t="shared" si="3"/>
        <v>0.000000018</v>
      </c>
      <c r="J272" s="63">
        <f t="shared" si="4"/>
        <v>0.000000018</v>
      </c>
      <c r="K272" s="62" t="b">
        <f t="shared" si="5"/>
        <v>0</v>
      </c>
      <c r="L272" s="62" t="b">
        <f t="shared" si="6"/>
        <v>0</v>
      </c>
      <c r="M272" s="60" t="str">
        <f>IFERROR(__xludf.DUMMYFUNCTION("if(regexmatch(B272,""e(.*)$""),regexextract(B272,""e(.*)$""),"""")"),"")</f>
        <v/>
      </c>
    </row>
    <row r="273" hidden="1">
      <c r="A273" s="17" t="s">
        <v>2653</v>
      </c>
      <c r="B273" s="17" t="s">
        <v>3456</v>
      </c>
      <c r="C273" s="17" t="s">
        <v>2655</v>
      </c>
      <c r="D273" s="17" t="s">
        <v>964</v>
      </c>
      <c r="E273" s="60" t="str">
        <f>VLOOKUP($A273,nist_names_ids!A:B,2,false)</f>
        <v>mup</v>
      </c>
      <c r="F273" s="61">
        <f>countif(Constants!A:A,E273)</f>
        <v>1</v>
      </c>
      <c r="G273" s="62" t="str">
        <f t="shared" si="1"/>
        <v>1.41060679736e-26</v>
      </c>
      <c r="H273" s="62">
        <f t="shared" si="2"/>
        <v>0</v>
      </c>
      <c r="I273" s="62" t="str">
        <f t="shared" si="3"/>
        <v>0.00000000060e-26</v>
      </c>
      <c r="J273" s="63">
        <f t="shared" si="4"/>
        <v>0</v>
      </c>
      <c r="K273" s="62" t="b">
        <f t="shared" si="5"/>
        <v>0</v>
      </c>
      <c r="L273" s="62" t="b">
        <f t="shared" si="6"/>
        <v>0</v>
      </c>
      <c r="M273" s="60" t="str">
        <f>IFERROR(__xludf.DUMMYFUNCTION("if(regexmatch(B273,""e(.*)$""),regexextract(B273,""e(.*)$""),"""")"),"-26")</f>
        <v>-26</v>
      </c>
    </row>
    <row r="274" hidden="1">
      <c r="A274" s="17" t="s">
        <v>2658</v>
      </c>
      <c r="B274" s="17" t="s">
        <v>3461</v>
      </c>
      <c r="C274" s="17" t="s">
        <v>3462</v>
      </c>
      <c r="E274" s="60" t="str">
        <f>VLOOKUP($A274,nist_names_ids!A:B,2,false)</f>
        <v>mupsmub</v>
      </c>
      <c r="F274" s="61">
        <f>countif(Constants!A:A,E274)</f>
        <v>1</v>
      </c>
      <c r="G274" s="62" t="str">
        <f t="shared" si="1"/>
        <v>1.52103220230e-3</v>
      </c>
      <c r="H274" s="62">
        <f t="shared" si="2"/>
        <v>0.001521032202</v>
      </c>
      <c r="I274" s="62" t="str">
        <f t="shared" si="3"/>
        <v>0.00000000046e-3</v>
      </c>
      <c r="J274" s="63">
        <f t="shared" si="4"/>
        <v>0</v>
      </c>
      <c r="K274" s="62" t="b">
        <f t="shared" si="5"/>
        <v>0</v>
      </c>
      <c r="L274" s="62" t="b">
        <f t="shared" si="6"/>
        <v>0</v>
      </c>
      <c r="M274" s="60" t="str">
        <f>IFERROR(__xludf.DUMMYFUNCTION("if(regexmatch(B274,""e(.*)$""),regexextract(B274,""e(.*)$""),"""")"),"-3")</f>
        <v>-3</v>
      </c>
    </row>
    <row r="275" hidden="1">
      <c r="A275" s="17" t="s">
        <v>2662</v>
      </c>
      <c r="B275" s="17" t="s">
        <v>3465</v>
      </c>
      <c r="C275" s="17" t="s">
        <v>2332</v>
      </c>
      <c r="E275" s="60" t="str">
        <f>VLOOKUP($A275,nist_names_ids!A:B,2,false)</f>
        <v>mupsmun</v>
      </c>
      <c r="F275" s="61">
        <f>countif(Constants!A:A,E275)</f>
        <v>1</v>
      </c>
      <c r="G275" s="62" t="str">
        <f t="shared" si="1"/>
        <v>2.79284734463</v>
      </c>
      <c r="H275" s="62">
        <f t="shared" si="2"/>
        <v>2.792847345</v>
      </c>
      <c r="I275" s="62" t="str">
        <f t="shared" si="3"/>
        <v>0.00000000082</v>
      </c>
      <c r="J275" s="63">
        <f t="shared" si="4"/>
        <v>0.00000000082</v>
      </c>
      <c r="K275" s="62" t="b">
        <f t="shared" si="5"/>
        <v>0</v>
      </c>
      <c r="L275" s="62" t="b">
        <f t="shared" si="6"/>
        <v>0</v>
      </c>
      <c r="M275" s="60" t="str">
        <f>IFERROR(__xludf.DUMMYFUNCTION("if(regexmatch(B275,""e(.*)$""),regexextract(B275,""e(.*)$""),"""")"),"")</f>
        <v/>
      </c>
    </row>
    <row r="276" hidden="1">
      <c r="A276" s="17" t="s">
        <v>2669</v>
      </c>
      <c r="B276" s="64" t="s">
        <v>3469</v>
      </c>
      <c r="C276" s="64" t="s">
        <v>3471</v>
      </c>
      <c r="E276" s="60" t="str">
        <f>VLOOKUP($A276,nist_names_ids!A:B,2,false)</f>
        <v>sigmapp</v>
      </c>
      <c r="F276" s="61">
        <f>countif(Constants!A:A,E276)</f>
        <v>1</v>
      </c>
      <c r="G276" s="62" t="str">
        <f t="shared" si="1"/>
        <v>2.5689e-5</v>
      </c>
      <c r="H276" s="62">
        <f t="shared" si="2"/>
        <v>0.000025689</v>
      </c>
      <c r="I276" s="62" t="str">
        <f t="shared" si="3"/>
        <v>0.0011e-5</v>
      </c>
      <c r="J276" s="63">
        <f t="shared" si="4"/>
        <v>0.000000011</v>
      </c>
      <c r="K276" s="62" t="b">
        <f t="shared" si="5"/>
        <v>0</v>
      </c>
      <c r="L276" s="62" t="b">
        <f t="shared" si="6"/>
        <v>0</v>
      </c>
      <c r="M276" s="60" t="str">
        <f>IFERROR(__xludf.DUMMYFUNCTION("if(regexmatch(B276,""e(.*)$""),regexextract(B276,""e(.*)$""),"""")"),"-5")</f>
        <v>-5</v>
      </c>
    </row>
    <row r="277" hidden="1">
      <c r="A277" s="17" t="s">
        <v>2673</v>
      </c>
      <c r="B277" s="17" t="s">
        <v>3476</v>
      </c>
      <c r="C277" s="17" t="s">
        <v>3477</v>
      </c>
      <c r="D277" s="17" t="s">
        <v>98</v>
      </c>
      <c r="E277" s="60" t="str">
        <f>VLOOKUP($A277,nist_names_ids!A:B,2,false)</f>
        <v>mp</v>
      </c>
      <c r="F277" s="61">
        <f>countif(Constants!A:A,E277)</f>
        <v>1</v>
      </c>
      <c r="G277" s="62" t="str">
        <f t="shared" si="1"/>
        <v>1.67262192369e-27</v>
      </c>
      <c r="H277" s="62">
        <f t="shared" si="2"/>
        <v>0</v>
      </c>
      <c r="I277" s="62" t="str">
        <f t="shared" si="3"/>
        <v>0.00000000051e-27</v>
      </c>
      <c r="J277" s="63">
        <f t="shared" si="4"/>
        <v>0</v>
      </c>
      <c r="K277" s="62" t="b">
        <f t="shared" si="5"/>
        <v>0</v>
      </c>
      <c r="L277" s="62" t="b">
        <f t="shared" si="6"/>
        <v>0</v>
      </c>
      <c r="M277" s="60" t="str">
        <f>IFERROR(__xludf.DUMMYFUNCTION("if(regexmatch(B277,""e(.*)$""),regexextract(B277,""e(.*)$""),"""")"),"-27")</f>
        <v>-27</v>
      </c>
    </row>
    <row r="278" hidden="1">
      <c r="A278" s="17" t="s">
        <v>2675</v>
      </c>
      <c r="B278" s="17" t="s">
        <v>3480</v>
      </c>
      <c r="C278" s="17" t="s">
        <v>1462</v>
      </c>
      <c r="D278" s="17" t="s">
        <v>173</v>
      </c>
      <c r="E278" s="60" t="str">
        <f>VLOOKUP($A278,nist_names_ids!A:B,2,false)</f>
        <v>mpc2</v>
      </c>
      <c r="F278" s="61">
        <f>countif(Constants!A:A,E278)</f>
        <v>1</v>
      </c>
      <c r="G278" s="62" t="str">
        <f t="shared" si="1"/>
        <v>1.50327761598e-10</v>
      </c>
      <c r="H278" s="62">
        <f t="shared" si="2"/>
        <v>0.0000000001503277616</v>
      </c>
      <c r="I278" s="62" t="str">
        <f t="shared" si="3"/>
        <v>0.00000000046e-10</v>
      </c>
      <c r="J278" s="63">
        <f t="shared" si="4"/>
        <v>0</v>
      </c>
      <c r="K278" s="62" t="b">
        <f t="shared" si="5"/>
        <v>0</v>
      </c>
      <c r="L278" s="62" t="b">
        <f t="shared" si="6"/>
        <v>0</v>
      </c>
      <c r="M278" s="60" t="str">
        <f>IFERROR(__xludf.DUMMYFUNCTION("if(regexmatch(B278,""e(.*)$""),regexextract(B278,""e(.*)$""),"""")"),"-10")</f>
        <v>-10</v>
      </c>
    </row>
    <row r="279" hidden="1">
      <c r="A279" s="17" t="s">
        <v>2682</v>
      </c>
      <c r="B279" s="17" t="s">
        <v>3483</v>
      </c>
      <c r="C279" s="17" t="s">
        <v>1465</v>
      </c>
      <c r="D279" s="17" t="s">
        <v>224</v>
      </c>
      <c r="E279" s="60" t="str">
        <f>VLOOKUP($A279,nist_names_ids!A:B,2,false)</f>
        <v>mpc2mev</v>
      </c>
      <c r="F279" s="61">
        <f>countif(Constants!A:A,E279)</f>
        <v>1</v>
      </c>
      <c r="G279" s="62" t="str">
        <f t="shared" si="1"/>
        <v>938.27208816</v>
      </c>
      <c r="H279" s="62">
        <f t="shared" si="2"/>
        <v>938.2720882</v>
      </c>
      <c r="I279" s="62" t="str">
        <f t="shared" si="3"/>
        <v>0.00000029</v>
      </c>
      <c r="J279" s="63">
        <f t="shared" si="4"/>
        <v>0.00000029</v>
      </c>
      <c r="K279" s="62" t="b">
        <f t="shared" si="5"/>
        <v>0</v>
      </c>
      <c r="L279" s="62" t="b">
        <f t="shared" si="6"/>
        <v>0</v>
      </c>
      <c r="M279" s="60" t="str">
        <f>IFERROR(__xludf.DUMMYFUNCTION("if(regexmatch(B279,""e(.*)$""),regexextract(B279,""e(.*)$""),"""")"),"")</f>
        <v/>
      </c>
    </row>
    <row r="280" hidden="1">
      <c r="A280" s="17" t="s">
        <v>2689</v>
      </c>
      <c r="B280" s="17" t="s">
        <v>3486</v>
      </c>
      <c r="C280" s="17" t="s">
        <v>2463</v>
      </c>
      <c r="D280" s="17" t="s">
        <v>249</v>
      </c>
      <c r="E280" s="60" t="str">
        <f>VLOOKUP($A280,nist_names_ids!A:B,2,false)</f>
        <v>mpu</v>
      </c>
      <c r="F280" s="61">
        <f>countif(Constants!A:A,E280)</f>
        <v>1</v>
      </c>
      <c r="G280" s="62" t="str">
        <f t="shared" si="1"/>
        <v>1.007276466621</v>
      </c>
      <c r="H280" s="62">
        <f t="shared" si="2"/>
        <v>1.007276467</v>
      </c>
      <c r="I280" s="62" t="str">
        <f t="shared" si="3"/>
        <v>0.000000000053</v>
      </c>
      <c r="J280" s="63">
        <f t="shared" si="4"/>
        <v>0</v>
      </c>
      <c r="K280" s="62" t="b">
        <f t="shared" si="5"/>
        <v>0</v>
      </c>
      <c r="L280" s="62" t="b">
        <f t="shared" si="6"/>
        <v>0</v>
      </c>
      <c r="M280" s="60" t="str">
        <f>IFERROR(__xludf.DUMMYFUNCTION("if(regexmatch(B280,""e(.*)$""),regexextract(B280,""e(.*)$""),"""")"),"")</f>
        <v/>
      </c>
    </row>
    <row r="281" hidden="1">
      <c r="A281" s="17" t="s">
        <v>2695</v>
      </c>
      <c r="B281" s="17" t="s">
        <v>3488</v>
      </c>
      <c r="C281" s="17" t="s">
        <v>2289</v>
      </c>
      <c r="D281" s="17" t="s">
        <v>286</v>
      </c>
      <c r="E281" s="60" t="str">
        <f>VLOOKUP($A281,nist_names_ids!A:B,2,false)</f>
        <v>mmp</v>
      </c>
      <c r="F281" s="61">
        <f>countif(Constants!A:A,E281)</f>
        <v>1</v>
      </c>
      <c r="G281" s="62" t="str">
        <f t="shared" si="1"/>
        <v>1.00727646627e-3</v>
      </c>
      <c r="H281" s="62">
        <f t="shared" si="2"/>
        <v>0.001007276466</v>
      </c>
      <c r="I281" s="62" t="str">
        <f t="shared" si="3"/>
        <v>0.00000000031e-3</v>
      </c>
      <c r="J281" s="63">
        <f t="shared" si="4"/>
        <v>0</v>
      </c>
      <c r="K281" s="62" t="b">
        <f t="shared" si="5"/>
        <v>0</v>
      </c>
      <c r="L281" s="62" t="b">
        <f t="shared" si="6"/>
        <v>0</v>
      </c>
      <c r="M281" s="60" t="str">
        <f>IFERROR(__xludf.DUMMYFUNCTION("if(regexmatch(B281,""e(.*)$""),regexextract(B281,""e(.*)$""),"""")"),"-3")</f>
        <v>-3</v>
      </c>
    </row>
    <row r="282" hidden="1">
      <c r="A282" s="17" t="s">
        <v>2697</v>
      </c>
      <c r="B282" s="17" t="s">
        <v>3491</v>
      </c>
      <c r="C282" s="17" t="s">
        <v>2348</v>
      </c>
      <c r="E282" s="60" t="str">
        <f>VLOOKUP($A282,nist_names_ids!A:B,2,false)</f>
        <v>mpsmmu</v>
      </c>
      <c r="F282" s="61">
        <f>countif(Constants!A:A,E282)</f>
        <v>1</v>
      </c>
      <c r="G282" s="62" t="str">
        <f t="shared" si="1"/>
        <v>8.88024337</v>
      </c>
      <c r="H282" s="62">
        <f t="shared" si="2"/>
        <v>8.88024337</v>
      </c>
      <c r="I282" s="62" t="str">
        <f t="shared" si="3"/>
        <v>0.00000020</v>
      </c>
      <c r="J282" s="63">
        <f t="shared" si="4"/>
        <v>0.0000002</v>
      </c>
      <c r="K282" s="62" t="b">
        <f t="shared" si="5"/>
        <v>0</v>
      </c>
      <c r="L282" s="62" t="b">
        <f t="shared" si="6"/>
        <v>0</v>
      </c>
      <c r="M282" s="60" t="str">
        <f>IFERROR(__xludf.DUMMYFUNCTION("if(regexmatch(B282,""e(.*)$""),regexextract(B282,""e(.*)$""),"""")"),"")</f>
        <v/>
      </c>
    </row>
    <row r="283" hidden="1">
      <c r="A283" s="17" t="s">
        <v>2700</v>
      </c>
      <c r="B283" s="17" t="s">
        <v>3494</v>
      </c>
      <c r="C283" s="17" t="s">
        <v>2702</v>
      </c>
      <c r="E283" s="60" t="str">
        <f>VLOOKUP($A283,nist_names_ids!A:B,2,false)</f>
        <v>mupsmunn</v>
      </c>
      <c r="F283" s="61">
        <f>countif(Constants!A:A,E283)</f>
        <v>1</v>
      </c>
      <c r="G283" s="62" t="str">
        <f t="shared" si="1"/>
        <v>-1.45989805</v>
      </c>
      <c r="H283" s="62">
        <f t="shared" si="2"/>
        <v>-1.45989805</v>
      </c>
      <c r="I283" s="62" t="str">
        <f t="shared" si="3"/>
        <v>0.00000034</v>
      </c>
      <c r="J283" s="63">
        <f t="shared" si="4"/>
        <v>0.00000034</v>
      </c>
      <c r="K283" s="62" t="b">
        <f t="shared" si="5"/>
        <v>0</v>
      </c>
      <c r="L283" s="62" t="b">
        <f t="shared" si="6"/>
        <v>0</v>
      </c>
      <c r="M283" s="60" t="str">
        <f>IFERROR(__xludf.DUMMYFUNCTION("if(regexmatch(B283,""e(.*)$""),regexextract(B283,""e(.*)$""),"""")"),"")</f>
        <v/>
      </c>
    </row>
    <row r="284" hidden="1">
      <c r="A284" s="17" t="s">
        <v>2705</v>
      </c>
      <c r="B284" s="17" t="s">
        <v>3497</v>
      </c>
      <c r="C284" s="17" t="s">
        <v>3338</v>
      </c>
      <c r="E284" s="60" t="str">
        <f>VLOOKUP($A284,nist_names_ids!A:B,2,false)</f>
        <v>mpsmn</v>
      </c>
      <c r="F284" s="61">
        <f>countif(Constants!A:A,E284)</f>
        <v>1</v>
      </c>
      <c r="G284" s="62" t="str">
        <f t="shared" si="1"/>
        <v>0.99862347812</v>
      </c>
      <c r="H284" s="62">
        <f t="shared" si="2"/>
        <v>0.9986234781</v>
      </c>
      <c r="I284" s="62" t="str">
        <f t="shared" si="3"/>
        <v>0.00000000049</v>
      </c>
      <c r="J284" s="63">
        <f t="shared" si="4"/>
        <v>0.00000000049</v>
      </c>
      <c r="K284" s="62" t="b">
        <f t="shared" si="5"/>
        <v>0</v>
      </c>
      <c r="L284" s="62" t="b">
        <f t="shared" si="6"/>
        <v>0</v>
      </c>
      <c r="M284" s="60" t="str">
        <f>IFERROR(__xludf.DUMMYFUNCTION("if(regexmatch(B284,""e(.*)$""),regexextract(B284,""e(.*)$""),"""")"),"")</f>
        <v/>
      </c>
    </row>
    <row r="285" hidden="1">
      <c r="A285" s="17" t="s">
        <v>2707</v>
      </c>
      <c r="B285" s="17" t="s">
        <v>3486</v>
      </c>
      <c r="C285" s="17" t="s">
        <v>2463</v>
      </c>
      <c r="E285" s="60" t="str">
        <f>VLOOKUP($A285,nist_names_ids!A:B,2,false)</f>
        <v>arp</v>
      </c>
      <c r="F285" s="61">
        <f>countif(Constants!A:A,E285)</f>
        <v>1</v>
      </c>
      <c r="G285" s="62" t="str">
        <f t="shared" si="1"/>
        <v>1.007276466621</v>
      </c>
      <c r="H285" s="62">
        <f t="shared" si="2"/>
        <v>1.007276467</v>
      </c>
      <c r="I285" s="62" t="str">
        <f t="shared" si="3"/>
        <v>0.000000000053</v>
      </c>
      <c r="J285" s="63">
        <f t="shared" si="4"/>
        <v>0</v>
      </c>
      <c r="K285" s="62" t="b">
        <f t="shared" si="5"/>
        <v>0</v>
      </c>
      <c r="L285" s="62" t="b">
        <f t="shared" si="6"/>
        <v>0</v>
      </c>
      <c r="M285" s="60" t="str">
        <f>IFERROR(__xludf.DUMMYFUNCTION("if(regexmatch(B285,""e(.*)$""),regexextract(B285,""e(.*)$""),"""")"),"")</f>
        <v/>
      </c>
    </row>
    <row r="286" hidden="1">
      <c r="A286" s="17" t="s">
        <v>2711</v>
      </c>
      <c r="B286" s="64" t="s">
        <v>3502</v>
      </c>
      <c r="C286" s="64" t="s">
        <v>3504</v>
      </c>
      <c r="D286" s="17" t="s">
        <v>381</v>
      </c>
      <c r="E286" s="60" t="str">
        <f>VLOOKUP($A286,nist_names_ids!A:B,2,false)</f>
        <v>rp</v>
      </c>
      <c r="F286" s="61">
        <f>countif(Constants!A:A,E286)</f>
        <v>1</v>
      </c>
      <c r="G286" s="62" t="str">
        <f t="shared" si="1"/>
        <v>8.414e-16</v>
      </c>
      <c r="H286" s="62">
        <f t="shared" si="2"/>
        <v>0</v>
      </c>
      <c r="I286" s="62" t="str">
        <f t="shared" si="3"/>
        <v>0.019e-16</v>
      </c>
      <c r="J286" s="63">
        <f t="shared" si="4"/>
        <v>0</v>
      </c>
      <c r="K286" s="62" t="b">
        <f t="shared" si="5"/>
        <v>0</v>
      </c>
      <c r="L286" s="62" t="b">
        <f t="shared" si="6"/>
        <v>0</v>
      </c>
      <c r="M286" s="60" t="str">
        <f>IFERROR(__xludf.DUMMYFUNCTION("if(regexmatch(B286,""e(.*)$""),regexextract(B286,""e(.*)$""),"""")"),"-16")</f>
        <v>-16</v>
      </c>
    </row>
    <row r="287" hidden="1">
      <c r="A287" s="17" t="s">
        <v>2715</v>
      </c>
      <c r="B287" s="17" t="s">
        <v>3509</v>
      </c>
      <c r="C287" s="17" t="s">
        <v>2553</v>
      </c>
      <c r="E287" s="60" t="str">
        <f>VLOOKUP($A287,nist_names_ids!A:B,2,false)</f>
        <v>mpsmtau</v>
      </c>
      <c r="F287" s="61">
        <f>countif(Constants!A:A,E287)</f>
        <v>1</v>
      </c>
      <c r="G287" s="62" t="str">
        <f t="shared" si="1"/>
        <v>0.528051</v>
      </c>
      <c r="H287" s="62">
        <f t="shared" si="2"/>
        <v>0.528051</v>
      </c>
      <c r="I287" s="62" t="str">
        <f t="shared" si="3"/>
        <v>0.000036</v>
      </c>
      <c r="J287" s="63">
        <f t="shared" si="4"/>
        <v>0.000036</v>
      </c>
      <c r="K287" s="62" t="b">
        <f t="shared" si="5"/>
        <v>0</v>
      </c>
      <c r="L287" s="62" t="b">
        <f t="shared" si="6"/>
        <v>0</v>
      </c>
      <c r="M287" s="60" t="str">
        <f>IFERROR(__xludf.DUMMYFUNCTION("if(regexmatch(B287,""e(.*)$""),regexextract(B287,""e(.*)$""),"""")"),"")</f>
        <v/>
      </c>
    </row>
    <row r="288" hidden="1">
      <c r="A288" s="17" t="s">
        <v>2719</v>
      </c>
      <c r="B288" s="17" t="s">
        <v>3511</v>
      </c>
      <c r="C288" s="17" t="s">
        <v>2588</v>
      </c>
      <c r="D288" s="17" t="s">
        <v>2721</v>
      </c>
      <c r="E288" s="60" t="str">
        <f>VLOOKUP($A288,nist_names_ids!A:B,2,false)</f>
        <v>qucirchs2me</v>
      </c>
      <c r="F288" s="61">
        <f>countif(Constants!A:A,E288)</f>
        <v>1</v>
      </c>
      <c r="G288" s="62" t="str">
        <f t="shared" si="1"/>
        <v>3.6369475516e-4</v>
      </c>
      <c r="H288" s="62">
        <f t="shared" si="2"/>
        <v>0.0003636947552</v>
      </c>
      <c r="I288" s="62" t="str">
        <f t="shared" si="3"/>
        <v>0.0000000011e-4</v>
      </c>
      <c r="J288" s="63">
        <f t="shared" si="4"/>
        <v>0</v>
      </c>
      <c r="K288" s="62" t="b">
        <f t="shared" si="5"/>
        <v>0</v>
      </c>
      <c r="L288" s="62" t="b">
        <f t="shared" si="6"/>
        <v>0</v>
      </c>
      <c r="M288" s="60" t="str">
        <f>IFERROR(__xludf.DUMMYFUNCTION("if(regexmatch(B288,""e(.*)$""),regexextract(B288,""e(.*)$""),"""")"),"-4")</f>
        <v>-4</v>
      </c>
    </row>
    <row r="289" hidden="1">
      <c r="A289" s="17" t="s">
        <v>2727</v>
      </c>
      <c r="B289" s="17" t="s">
        <v>3513</v>
      </c>
      <c r="C289" s="17" t="s">
        <v>1880</v>
      </c>
      <c r="D289" s="17" t="s">
        <v>2721</v>
      </c>
      <c r="E289" s="60" t="str">
        <f>VLOOKUP($A289,nist_names_ids!A:B,2,false)</f>
        <v>hsme</v>
      </c>
      <c r="F289" s="61">
        <f>countif(Constants!A:A,E289)</f>
        <v>1</v>
      </c>
      <c r="G289" s="62" t="str">
        <f t="shared" si="1"/>
        <v>7.2738951032e-4</v>
      </c>
      <c r="H289" s="62">
        <f t="shared" si="2"/>
        <v>0.0007273895103</v>
      </c>
      <c r="I289" s="62" t="str">
        <f t="shared" si="3"/>
        <v>0.0000000022e-4</v>
      </c>
      <c r="J289" s="63">
        <f t="shared" si="4"/>
        <v>0</v>
      </c>
      <c r="K289" s="62" t="b">
        <f t="shared" si="5"/>
        <v>0</v>
      </c>
      <c r="L289" s="62" t="b">
        <f t="shared" si="6"/>
        <v>0</v>
      </c>
      <c r="M289" s="60" t="str">
        <f>IFERROR(__xludf.DUMMYFUNCTION("if(regexmatch(B289,""e(.*)$""),regexextract(B289,""e(.*)$""),"""")"),"-4")</f>
        <v>-4</v>
      </c>
    </row>
    <row r="290" hidden="1">
      <c r="A290" s="17" t="s">
        <v>2732</v>
      </c>
      <c r="B290" s="17" t="s">
        <v>3286</v>
      </c>
      <c r="C290" s="17" t="s">
        <v>2412</v>
      </c>
      <c r="D290" s="17" t="s">
        <v>381</v>
      </c>
      <c r="E290" s="60" t="str">
        <f>VLOOKUP($A290,nist_names_ids!A:B,2,false)</f>
        <v>ecomwlbar</v>
      </c>
      <c r="F290" s="61">
        <f>countif(Constants!A:A,E290)</f>
        <v>1</v>
      </c>
      <c r="G290" s="62" t="str">
        <f t="shared" si="1"/>
        <v>3.8615926796e-13</v>
      </c>
      <c r="H290" s="62">
        <f t="shared" si="2"/>
        <v>0</v>
      </c>
      <c r="I290" s="62" t="str">
        <f t="shared" si="3"/>
        <v>0.0000000012e-13</v>
      </c>
      <c r="J290" s="63">
        <f t="shared" si="4"/>
        <v>0</v>
      </c>
      <c r="K290" s="62" t="b">
        <f t="shared" si="5"/>
        <v>0</v>
      </c>
      <c r="L290" s="62" t="b">
        <f t="shared" si="6"/>
        <v>0</v>
      </c>
      <c r="M290" s="60" t="str">
        <f>IFERROR(__xludf.DUMMYFUNCTION("if(regexmatch(B290,""e(.*)$""),regexextract(B290,""e(.*)$""),"""")"),"-13")</f>
        <v>-13</v>
      </c>
    </row>
    <row r="291" hidden="1">
      <c r="A291" s="17" t="s">
        <v>2735</v>
      </c>
      <c r="B291" s="17" t="s">
        <v>3518</v>
      </c>
      <c r="C291" s="17" t="s">
        <v>2737</v>
      </c>
      <c r="D291" s="17" t="s">
        <v>381</v>
      </c>
      <c r="E291" s="60" t="str">
        <f>VLOOKUP($A291,nist_names_ids!A:B,2,false)</f>
        <v>mcomwlbar</v>
      </c>
      <c r="F291" s="61">
        <f>countif(Constants!A:A,E291)</f>
        <v>1</v>
      </c>
      <c r="G291" s="62" t="str">
        <f t="shared" si="1"/>
        <v>1.867594306e-15</v>
      </c>
      <c r="H291" s="62">
        <f t="shared" si="2"/>
        <v>0</v>
      </c>
      <c r="I291" s="62" t="str">
        <f t="shared" si="3"/>
        <v>0.000000042e-15</v>
      </c>
      <c r="J291" s="63">
        <f t="shared" si="4"/>
        <v>0</v>
      </c>
      <c r="K291" s="62" t="b">
        <f t="shared" si="5"/>
        <v>0</v>
      </c>
      <c r="L291" s="62" t="b">
        <f t="shared" si="6"/>
        <v>0</v>
      </c>
      <c r="M291" s="60" t="str">
        <f>IFERROR(__xludf.DUMMYFUNCTION("if(regexmatch(B291,""e(.*)$""),regexextract(B291,""e(.*)$""),"""")"),"-15")</f>
        <v>-15</v>
      </c>
    </row>
    <row r="292" hidden="1">
      <c r="A292" s="17" t="s">
        <v>2741</v>
      </c>
      <c r="B292" s="17" t="s">
        <v>3521</v>
      </c>
      <c r="C292" s="17" t="s">
        <v>3522</v>
      </c>
      <c r="D292" s="17" t="s">
        <v>381</v>
      </c>
      <c r="E292" s="60" t="str">
        <f>VLOOKUP($A292,nist_names_ids!A:B,2,false)</f>
        <v>ncomwlbar</v>
      </c>
      <c r="F292" s="61">
        <f>countif(Constants!A:A,E292)</f>
        <v>1</v>
      </c>
      <c r="G292" s="62" t="str">
        <f t="shared" si="1"/>
        <v>2.1001941552e-16</v>
      </c>
      <c r="H292" s="62">
        <f t="shared" si="2"/>
        <v>0</v>
      </c>
      <c r="I292" s="62" t="str">
        <f t="shared" si="3"/>
        <v>0.0000000012e-16</v>
      </c>
      <c r="J292" s="63">
        <f t="shared" si="4"/>
        <v>0</v>
      </c>
      <c r="K292" s="62" t="b">
        <f t="shared" si="5"/>
        <v>0</v>
      </c>
      <c r="L292" s="62" t="b">
        <f t="shared" si="6"/>
        <v>0</v>
      </c>
      <c r="M292" s="60" t="str">
        <f>IFERROR(__xludf.DUMMYFUNCTION("if(regexmatch(B292,""e(.*)$""),regexextract(B292,""e(.*)$""),"""")"),"-16")</f>
        <v>-16</v>
      </c>
    </row>
    <row r="293">
      <c r="A293" s="17" t="s">
        <v>2746</v>
      </c>
      <c r="B293" s="17" t="s">
        <v>2420</v>
      </c>
      <c r="C293" s="17" t="s">
        <v>1501</v>
      </c>
      <c r="D293" s="17" t="s">
        <v>714</v>
      </c>
      <c r="E293" s="60" t="str">
        <f>VLOOKUP($A293,nist_names_ids!A:B,2,false)</f>
        <v>hbar</v>
      </c>
      <c r="F293" s="61">
        <f>countif(Constants!A:A,E293)</f>
        <v>1</v>
      </c>
      <c r="G293" s="62" t="str">
        <f t="shared" si="1"/>
        <v>1.054571817e-34</v>
      </c>
      <c r="H293" s="62">
        <f t="shared" si="2"/>
        <v>0</v>
      </c>
      <c r="I293" s="62" t="str">
        <f t="shared" si="3"/>
        <v>(exact)</v>
      </c>
      <c r="J293" s="63" t="str">
        <f t="shared" si="4"/>
        <v/>
      </c>
      <c r="K293" s="62" t="b">
        <f t="shared" si="5"/>
        <v>1</v>
      </c>
      <c r="L293" s="62" t="b">
        <f t="shared" si="6"/>
        <v>1</v>
      </c>
      <c r="M293" s="60" t="str">
        <f>IFERROR(__xludf.DUMMYFUNCTION("if(regexmatch(B293,""e(.*)$""),regexextract(B293,""e(.*)$""),"""")"),"-34")</f>
        <v>-34</v>
      </c>
    </row>
    <row r="294">
      <c r="A294" s="17" t="s">
        <v>2749</v>
      </c>
      <c r="B294" s="17" t="s">
        <v>3282</v>
      </c>
      <c r="C294" s="17" t="s">
        <v>1501</v>
      </c>
      <c r="D294" s="17" t="s">
        <v>2402</v>
      </c>
      <c r="E294" s="60" t="str">
        <f>VLOOKUP($A294,nist_names_ids!A:B,2,false)</f>
        <v>hbarev</v>
      </c>
      <c r="F294" s="61">
        <f>countif(Constants!A:A,E294)</f>
        <v>1</v>
      </c>
      <c r="G294" s="62" t="str">
        <f t="shared" si="1"/>
        <v>6.582119569e-16</v>
      </c>
      <c r="H294" s="62">
        <f t="shared" si="2"/>
        <v>0</v>
      </c>
      <c r="I294" s="62" t="str">
        <f t="shared" si="3"/>
        <v>(exact)</v>
      </c>
      <c r="J294" s="63" t="str">
        <f t="shared" si="4"/>
        <v/>
      </c>
      <c r="K294" s="62" t="b">
        <f t="shared" si="5"/>
        <v>1</v>
      </c>
      <c r="L294" s="62" t="b">
        <f t="shared" si="6"/>
        <v>1</v>
      </c>
      <c r="M294" s="60" t="str">
        <f>IFERROR(__xludf.DUMMYFUNCTION("if(regexmatch(B294,""e(.*)$""),regexextract(B294,""e(.*)$""),"""")"),"-16")</f>
        <v>-16</v>
      </c>
    </row>
    <row r="295">
      <c r="A295" s="17" t="s">
        <v>2752</v>
      </c>
      <c r="B295" s="17" t="s">
        <v>3537</v>
      </c>
      <c r="C295" s="17" t="s">
        <v>1501</v>
      </c>
      <c r="D295" s="17" t="s">
        <v>2754</v>
      </c>
      <c r="E295" s="60" t="str">
        <f>VLOOKUP($A295,nist_names_ids!A:B,2,false)</f>
        <v>hbcmevf</v>
      </c>
      <c r="F295" s="61">
        <f>countif(Constants!A:A,E295)</f>
        <v>1</v>
      </c>
      <c r="G295" s="62" t="str">
        <f t="shared" si="1"/>
        <v>197.3269804</v>
      </c>
      <c r="H295" s="62">
        <f t="shared" si="2"/>
        <v>197.3269804</v>
      </c>
      <c r="I295" s="62" t="str">
        <f t="shared" si="3"/>
        <v>(exact)</v>
      </c>
      <c r="J295" s="63" t="str">
        <f t="shared" si="4"/>
        <v/>
      </c>
      <c r="K295" s="62" t="b">
        <f t="shared" si="5"/>
        <v>1</v>
      </c>
      <c r="L295" s="62" t="b">
        <f t="shared" si="6"/>
        <v>1</v>
      </c>
      <c r="M295" s="60" t="str">
        <f>IFERROR(__xludf.DUMMYFUNCTION("if(regexmatch(B295,""e(.*)$""),regexextract(B295,""e(.*)$""),"""")"),"")</f>
        <v/>
      </c>
    </row>
    <row r="296" hidden="1">
      <c r="A296" s="17" t="s">
        <v>2757</v>
      </c>
      <c r="B296" s="17" t="s">
        <v>3540</v>
      </c>
      <c r="C296" s="17" t="s">
        <v>3541</v>
      </c>
      <c r="D296" s="17" t="s">
        <v>381</v>
      </c>
      <c r="E296" s="60" t="str">
        <f>VLOOKUP($A296,nist_names_ids!A:B,2,false)</f>
        <v>pcomwlbar</v>
      </c>
      <c r="F296" s="61">
        <f>countif(Constants!A:A,E296)</f>
        <v>1</v>
      </c>
      <c r="G296" s="62" t="str">
        <f t="shared" si="1"/>
        <v>2.10308910336e-16</v>
      </c>
      <c r="H296" s="62">
        <f t="shared" si="2"/>
        <v>0</v>
      </c>
      <c r="I296" s="62" t="str">
        <f t="shared" si="3"/>
        <v>0.00000000064e-16</v>
      </c>
      <c r="J296" s="63">
        <f t="shared" si="4"/>
        <v>0</v>
      </c>
      <c r="K296" s="62" t="b">
        <f t="shared" si="5"/>
        <v>0</v>
      </c>
      <c r="L296" s="62" t="b">
        <f t="shared" si="6"/>
        <v>0</v>
      </c>
      <c r="M296" s="60" t="str">
        <f>IFERROR(__xludf.DUMMYFUNCTION("if(regexmatch(B296,""e(.*)$""),regexextract(B296,""e(.*)$""),"""")"),"-16")</f>
        <v>-16</v>
      </c>
    </row>
    <row r="297" hidden="1">
      <c r="A297" s="17" t="s">
        <v>2765</v>
      </c>
      <c r="B297" s="17" t="s">
        <v>3544</v>
      </c>
      <c r="C297" s="17" t="s">
        <v>2767</v>
      </c>
      <c r="D297" s="17" t="s">
        <v>381</v>
      </c>
      <c r="E297" s="60" t="str">
        <f>VLOOKUP($A297,nist_names_ids!A:B,2,false)</f>
        <v>tcomwlbar</v>
      </c>
      <c r="F297" s="61">
        <f>countif(Constants!A:A,E297)</f>
        <v>1</v>
      </c>
      <c r="G297" s="62" t="str">
        <f t="shared" si="1"/>
        <v>1.110538e-16</v>
      </c>
      <c r="H297" s="62">
        <f t="shared" si="2"/>
        <v>0</v>
      </c>
      <c r="I297" s="62" t="str">
        <f t="shared" si="3"/>
        <v>0.000075e-16</v>
      </c>
      <c r="J297" s="63">
        <f t="shared" si="4"/>
        <v>0</v>
      </c>
      <c r="K297" s="62" t="b">
        <f t="shared" si="5"/>
        <v>0</v>
      </c>
      <c r="L297" s="62" t="b">
        <f t="shared" si="6"/>
        <v>0</v>
      </c>
      <c r="M297" s="60" t="str">
        <f>IFERROR(__xludf.DUMMYFUNCTION("if(regexmatch(B297,""e(.*)$""),regexextract(B297,""e(.*)$""),"""")"),"-16")</f>
        <v>-16</v>
      </c>
    </row>
    <row r="298" hidden="1">
      <c r="A298" s="17" t="s">
        <v>2769</v>
      </c>
      <c r="B298" s="17" t="s">
        <v>3545</v>
      </c>
      <c r="C298" s="17" t="s">
        <v>3546</v>
      </c>
      <c r="D298" s="17" t="s">
        <v>561</v>
      </c>
      <c r="E298" s="60" t="str">
        <f>VLOOKUP($A298,nist_names_ids!A:B,2,false)</f>
        <v>ryd</v>
      </c>
      <c r="F298" s="61">
        <f>countif(Constants!A:A,E298)</f>
        <v>1</v>
      </c>
      <c r="G298" s="62" t="str">
        <f t="shared" si="1"/>
        <v>10973731.568160</v>
      </c>
      <c r="H298" s="62">
        <f t="shared" si="2"/>
        <v>10973731.57</v>
      </c>
      <c r="I298" s="62" t="str">
        <f t="shared" si="3"/>
        <v>0.000021</v>
      </c>
      <c r="J298" s="63">
        <f t="shared" si="4"/>
        <v>0.000021</v>
      </c>
      <c r="K298" s="62" t="b">
        <f t="shared" si="5"/>
        <v>0</v>
      </c>
      <c r="L298" s="62" t="b">
        <f t="shared" si="6"/>
        <v>0</v>
      </c>
      <c r="M298" s="60" t="str">
        <f>IFERROR(__xludf.DUMMYFUNCTION("if(regexmatch(B298,""e(.*)$""),regexextract(B298,""e(.*)$""),"""")"),"")</f>
        <v/>
      </c>
    </row>
    <row r="299" hidden="1">
      <c r="A299" s="17" t="s">
        <v>2774</v>
      </c>
      <c r="B299" s="17" t="s">
        <v>3548</v>
      </c>
      <c r="C299" s="17" t="s">
        <v>3549</v>
      </c>
      <c r="D299" s="17" t="s">
        <v>257</v>
      </c>
      <c r="E299" s="60" t="str">
        <f>VLOOKUP($A299,nist_names_ids!A:B,2,false)</f>
        <v>rydchz</v>
      </c>
      <c r="F299" s="61">
        <f>countif(Constants!A:A,E299)</f>
        <v>1</v>
      </c>
      <c r="G299" s="62" t="str">
        <f t="shared" si="1"/>
        <v>3.2898419602508e15</v>
      </c>
      <c r="H299" s="62">
        <f t="shared" si="2"/>
        <v>3.28984E+15</v>
      </c>
      <c r="I299" s="62" t="str">
        <f t="shared" si="3"/>
        <v>0.0000000000064e15</v>
      </c>
      <c r="J299" s="63">
        <f t="shared" si="4"/>
        <v>6400</v>
      </c>
      <c r="K299" s="62" t="b">
        <f t="shared" si="5"/>
        <v>0</v>
      </c>
      <c r="L299" s="62" t="b">
        <f t="shared" si="6"/>
        <v>0</v>
      </c>
      <c r="M299" s="60" t="str">
        <f>IFERROR(__xludf.DUMMYFUNCTION("if(regexmatch(B299,""e(.*)$""),regexextract(B299,""e(.*)$""),"""")"),"15")</f>
        <v>15</v>
      </c>
    </row>
    <row r="300" hidden="1">
      <c r="A300" s="17" t="s">
        <v>2780</v>
      </c>
      <c r="B300" s="17" t="s">
        <v>3552</v>
      </c>
      <c r="C300" s="17" t="s">
        <v>3553</v>
      </c>
      <c r="D300" s="17" t="s">
        <v>181</v>
      </c>
      <c r="E300" s="60" t="str">
        <f>VLOOKUP($A300,nist_names_ids!A:B,2,false)</f>
        <v>rydhcev</v>
      </c>
      <c r="F300" s="61">
        <f>countif(Constants!A:A,E300)</f>
        <v>1</v>
      </c>
      <c r="G300" s="62" t="str">
        <f t="shared" si="1"/>
        <v>13.605693122994</v>
      </c>
      <c r="H300" s="62">
        <f t="shared" si="2"/>
        <v>13.60569312</v>
      </c>
      <c r="I300" s="62" t="str">
        <f t="shared" si="3"/>
        <v>0.000000000026</v>
      </c>
      <c r="J300" s="63">
        <f t="shared" si="4"/>
        <v>0</v>
      </c>
      <c r="K300" s="62" t="b">
        <f t="shared" si="5"/>
        <v>0</v>
      </c>
      <c r="L300" s="62" t="b">
        <f t="shared" si="6"/>
        <v>0</v>
      </c>
      <c r="M300" s="60" t="str">
        <f>IFERROR(__xludf.DUMMYFUNCTION("if(regexmatch(B300,""e(.*)$""),regexextract(B300,""e(.*)$""),"""")"),"")</f>
        <v/>
      </c>
    </row>
    <row r="301" hidden="1">
      <c r="A301" s="17" t="s">
        <v>2784</v>
      </c>
      <c r="B301" s="17" t="s">
        <v>3564</v>
      </c>
      <c r="C301" s="17" t="s">
        <v>3565</v>
      </c>
      <c r="D301" s="17" t="s">
        <v>173</v>
      </c>
      <c r="E301" s="60" t="str">
        <f>VLOOKUP($A301,nist_names_ids!A:B,2,false)</f>
        <v>rydhcj</v>
      </c>
      <c r="F301" s="61">
        <f>countif(Constants!A:A,E301)</f>
        <v>1</v>
      </c>
      <c r="G301" s="62" t="str">
        <f t="shared" si="1"/>
        <v>2.1798723611035e-18</v>
      </c>
      <c r="H301" s="62">
        <f t="shared" si="2"/>
        <v>0</v>
      </c>
      <c r="I301" s="62" t="str">
        <f t="shared" si="3"/>
        <v>0.0000000000042e-18</v>
      </c>
      <c r="J301" s="63">
        <f t="shared" si="4"/>
        <v>0</v>
      </c>
      <c r="K301" s="62" t="b">
        <f t="shared" si="5"/>
        <v>0</v>
      </c>
      <c r="L301" s="62" t="b">
        <f t="shared" si="6"/>
        <v>0</v>
      </c>
      <c r="M301" s="60" t="str">
        <f>IFERROR(__xludf.DUMMYFUNCTION("if(regexmatch(B301,""e(.*)$""),regexextract(B301,""e(.*)$""),"""")"),"-18")</f>
        <v>-18</v>
      </c>
    </row>
    <row r="302" hidden="1">
      <c r="A302" s="17" t="s">
        <v>2788</v>
      </c>
      <c r="B302" s="17" t="s">
        <v>3567</v>
      </c>
      <c r="C302" s="17" t="s">
        <v>3568</v>
      </c>
      <c r="E302" s="60" t="str">
        <f>VLOOKUP($A302,nist_names_ids!A:B,2,false)</f>
        <v>s0sr</v>
      </c>
      <c r="F302" s="61">
        <f>countif(Constants!A:A,E302)</f>
        <v>1</v>
      </c>
      <c r="G302" s="62" t="str">
        <f t="shared" si="1"/>
        <v>-1.15170753706</v>
      </c>
      <c r="H302" s="62">
        <f t="shared" si="2"/>
        <v>-1.151707537</v>
      </c>
      <c r="I302" s="62" t="str">
        <f t="shared" si="3"/>
        <v>0.00000000045</v>
      </c>
      <c r="J302" s="63">
        <f t="shared" si="4"/>
        <v>0.00000000045</v>
      </c>
      <c r="K302" s="62" t="b">
        <f t="shared" si="5"/>
        <v>0</v>
      </c>
      <c r="L302" s="62" t="b">
        <f t="shared" si="6"/>
        <v>0</v>
      </c>
      <c r="M302" s="60" t="str">
        <f>IFERROR(__xludf.DUMMYFUNCTION("if(regexmatch(B302,""e(.*)$""),regexextract(B302,""e(.*)$""),"""")"),"")</f>
        <v/>
      </c>
    </row>
    <row r="303" hidden="1">
      <c r="A303" s="17" t="s">
        <v>2795</v>
      </c>
      <c r="B303" s="17" t="s">
        <v>3572</v>
      </c>
      <c r="C303" s="17" t="s">
        <v>3568</v>
      </c>
      <c r="E303" s="60" t="str">
        <f>VLOOKUP($A303,nist_names_ids!A:B,2,false)</f>
        <v>s0srstd</v>
      </c>
      <c r="F303" s="61">
        <f>countif(Constants!A:A,E303)</f>
        <v>1</v>
      </c>
      <c r="G303" s="62" t="str">
        <f t="shared" si="1"/>
        <v>-1.16487052358</v>
      </c>
      <c r="H303" s="62">
        <f t="shared" si="2"/>
        <v>-1.164870524</v>
      </c>
      <c r="I303" s="62" t="str">
        <f t="shared" si="3"/>
        <v>0.00000000045</v>
      </c>
      <c r="J303" s="63">
        <f t="shared" si="4"/>
        <v>0.00000000045</v>
      </c>
      <c r="K303" s="62" t="b">
        <f t="shared" si="5"/>
        <v>0</v>
      </c>
      <c r="L303" s="62" t="b">
        <f t="shared" si="6"/>
        <v>0</v>
      </c>
      <c r="M303" s="60" t="str">
        <f>IFERROR(__xludf.DUMMYFUNCTION("if(regexmatch(B303,""e(.*)$""),regexextract(B303,""e(.*)$""),"""")"),"")</f>
        <v/>
      </c>
    </row>
    <row r="304">
      <c r="A304" s="17" t="s">
        <v>2799</v>
      </c>
      <c r="B304" s="17" t="s">
        <v>3113</v>
      </c>
      <c r="C304" s="17" t="s">
        <v>1501</v>
      </c>
      <c r="D304" s="17" t="s">
        <v>2800</v>
      </c>
      <c r="E304" s="60" t="str">
        <f>VLOOKUP($A304,nist_names_ids!A:B,2,false)</f>
        <v>c22ndrc</v>
      </c>
      <c r="F304" s="61">
        <f>countif(Constants!A:A,E304)</f>
        <v>1</v>
      </c>
      <c r="G304" s="62" t="str">
        <f t="shared" si="1"/>
        <v>1.438776877e-2</v>
      </c>
      <c r="H304" s="62">
        <f t="shared" si="2"/>
        <v>0.01438776877</v>
      </c>
      <c r="I304" s="62" t="str">
        <f t="shared" si="3"/>
        <v>(exact)</v>
      </c>
      <c r="J304" s="63" t="str">
        <f t="shared" si="4"/>
        <v/>
      </c>
      <c r="K304" s="62" t="b">
        <f t="shared" si="5"/>
        <v>1</v>
      </c>
      <c r="L304" s="62" t="b">
        <f t="shared" si="6"/>
        <v>1</v>
      </c>
      <c r="M304" s="60" t="str">
        <f>IFERROR(__xludf.DUMMYFUNCTION("if(regexmatch(B304,""e(.*)$""),regexextract(B304,""e(.*)$""),"""")"),"-2")</f>
        <v>-2</v>
      </c>
    </row>
    <row r="305" hidden="1">
      <c r="A305" s="17" t="s">
        <v>2802</v>
      </c>
      <c r="B305" s="17" t="s">
        <v>3577</v>
      </c>
      <c r="C305" s="17" t="s">
        <v>3578</v>
      </c>
      <c r="D305" s="17" t="s">
        <v>1717</v>
      </c>
      <c r="E305" s="60" t="str">
        <f>VLOOKUP($A305,nist_names_ids!A:B,2,false)</f>
        <v>gammahp</v>
      </c>
      <c r="F305" s="61">
        <f>countif(Constants!A:A,E305)</f>
        <v>1</v>
      </c>
      <c r="G305" s="62" t="str">
        <f t="shared" si="1"/>
        <v>2.037894569e8</v>
      </c>
      <c r="H305" s="62">
        <f t="shared" si="2"/>
        <v>203789456.9</v>
      </c>
      <c r="I305" s="62" t="str">
        <f t="shared" si="3"/>
        <v>0.000000024e8</v>
      </c>
      <c r="J305" s="63">
        <f t="shared" si="4"/>
        <v>2.4</v>
      </c>
      <c r="K305" s="62" t="b">
        <f t="shared" si="5"/>
        <v>0</v>
      </c>
      <c r="L305" s="62" t="b">
        <f t="shared" si="6"/>
        <v>0</v>
      </c>
      <c r="M305" s="60" t="str">
        <f>IFERROR(__xludf.DUMMYFUNCTION("if(regexmatch(B305,""e(.*)$""),regexextract(B305,""e(.*)$""),"""")"),"8")</f>
        <v>8</v>
      </c>
    </row>
    <row r="306" hidden="1">
      <c r="A306" s="17" t="s">
        <v>2810</v>
      </c>
      <c r="B306" s="17" t="s">
        <v>3585</v>
      </c>
      <c r="C306" s="17" t="s">
        <v>2534</v>
      </c>
      <c r="D306" s="17" t="s">
        <v>1733</v>
      </c>
      <c r="E306" s="60" t="str">
        <f>VLOOKUP($A306,nist_names_ids!A:B,2,false)</f>
        <v>gammahpbar</v>
      </c>
      <c r="F306" s="61">
        <f>countif(Constants!A:A,E306)</f>
        <v>1</v>
      </c>
      <c r="G306" s="62" t="str">
        <f t="shared" si="1"/>
        <v>32.43409942</v>
      </c>
      <c r="H306" s="62">
        <f t="shared" si="2"/>
        <v>32.43409942</v>
      </c>
      <c r="I306" s="62" t="str">
        <f t="shared" si="3"/>
        <v>0.00000038</v>
      </c>
      <c r="J306" s="63">
        <f t="shared" si="4"/>
        <v>0.00000038</v>
      </c>
      <c r="K306" s="62" t="b">
        <f t="shared" si="5"/>
        <v>0</v>
      </c>
      <c r="L306" s="62" t="b">
        <f t="shared" si="6"/>
        <v>0</v>
      </c>
      <c r="M306" s="60" t="str">
        <f>IFERROR(__xludf.DUMMYFUNCTION("if(regexmatch(B306,""e(.*)$""),regexextract(B306,""e(.*)$""),"""")"),"")</f>
        <v/>
      </c>
    </row>
    <row r="307" hidden="1">
      <c r="A307" s="17" t="s">
        <v>2814</v>
      </c>
      <c r="B307" s="17" t="s">
        <v>3588</v>
      </c>
      <c r="C307" s="17" t="s">
        <v>3034</v>
      </c>
      <c r="D307" s="17" t="s">
        <v>964</v>
      </c>
      <c r="E307" s="60" t="str">
        <f>VLOOKUP($A307,nist_names_ids!A:B,2,false)</f>
        <v>muhp</v>
      </c>
      <c r="F307" s="61">
        <f>countif(Constants!A:A,E307)</f>
        <v>1</v>
      </c>
      <c r="G307" s="62" t="str">
        <f t="shared" si="1"/>
        <v>-1.074553090e-26</v>
      </c>
      <c r="H307" s="62">
        <f t="shared" si="2"/>
        <v>0</v>
      </c>
      <c r="I307" s="62" t="str">
        <f t="shared" si="3"/>
        <v>0.000000013e-26</v>
      </c>
      <c r="J307" s="63">
        <f t="shared" si="4"/>
        <v>0</v>
      </c>
      <c r="K307" s="62" t="b">
        <f t="shared" si="5"/>
        <v>0</v>
      </c>
      <c r="L307" s="62" t="b">
        <f t="shared" si="6"/>
        <v>0</v>
      </c>
      <c r="M307" s="60" t="str">
        <f>IFERROR(__xludf.DUMMYFUNCTION("if(regexmatch(B307,""e(.*)$""),regexextract(B307,""e(.*)$""),"""")"),"-26")</f>
        <v>-26</v>
      </c>
    </row>
    <row r="308" hidden="1">
      <c r="A308" s="17" t="s">
        <v>2817</v>
      </c>
      <c r="B308" s="17" t="s">
        <v>3589</v>
      </c>
      <c r="C308" s="17" t="s">
        <v>3036</v>
      </c>
      <c r="E308" s="60" t="str">
        <f>VLOOKUP($A308,nist_names_ids!A:B,2,false)</f>
        <v>muhpsmub</v>
      </c>
      <c r="F308" s="61">
        <f>countif(Constants!A:A,E308)</f>
        <v>1</v>
      </c>
      <c r="G308" s="62" t="str">
        <f t="shared" si="1"/>
        <v>-1.158671471e-3</v>
      </c>
      <c r="H308" s="62">
        <f t="shared" si="2"/>
        <v>-0.001158671471</v>
      </c>
      <c r="I308" s="62" t="str">
        <f t="shared" si="3"/>
        <v>0.000000014e-3</v>
      </c>
      <c r="J308" s="63">
        <f t="shared" si="4"/>
        <v>0</v>
      </c>
      <c r="K308" s="62" t="b">
        <f t="shared" si="5"/>
        <v>0</v>
      </c>
      <c r="L308" s="62" t="b">
        <f t="shared" si="6"/>
        <v>0</v>
      </c>
      <c r="M308" s="60" t="str">
        <f>IFERROR(__xludf.DUMMYFUNCTION("if(regexmatch(B308,""e(.*)$""),regexextract(B308,""e(.*)$""),"""")"),"-3")</f>
        <v>-3</v>
      </c>
    </row>
    <row r="309" hidden="1">
      <c r="A309" s="17" t="s">
        <v>2823</v>
      </c>
      <c r="B309" s="17" t="s">
        <v>3593</v>
      </c>
      <c r="C309" s="17" t="s">
        <v>3043</v>
      </c>
      <c r="E309" s="60" t="str">
        <f>VLOOKUP($A309,nist_names_ids!A:B,2,false)</f>
        <v>muhpsmun</v>
      </c>
      <c r="F309" s="61">
        <f>countif(Constants!A:A,E309)</f>
        <v>1</v>
      </c>
      <c r="G309" s="62" t="str">
        <f t="shared" si="1"/>
        <v>-2.127497719</v>
      </c>
      <c r="H309" s="62">
        <f t="shared" si="2"/>
        <v>-2.127497719</v>
      </c>
      <c r="I309" s="62" t="str">
        <f t="shared" si="3"/>
        <v>0.000000025</v>
      </c>
      <c r="J309" s="63">
        <f t="shared" si="4"/>
        <v>0.000000025</v>
      </c>
      <c r="K309" s="62" t="b">
        <f t="shared" si="5"/>
        <v>0</v>
      </c>
      <c r="L309" s="62" t="b">
        <f t="shared" si="6"/>
        <v>0</v>
      </c>
      <c r="M309" s="60" t="str">
        <f>IFERROR(__xludf.DUMMYFUNCTION("if(regexmatch(B309,""e(.*)$""),regexextract(B309,""e(.*)$""),"""")"),"")</f>
        <v/>
      </c>
    </row>
    <row r="310" hidden="1">
      <c r="A310" s="17" t="s">
        <v>2834</v>
      </c>
      <c r="B310" s="17" t="s">
        <v>3597</v>
      </c>
      <c r="C310" s="17" t="s">
        <v>3598</v>
      </c>
      <c r="E310" s="60" t="str">
        <f>VLOOKUP($A310,nist_names_ids!A:B,2,false)</f>
        <v>muhpsmup</v>
      </c>
      <c r="F310" s="61">
        <f>countif(Constants!A:A,E310)</f>
        <v>1</v>
      </c>
      <c r="G310" s="62" t="str">
        <f t="shared" si="1"/>
        <v>-0.7617665618</v>
      </c>
      <c r="H310" s="62">
        <f t="shared" si="2"/>
        <v>-0.7617665618</v>
      </c>
      <c r="I310" s="62" t="str">
        <f t="shared" si="3"/>
        <v>0.0000000089</v>
      </c>
      <c r="J310" s="63">
        <f t="shared" si="4"/>
        <v>0.0000000089</v>
      </c>
      <c r="K310" s="62" t="b">
        <f t="shared" si="5"/>
        <v>0</v>
      </c>
      <c r="L310" s="62" t="b">
        <f t="shared" si="6"/>
        <v>0</v>
      </c>
      <c r="M310" s="60" t="str">
        <f>IFERROR(__xludf.DUMMYFUNCTION("if(regexmatch(B310,""e(.*)$""),regexextract(B310,""e(.*)$""),"""")"),"")</f>
        <v/>
      </c>
    </row>
    <row r="311" hidden="1">
      <c r="A311" s="17" t="s">
        <v>2838</v>
      </c>
      <c r="B311" s="17" t="s">
        <v>3601</v>
      </c>
      <c r="C311" s="17" t="s">
        <v>3602</v>
      </c>
      <c r="E311" s="60" t="str">
        <f>VLOOKUP($A311,nist_names_ids!A:B,2,false)</f>
        <v>muhpsmupp</v>
      </c>
      <c r="F311" s="61">
        <f>countif(Constants!A:A,E311)</f>
        <v>1</v>
      </c>
      <c r="G311" s="62" t="str">
        <f t="shared" si="1"/>
        <v>-0.7617861313</v>
      </c>
      <c r="H311" s="62">
        <f t="shared" si="2"/>
        <v>-0.7617861313</v>
      </c>
      <c r="I311" s="62" t="str">
        <f t="shared" si="3"/>
        <v>0.0000000033</v>
      </c>
      <c r="J311" s="63">
        <f t="shared" si="4"/>
        <v>0.0000000033</v>
      </c>
      <c r="K311" s="62" t="b">
        <f t="shared" si="5"/>
        <v>0</v>
      </c>
      <c r="L311" s="62" t="b">
        <f t="shared" si="6"/>
        <v>0</v>
      </c>
      <c r="M311" s="60" t="str">
        <f>IFERROR(__xludf.DUMMYFUNCTION("if(regexmatch(B311,""e(.*)$""),regexextract(B311,""e(.*)$""),"""")"),"")</f>
        <v/>
      </c>
    </row>
    <row r="312" hidden="1">
      <c r="A312" s="17" t="s">
        <v>2845</v>
      </c>
      <c r="B312" s="17" t="s">
        <v>3605</v>
      </c>
      <c r="C312" s="17" t="s">
        <v>3606</v>
      </c>
      <c r="D312" s="17" t="s">
        <v>1717</v>
      </c>
      <c r="E312" s="60" t="str">
        <f>VLOOKUP($A312,nist_names_ids!A:B,2,false)</f>
        <v>gammapp</v>
      </c>
      <c r="F312" s="61">
        <f>countif(Constants!A:A,E312)</f>
        <v>1</v>
      </c>
      <c r="G312" s="62" t="str">
        <f t="shared" si="1"/>
        <v>2.675153151e8</v>
      </c>
      <c r="H312" s="62">
        <f t="shared" si="2"/>
        <v>267515315.1</v>
      </c>
      <c r="I312" s="62" t="str">
        <f t="shared" si="3"/>
        <v>0.000000029e8</v>
      </c>
      <c r="J312" s="63">
        <f t="shared" si="4"/>
        <v>2.9</v>
      </c>
      <c r="K312" s="62" t="b">
        <f t="shared" si="5"/>
        <v>0</v>
      </c>
      <c r="L312" s="62" t="b">
        <f t="shared" si="6"/>
        <v>0</v>
      </c>
      <c r="M312" s="60" t="str">
        <f>IFERROR(__xludf.DUMMYFUNCTION("if(regexmatch(B312,""e(.*)$""),regexextract(B312,""e(.*)$""),"""")"),"8")</f>
        <v>8</v>
      </c>
    </row>
    <row r="313" hidden="1">
      <c r="A313" s="17" t="s">
        <v>2850</v>
      </c>
      <c r="B313" s="17" t="s">
        <v>3611</v>
      </c>
      <c r="C313" s="17" t="s">
        <v>3358</v>
      </c>
      <c r="D313" s="17" t="s">
        <v>1733</v>
      </c>
      <c r="E313" s="60" t="str">
        <f>VLOOKUP($A313,nist_names_ids!A:B,2,false)</f>
        <v>gammappbar</v>
      </c>
      <c r="F313" s="61">
        <f>countif(Constants!A:A,E313)</f>
        <v>1</v>
      </c>
      <c r="G313" s="62" t="str">
        <f t="shared" si="1"/>
        <v>42.57638474</v>
      </c>
      <c r="H313" s="62">
        <f t="shared" si="2"/>
        <v>42.57638474</v>
      </c>
      <c r="I313" s="62" t="str">
        <f t="shared" si="3"/>
        <v>0.00000046</v>
      </c>
      <c r="J313" s="63">
        <f t="shared" si="4"/>
        <v>0.00000046</v>
      </c>
      <c r="K313" s="62" t="b">
        <f t="shared" si="5"/>
        <v>0</v>
      </c>
      <c r="L313" s="62" t="b">
        <f t="shared" si="6"/>
        <v>0</v>
      </c>
      <c r="M313" s="60" t="str">
        <f>IFERROR(__xludf.DUMMYFUNCTION("if(regexmatch(B313,""e(.*)$""),regexextract(B313,""e(.*)$""),"""")"),"")</f>
        <v/>
      </c>
    </row>
    <row r="314" hidden="1">
      <c r="A314" s="17" t="s">
        <v>2853</v>
      </c>
      <c r="B314" s="17" t="s">
        <v>3614</v>
      </c>
      <c r="C314" s="17" t="s">
        <v>3615</v>
      </c>
      <c r="D314" s="17" t="s">
        <v>964</v>
      </c>
      <c r="E314" s="60" t="str">
        <f>VLOOKUP($A314,nist_names_ids!A:B,2,false)</f>
        <v>mupp</v>
      </c>
      <c r="F314" s="61">
        <f>countif(Constants!A:A,E314)</f>
        <v>1</v>
      </c>
      <c r="G314" s="62" t="str">
        <f t="shared" si="1"/>
        <v>1.410570560e-26</v>
      </c>
      <c r="H314" s="62">
        <f t="shared" si="2"/>
        <v>0</v>
      </c>
      <c r="I314" s="62" t="str">
        <f t="shared" si="3"/>
        <v>0.000000015e-26</v>
      </c>
      <c r="J314" s="63">
        <f t="shared" si="4"/>
        <v>0</v>
      </c>
      <c r="K314" s="62" t="b">
        <f t="shared" si="5"/>
        <v>0</v>
      </c>
      <c r="L314" s="62" t="b">
        <f t="shared" si="6"/>
        <v>0</v>
      </c>
      <c r="M314" s="60" t="str">
        <f>IFERROR(__xludf.DUMMYFUNCTION("if(regexmatch(B314,""e(.*)$""),regexextract(B314,""e(.*)$""),"""")"),"-26")</f>
        <v>-26</v>
      </c>
    </row>
    <row r="315" hidden="1">
      <c r="A315" s="17" t="s">
        <v>2858</v>
      </c>
      <c r="B315" s="17" t="s">
        <v>3618</v>
      </c>
      <c r="C315" s="17" t="s">
        <v>3619</v>
      </c>
      <c r="E315" s="60" t="str">
        <f>VLOOKUP($A315,nist_names_ids!A:B,2,false)</f>
        <v>muppsmub</v>
      </c>
      <c r="F315" s="61">
        <f>countif(Constants!A:A,E315)</f>
        <v>1</v>
      </c>
      <c r="G315" s="62" t="str">
        <f t="shared" si="1"/>
        <v>1.520993128e-3</v>
      </c>
      <c r="H315" s="62">
        <f t="shared" si="2"/>
        <v>0.001520993128</v>
      </c>
      <c r="I315" s="62" t="str">
        <f t="shared" si="3"/>
        <v>0.000000017e-3</v>
      </c>
      <c r="J315" s="63">
        <f t="shared" si="4"/>
        <v>0</v>
      </c>
      <c r="K315" s="62" t="b">
        <f t="shared" si="5"/>
        <v>0</v>
      </c>
      <c r="L315" s="62" t="b">
        <f t="shared" si="6"/>
        <v>0</v>
      </c>
      <c r="M315" s="60" t="str">
        <f>IFERROR(__xludf.DUMMYFUNCTION("if(regexmatch(B315,""e(.*)$""),regexextract(B315,""e(.*)$""),"""")"),"-3")</f>
        <v>-3</v>
      </c>
    </row>
    <row r="316" hidden="1">
      <c r="A316" s="17" t="s">
        <v>2863</v>
      </c>
      <c r="B316" s="17" t="s">
        <v>3623</v>
      </c>
      <c r="C316" s="17" t="s">
        <v>3624</v>
      </c>
      <c r="E316" s="60" t="str">
        <f>VLOOKUP($A316,nist_names_ids!A:B,2,false)</f>
        <v>muppsmun</v>
      </c>
      <c r="F316" s="61">
        <f>countif(Constants!A:A,E316)</f>
        <v>1</v>
      </c>
      <c r="G316" s="62" t="str">
        <f t="shared" si="1"/>
        <v>2.792775599</v>
      </c>
      <c r="H316" s="62">
        <f t="shared" si="2"/>
        <v>2.792775599</v>
      </c>
      <c r="I316" s="62" t="str">
        <f t="shared" si="3"/>
        <v>0.000000030</v>
      </c>
      <c r="J316" s="63">
        <f t="shared" si="4"/>
        <v>0.00000003</v>
      </c>
      <c r="K316" s="62" t="b">
        <f t="shared" si="5"/>
        <v>0</v>
      </c>
      <c r="L316" s="62" t="b">
        <f t="shared" si="6"/>
        <v>0</v>
      </c>
      <c r="M316" s="60" t="str">
        <f>IFERROR(__xludf.DUMMYFUNCTION("if(regexmatch(B316,""e(.*)$""),regexextract(B316,""e(.*)$""),"""")"),"")</f>
        <v/>
      </c>
    </row>
    <row r="317" hidden="1">
      <c r="A317" s="17" t="s">
        <v>2866</v>
      </c>
      <c r="B317" s="64" t="s">
        <v>3627</v>
      </c>
      <c r="C317" s="64" t="s">
        <v>3628</v>
      </c>
      <c r="E317" s="60" t="str">
        <f>VLOOKUP($A317,nist_names_ids!A:B,2,false)</f>
        <v>sdp</v>
      </c>
      <c r="F317" s="61">
        <f>countif(Constants!A:A,E317)</f>
        <v>1</v>
      </c>
      <c r="G317" s="62" t="str">
        <f t="shared" si="1"/>
        <v>2.0200e-8</v>
      </c>
      <c r="H317" s="62">
        <f t="shared" si="2"/>
        <v>0.0000000202</v>
      </c>
      <c r="I317" s="62" t="str">
        <f t="shared" si="3"/>
        <v>0.0020e-8</v>
      </c>
      <c r="J317" s="63">
        <f t="shared" si="4"/>
        <v>0</v>
      </c>
      <c r="K317" s="62" t="b">
        <f t="shared" si="5"/>
        <v>0</v>
      </c>
      <c r="L317" s="62" t="b">
        <f t="shared" si="6"/>
        <v>0</v>
      </c>
      <c r="M317" s="60" t="str">
        <f>IFERROR(__xludf.DUMMYFUNCTION("if(regexmatch(B317,""e(.*)$""),regexextract(B317,""e(.*)$""),"""")"),"-8")</f>
        <v>-8</v>
      </c>
    </row>
    <row r="318" hidden="1">
      <c r="A318" s="17" t="s">
        <v>2872</v>
      </c>
      <c r="B318" s="64" t="s">
        <v>3633</v>
      </c>
      <c r="C318" s="64" t="s">
        <v>3628</v>
      </c>
      <c r="E318" s="60" t="str">
        <f>VLOOKUP($A318,nist_names_ids!A:B,2,false)</f>
        <v>stp</v>
      </c>
      <c r="F318" s="61">
        <f>countif(Constants!A:A,E318)</f>
        <v>1</v>
      </c>
      <c r="G318" s="62" t="str">
        <f t="shared" si="1"/>
        <v>2.4140e-8</v>
      </c>
      <c r="H318" s="62">
        <f t="shared" si="2"/>
        <v>0.00000002414</v>
      </c>
      <c r="I318" s="62" t="str">
        <f t="shared" si="3"/>
        <v>0.0020e-8</v>
      </c>
      <c r="J318" s="63">
        <f t="shared" si="4"/>
        <v>0</v>
      </c>
      <c r="K318" s="62" t="b">
        <f t="shared" si="5"/>
        <v>0</v>
      </c>
      <c r="L318" s="62" t="b">
        <f t="shared" si="6"/>
        <v>0</v>
      </c>
      <c r="M318" s="60" t="str">
        <f>IFERROR(__xludf.DUMMYFUNCTION("if(regexmatch(B318,""e(.*)$""),regexextract(B318,""e(.*)$""),"""")"),"-8")</f>
        <v>-8</v>
      </c>
    </row>
    <row r="319">
      <c r="A319" s="17" t="s">
        <v>2877</v>
      </c>
      <c r="B319" s="17" t="s">
        <v>3106</v>
      </c>
      <c r="C319" s="17" t="s">
        <v>1501</v>
      </c>
      <c r="D319" s="17" t="s">
        <v>1109</v>
      </c>
      <c r="E319" s="60" t="str">
        <f>VLOOKUP($A319,nist_names_ids!A:B,2,false)</f>
        <v>c</v>
      </c>
      <c r="F319" s="61">
        <f>countif(Constants!A:A,E319)</f>
        <v>1</v>
      </c>
      <c r="G319" s="62" t="str">
        <f t="shared" si="1"/>
        <v>299792458</v>
      </c>
      <c r="H319" s="62">
        <f t="shared" si="2"/>
        <v>299792458</v>
      </c>
      <c r="I319" s="62" t="str">
        <f t="shared" si="3"/>
        <v>(exact)</v>
      </c>
      <c r="J319" s="63" t="str">
        <f t="shared" si="4"/>
        <v/>
      </c>
      <c r="K319" s="62" t="b">
        <f t="shared" si="5"/>
        <v>1</v>
      </c>
      <c r="L319" s="62" t="b">
        <f t="shared" si="6"/>
        <v>0</v>
      </c>
      <c r="M319" s="60" t="str">
        <f>IFERROR(__xludf.DUMMYFUNCTION("if(regexmatch(B319,""e(.*)$""),regexextract(B319,""e(.*)$""),"""")"),"")</f>
        <v/>
      </c>
    </row>
    <row r="320">
      <c r="A320" s="17" t="s">
        <v>2880</v>
      </c>
      <c r="B320" s="17" t="s">
        <v>3648</v>
      </c>
      <c r="C320" s="17" t="s">
        <v>1501</v>
      </c>
      <c r="D320" s="17" t="s">
        <v>2882</v>
      </c>
      <c r="E320" s="60" t="str">
        <f>VLOOKUP($A320,nist_names_ids!A:B,2,false)</f>
        <v>gn</v>
      </c>
      <c r="F320" s="61">
        <f>countif(Constants!A:A,E320)</f>
        <v>1</v>
      </c>
      <c r="G320" s="62" t="str">
        <f t="shared" si="1"/>
        <v>9.80665</v>
      </c>
      <c r="H320" s="62">
        <f t="shared" si="2"/>
        <v>9.80665</v>
      </c>
      <c r="I320" s="62" t="str">
        <f t="shared" si="3"/>
        <v>(exact)</v>
      </c>
      <c r="J320" s="63" t="str">
        <f t="shared" si="4"/>
        <v/>
      </c>
      <c r="K320" s="62" t="b">
        <f t="shared" si="5"/>
        <v>1</v>
      </c>
      <c r="L320" s="62" t="b">
        <f t="shared" si="6"/>
        <v>0</v>
      </c>
      <c r="M320" s="60" t="str">
        <f>IFERROR(__xludf.DUMMYFUNCTION("if(regexmatch(B320,""e(.*)$""),regexextract(B320,""e(.*)$""),"""")"),"")</f>
        <v/>
      </c>
    </row>
    <row r="321">
      <c r="A321" s="17" t="s">
        <v>2886</v>
      </c>
      <c r="B321" s="17" t="s">
        <v>3651</v>
      </c>
      <c r="C321" s="17" t="s">
        <v>1501</v>
      </c>
      <c r="D321" s="17" t="s">
        <v>512</v>
      </c>
      <c r="E321" s="60" t="str">
        <f>VLOOKUP($A321,nist_names_ids!A:B,2,false)</f>
        <v>stdatm</v>
      </c>
      <c r="F321" s="61">
        <f>countif(Constants!A:A,E321)</f>
        <v>1</v>
      </c>
      <c r="G321" s="62" t="str">
        <f t="shared" si="1"/>
        <v>101325</v>
      </c>
      <c r="H321" s="62">
        <f t="shared" si="2"/>
        <v>101325</v>
      </c>
      <c r="I321" s="62" t="str">
        <f t="shared" si="3"/>
        <v>(exact)</v>
      </c>
      <c r="J321" s="63" t="str">
        <f t="shared" si="4"/>
        <v/>
      </c>
      <c r="K321" s="62" t="b">
        <f t="shared" si="5"/>
        <v>1</v>
      </c>
      <c r="L321" s="62" t="b">
        <f t="shared" si="6"/>
        <v>0</v>
      </c>
      <c r="M321" s="60" t="str">
        <f>IFERROR(__xludf.DUMMYFUNCTION("if(regexmatch(B321,""e(.*)$""),regexextract(B321,""e(.*)$""),"""")"),"")</f>
        <v/>
      </c>
    </row>
    <row r="322">
      <c r="A322" s="17" t="s">
        <v>2888</v>
      </c>
      <c r="B322" s="17" t="s">
        <v>3654</v>
      </c>
      <c r="C322" s="17" t="s">
        <v>1501</v>
      </c>
      <c r="D322" s="17" t="s">
        <v>512</v>
      </c>
      <c r="E322" s="60" t="str">
        <f>VLOOKUP($A322,nist_names_ids!A:B,2,false)</f>
        <v>stdspr</v>
      </c>
      <c r="F322" s="61">
        <f>countif(Constants!A:A,E322)</f>
        <v>1</v>
      </c>
      <c r="G322" s="62" t="str">
        <f t="shared" si="1"/>
        <v>100000</v>
      </c>
      <c r="H322" s="62">
        <f t="shared" si="2"/>
        <v>100000</v>
      </c>
      <c r="I322" s="62" t="str">
        <f t="shared" si="3"/>
        <v>(exact)</v>
      </c>
      <c r="J322" s="63" t="str">
        <f t="shared" si="4"/>
        <v/>
      </c>
      <c r="K322" s="62" t="b">
        <f t="shared" si="5"/>
        <v>1</v>
      </c>
      <c r="L322" s="62" t="b">
        <f t="shared" si="6"/>
        <v>0</v>
      </c>
      <c r="M322" s="60" t="str">
        <f>IFERROR(__xludf.DUMMYFUNCTION("if(regexmatch(B322,""e(.*)$""),regexextract(B322,""e(.*)$""),"""")"),"")</f>
        <v/>
      </c>
    </row>
    <row r="323">
      <c r="A323" s="17" t="s">
        <v>2890</v>
      </c>
      <c r="B323" s="17" t="s">
        <v>3658</v>
      </c>
      <c r="C323" s="17" t="s">
        <v>1501</v>
      </c>
      <c r="D323" s="17" t="s">
        <v>2892</v>
      </c>
      <c r="E323" s="60" t="str">
        <f>VLOOKUP($A323,nist_names_ids!A:B,2,false)</f>
        <v>sigma</v>
      </c>
      <c r="F323" s="61">
        <f>countif(Constants!A:A,E323)</f>
        <v>1</v>
      </c>
      <c r="G323" s="62" t="str">
        <f t="shared" si="1"/>
        <v>5.670374419e-8</v>
      </c>
      <c r="H323" s="62">
        <f t="shared" si="2"/>
        <v>0.00000005670374419</v>
      </c>
      <c r="I323" s="62" t="str">
        <f t="shared" si="3"/>
        <v>(exact)</v>
      </c>
      <c r="J323" s="63" t="str">
        <f t="shared" si="4"/>
        <v/>
      </c>
      <c r="K323" s="62" t="b">
        <f t="shared" si="5"/>
        <v>1</v>
      </c>
      <c r="L323" s="62" t="b">
        <f t="shared" si="6"/>
        <v>1</v>
      </c>
      <c r="M323" s="60" t="str">
        <f>IFERROR(__xludf.DUMMYFUNCTION("if(regexmatch(B323,""e(.*)$""),regexextract(B323,""e(.*)$""),"""")"),"-8")</f>
        <v>-8</v>
      </c>
    </row>
    <row r="324" hidden="1">
      <c r="A324" s="17" t="s">
        <v>2896</v>
      </c>
      <c r="B324" s="17" t="s">
        <v>3661</v>
      </c>
      <c r="C324" s="17" t="s">
        <v>2898</v>
      </c>
      <c r="D324" s="17" t="s">
        <v>381</v>
      </c>
      <c r="E324" s="60" t="str">
        <f>VLOOKUP($A324,nist_names_ids!A:B,2,false)</f>
        <v>tcomwl</v>
      </c>
      <c r="F324" s="61">
        <f>countif(Constants!A:A,E324)</f>
        <v>1</v>
      </c>
      <c r="G324" s="62" t="str">
        <f t="shared" si="1"/>
        <v>6.97771e-16</v>
      </c>
      <c r="H324" s="62">
        <f t="shared" si="2"/>
        <v>0</v>
      </c>
      <c r="I324" s="62" t="str">
        <f t="shared" si="3"/>
        <v>0.00047e-16</v>
      </c>
      <c r="J324" s="63">
        <f t="shared" si="4"/>
        <v>0</v>
      </c>
      <c r="K324" s="62" t="b">
        <f t="shared" si="5"/>
        <v>0</v>
      </c>
      <c r="L324" s="62" t="b">
        <f t="shared" si="6"/>
        <v>0</v>
      </c>
      <c r="M324" s="60" t="str">
        <f>IFERROR(__xludf.DUMMYFUNCTION("if(regexmatch(B324,""e(.*)$""),regexextract(B324,""e(.*)$""),"""")"),"-16")</f>
        <v>-16</v>
      </c>
    </row>
    <row r="325" hidden="1">
      <c r="A325" s="17" t="s">
        <v>2901</v>
      </c>
      <c r="B325" s="64" t="s">
        <v>3663</v>
      </c>
      <c r="C325" s="64" t="s">
        <v>2903</v>
      </c>
      <c r="E325" s="60" t="str">
        <f>VLOOKUP($A325,nist_names_ids!A:B,2,false)</f>
        <v>mtausme</v>
      </c>
      <c r="F325" s="61">
        <f>countif(Constants!A:A,E325)</f>
        <v>1</v>
      </c>
      <c r="G325" s="62" t="str">
        <f t="shared" si="1"/>
        <v>3477.23</v>
      </c>
      <c r="H325" s="62">
        <f t="shared" si="2"/>
        <v>3477.23</v>
      </c>
      <c r="I325" s="62" t="str">
        <f t="shared" si="3"/>
        <v>0.23</v>
      </c>
      <c r="J325" s="63">
        <f t="shared" si="4"/>
        <v>0.23</v>
      </c>
      <c r="K325" s="62" t="b">
        <f t="shared" si="5"/>
        <v>0</v>
      </c>
      <c r="L325" s="62" t="b">
        <f t="shared" si="6"/>
        <v>0</v>
      </c>
      <c r="M325" s="60" t="str">
        <f>IFERROR(__xludf.DUMMYFUNCTION("if(regexmatch(B325,""e(.*)$""),regexextract(B325,""e(.*)$""),"""")"),"")</f>
        <v/>
      </c>
    </row>
    <row r="326" hidden="1">
      <c r="A326" s="17" t="s">
        <v>2906</v>
      </c>
      <c r="B326" s="64" t="s">
        <v>3665</v>
      </c>
      <c r="C326" s="64" t="s">
        <v>2908</v>
      </c>
      <c r="D326" s="17" t="s">
        <v>224</v>
      </c>
      <c r="E326" s="60" t="str">
        <f>VLOOKUP($A326,nist_names_ids!A:B,2,false)</f>
        <v>mtauc2mev</v>
      </c>
      <c r="F326" s="61">
        <f>countif(Constants!A:A,E326)</f>
        <v>1</v>
      </c>
      <c r="G326" s="62" t="str">
        <f t="shared" si="1"/>
        <v>1776.86</v>
      </c>
      <c r="H326" s="62">
        <f t="shared" si="2"/>
        <v>1776.86</v>
      </c>
      <c r="I326" s="62" t="str">
        <f t="shared" si="3"/>
        <v>0.12</v>
      </c>
      <c r="J326" s="63">
        <f t="shared" si="4"/>
        <v>0.12</v>
      </c>
      <c r="K326" s="62" t="b">
        <f t="shared" si="5"/>
        <v>0</v>
      </c>
      <c r="L326" s="62" t="b">
        <f t="shared" si="6"/>
        <v>0</v>
      </c>
      <c r="M326" s="60" t="str">
        <f>IFERROR(__xludf.DUMMYFUNCTION("if(regexmatch(B326,""e(.*)$""),regexextract(B326,""e(.*)$""),"""")"),"")</f>
        <v/>
      </c>
    </row>
    <row r="327" hidden="1">
      <c r="A327" s="17" t="s">
        <v>2910</v>
      </c>
      <c r="B327" s="17" t="s">
        <v>3669</v>
      </c>
      <c r="C327" s="17" t="s">
        <v>2912</v>
      </c>
      <c r="D327" s="17" t="s">
        <v>98</v>
      </c>
      <c r="E327" s="60" t="str">
        <f>VLOOKUP($A327,nist_names_ids!A:B,2,false)</f>
        <v>mtau</v>
      </c>
      <c r="F327" s="61">
        <f>countif(Constants!A:A,E327)</f>
        <v>1</v>
      </c>
      <c r="G327" s="62" t="str">
        <f t="shared" si="1"/>
        <v>3.16754e-27</v>
      </c>
      <c r="H327" s="62">
        <f t="shared" si="2"/>
        <v>0</v>
      </c>
      <c r="I327" s="62" t="str">
        <f t="shared" si="3"/>
        <v>0.00021e-27</v>
      </c>
      <c r="J327" s="63">
        <f t="shared" si="4"/>
        <v>0</v>
      </c>
      <c r="K327" s="62" t="b">
        <f t="shared" si="5"/>
        <v>0</v>
      </c>
      <c r="L327" s="62" t="b">
        <f t="shared" si="6"/>
        <v>0</v>
      </c>
      <c r="M327" s="60" t="str">
        <f>IFERROR(__xludf.DUMMYFUNCTION("if(regexmatch(B327,""e(.*)$""),regexextract(B327,""e(.*)$""),"""")"),"-27")</f>
        <v>-27</v>
      </c>
    </row>
    <row r="328" hidden="1">
      <c r="A328" s="17" t="s">
        <v>2915</v>
      </c>
      <c r="B328" s="17" t="s">
        <v>3670</v>
      </c>
      <c r="C328" s="17" t="s">
        <v>2917</v>
      </c>
      <c r="D328" s="17" t="s">
        <v>173</v>
      </c>
      <c r="E328" s="60" t="str">
        <f>VLOOKUP($A328,nist_names_ids!A:B,2,false)</f>
        <v>mtauc2</v>
      </c>
      <c r="F328" s="61">
        <f>countif(Constants!A:A,E328)</f>
        <v>1</v>
      </c>
      <c r="G328" s="62" t="str">
        <f t="shared" si="1"/>
        <v>2.84684e-10</v>
      </c>
      <c r="H328" s="62">
        <f t="shared" si="2"/>
        <v>0.000000000284684</v>
      </c>
      <c r="I328" s="62" t="str">
        <f t="shared" si="3"/>
        <v>0.00019e-10</v>
      </c>
      <c r="J328" s="63">
        <f t="shared" si="4"/>
        <v>0</v>
      </c>
      <c r="K328" s="62" t="b">
        <f t="shared" si="5"/>
        <v>0</v>
      </c>
      <c r="L328" s="62" t="b">
        <f t="shared" si="6"/>
        <v>0</v>
      </c>
      <c r="M328" s="60" t="str">
        <f>IFERROR(__xludf.DUMMYFUNCTION("if(regexmatch(B328,""e(.*)$""),regexextract(B328,""e(.*)$""),"""")"),"-10")</f>
        <v>-10</v>
      </c>
    </row>
    <row r="329" hidden="1">
      <c r="A329" s="17" t="s">
        <v>2920</v>
      </c>
      <c r="B329" s="17" t="s">
        <v>3673</v>
      </c>
      <c r="C329" s="17" t="s">
        <v>2922</v>
      </c>
      <c r="D329" s="17" t="s">
        <v>249</v>
      </c>
      <c r="E329" s="60" t="str">
        <f>VLOOKUP($A329,nist_names_ids!A:B,2,false)</f>
        <v>mtauu</v>
      </c>
      <c r="F329" s="61">
        <f>countif(Constants!A:A,E329)</f>
        <v>1</v>
      </c>
      <c r="G329" s="62" t="str">
        <f t="shared" si="1"/>
        <v>1.90754</v>
      </c>
      <c r="H329" s="62">
        <f t="shared" si="2"/>
        <v>1.90754</v>
      </c>
      <c r="I329" s="62" t="str">
        <f t="shared" si="3"/>
        <v>0.00013</v>
      </c>
      <c r="J329" s="63">
        <f t="shared" si="4"/>
        <v>0.00013</v>
      </c>
      <c r="K329" s="62" t="b">
        <f t="shared" si="5"/>
        <v>0</v>
      </c>
      <c r="L329" s="62" t="b">
        <f t="shared" si="6"/>
        <v>0</v>
      </c>
      <c r="M329" s="60" t="str">
        <f>IFERROR(__xludf.DUMMYFUNCTION("if(regexmatch(B329,""e(.*)$""),regexextract(B329,""e(.*)$""),"""")"),"")</f>
        <v/>
      </c>
    </row>
    <row r="330" hidden="1">
      <c r="A330" s="17" t="s">
        <v>2928</v>
      </c>
      <c r="B330" s="17" t="s">
        <v>3677</v>
      </c>
      <c r="C330" s="17" t="s">
        <v>2930</v>
      </c>
      <c r="D330" s="17" t="s">
        <v>286</v>
      </c>
      <c r="E330" s="60" t="str">
        <f>VLOOKUP($A330,nist_names_ids!A:B,2,false)</f>
        <v>mmtau</v>
      </c>
      <c r="F330" s="61">
        <f>countif(Constants!A:A,E330)</f>
        <v>1</v>
      </c>
      <c r="G330" s="62" t="str">
        <f t="shared" si="1"/>
        <v>1.90754e-3</v>
      </c>
      <c r="H330" s="62">
        <f t="shared" si="2"/>
        <v>0.00190754</v>
      </c>
      <c r="I330" s="62" t="str">
        <f t="shared" si="3"/>
        <v>0.00013e-3</v>
      </c>
      <c r="J330" s="63">
        <f t="shared" si="4"/>
        <v>0.00000013</v>
      </c>
      <c r="K330" s="62" t="b">
        <f t="shared" si="5"/>
        <v>0</v>
      </c>
      <c r="L330" s="62" t="b">
        <f t="shared" si="6"/>
        <v>0</v>
      </c>
      <c r="M330" s="60" t="str">
        <f>IFERROR(__xludf.DUMMYFUNCTION("if(regexmatch(B330,""e(.*)$""),regexextract(B330,""e(.*)$""),"""")"),"-3")</f>
        <v>-3</v>
      </c>
    </row>
    <row r="331" hidden="1">
      <c r="A331" s="17" t="s">
        <v>2931</v>
      </c>
      <c r="B331" s="64" t="s">
        <v>3678</v>
      </c>
      <c r="C331" s="64" t="s">
        <v>2933</v>
      </c>
      <c r="E331" s="60" t="str">
        <f>VLOOKUP($A331,nist_names_ids!A:B,2,false)</f>
        <v>mtausmmu</v>
      </c>
      <c r="F331" s="61">
        <f>countif(Constants!A:A,E331)</f>
        <v>1</v>
      </c>
      <c r="G331" s="62" t="str">
        <f t="shared" si="1"/>
        <v>16.8170</v>
      </c>
      <c r="H331" s="62">
        <f t="shared" si="2"/>
        <v>16.817</v>
      </c>
      <c r="I331" s="62" t="str">
        <f t="shared" si="3"/>
        <v>0.0011</v>
      </c>
      <c r="J331" s="63">
        <f t="shared" si="4"/>
        <v>0.0011</v>
      </c>
      <c r="K331" s="62" t="b">
        <f t="shared" si="5"/>
        <v>0</v>
      </c>
      <c r="L331" s="62" t="b">
        <f t="shared" si="6"/>
        <v>0</v>
      </c>
      <c r="M331" s="60" t="str">
        <f>IFERROR(__xludf.DUMMYFUNCTION("if(regexmatch(B331,""e(.*)$""),regexextract(B331,""e(.*)$""),"""")"),"")</f>
        <v/>
      </c>
    </row>
    <row r="332" hidden="1">
      <c r="A332" s="17" t="s">
        <v>2935</v>
      </c>
      <c r="B332" s="17" t="s">
        <v>3680</v>
      </c>
      <c r="C332" s="17" t="s">
        <v>2922</v>
      </c>
      <c r="E332" s="60" t="str">
        <f>VLOOKUP($A332,nist_names_ids!A:B,2,false)</f>
        <v>mtausmn</v>
      </c>
      <c r="F332" s="61">
        <f>countif(Constants!A:A,E332)</f>
        <v>1</v>
      </c>
      <c r="G332" s="62" t="str">
        <f t="shared" si="1"/>
        <v>1.89115</v>
      </c>
      <c r="H332" s="62">
        <f t="shared" si="2"/>
        <v>1.89115</v>
      </c>
      <c r="I332" s="62" t="str">
        <f t="shared" si="3"/>
        <v>0.00013</v>
      </c>
      <c r="J332" s="63">
        <f t="shared" si="4"/>
        <v>0.00013</v>
      </c>
      <c r="K332" s="62" t="b">
        <f t="shared" si="5"/>
        <v>0</v>
      </c>
      <c r="L332" s="62" t="b">
        <f t="shared" si="6"/>
        <v>0</v>
      </c>
      <c r="M332" s="60" t="str">
        <f>IFERROR(__xludf.DUMMYFUNCTION("if(regexmatch(B332,""e(.*)$""),regexextract(B332,""e(.*)$""),"""")"),"")</f>
        <v/>
      </c>
    </row>
    <row r="333" hidden="1">
      <c r="A333" s="17" t="s">
        <v>2941</v>
      </c>
      <c r="B333" s="17" t="s">
        <v>3681</v>
      </c>
      <c r="C333" s="17" t="s">
        <v>2922</v>
      </c>
      <c r="E333" s="60" t="str">
        <f>VLOOKUP($A333,nist_names_ids!A:B,2,false)</f>
        <v>mtausmp</v>
      </c>
      <c r="F333" s="61">
        <f>countif(Constants!A:A,E333)</f>
        <v>1</v>
      </c>
      <c r="G333" s="62" t="str">
        <f t="shared" si="1"/>
        <v>1.89376</v>
      </c>
      <c r="H333" s="62">
        <f t="shared" si="2"/>
        <v>1.89376</v>
      </c>
      <c r="I333" s="62" t="str">
        <f t="shared" si="3"/>
        <v>0.00013</v>
      </c>
      <c r="J333" s="63">
        <f t="shared" si="4"/>
        <v>0.00013</v>
      </c>
      <c r="K333" s="62" t="b">
        <f t="shared" si="5"/>
        <v>0</v>
      </c>
      <c r="L333" s="62" t="b">
        <f t="shared" si="6"/>
        <v>0</v>
      </c>
      <c r="M333" s="60" t="str">
        <f>IFERROR(__xludf.DUMMYFUNCTION("if(regexmatch(B333,""e(.*)$""),regexextract(B333,""e(.*)$""),"""")"),"")</f>
        <v/>
      </c>
    </row>
    <row r="334" hidden="1">
      <c r="A334" s="17" t="s">
        <v>2943</v>
      </c>
      <c r="B334" s="17" t="s">
        <v>3686</v>
      </c>
      <c r="C334" s="17" t="s">
        <v>3687</v>
      </c>
      <c r="D334" s="17" t="s">
        <v>2946</v>
      </c>
      <c r="E334" s="60" t="str">
        <f>VLOOKUP($A334,nist_names_ids!A:B,2,false)</f>
        <v>sigmae</v>
      </c>
      <c r="F334" s="61">
        <f>countif(Constants!A:A,E334)</f>
        <v>1</v>
      </c>
      <c r="G334" s="62" t="str">
        <f t="shared" si="1"/>
        <v>6.6524587321e-29</v>
      </c>
      <c r="H334" s="62">
        <f t="shared" si="2"/>
        <v>0</v>
      </c>
      <c r="I334" s="62" t="str">
        <f t="shared" si="3"/>
        <v>0.0000000060e-29</v>
      </c>
      <c r="J334" s="63">
        <f t="shared" si="4"/>
        <v>0</v>
      </c>
      <c r="K334" s="62" t="b">
        <f t="shared" si="5"/>
        <v>0</v>
      </c>
      <c r="L334" s="62" t="b">
        <f t="shared" si="6"/>
        <v>0</v>
      </c>
      <c r="M334" s="60" t="str">
        <f>IFERROR(__xludf.DUMMYFUNCTION("if(regexmatch(B334,""e(.*)$""),regexextract(B334,""e(.*)$""),"""")"),"-29")</f>
        <v>-29</v>
      </c>
    </row>
    <row r="335" hidden="1">
      <c r="A335" s="17" t="s">
        <v>2951</v>
      </c>
      <c r="B335" s="17" t="s">
        <v>3690</v>
      </c>
      <c r="C335" s="17" t="s">
        <v>3535</v>
      </c>
      <c r="E335" s="60" t="str">
        <f>VLOOKUP($A335,nist_names_ids!A:B,2,false)</f>
        <v>mtsme</v>
      </c>
      <c r="F335" s="61">
        <f>countif(Constants!A:A,E335)</f>
        <v>1</v>
      </c>
      <c r="G335" s="62" t="str">
        <f t="shared" si="1"/>
        <v>5496.92153573</v>
      </c>
      <c r="H335" s="62">
        <f t="shared" si="2"/>
        <v>5496.921536</v>
      </c>
      <c r="I335" s="62" t="str">
        <f t="shared" si="3"/>
        <v>0.00000027</v>
      </c>
      <c r="J335" s="63">
        <f t="shared" si="4"/>
        <v>0.00000027</v>
      </c>
      <c r="K335" s="62" t="b">
        <f t="shared" si="5"/>
        <v>0</v>
      </c>
      <c r="L335" s="62" t="b">
        <f t="shared" si="6"/>
        <v>0</v>
      </c>
      <c r="M335" s="60" t="str">
        <f>IFERROR(__xludf.DUMMYFUNCTION("if(regexmatch(B335,""e(.*)$""),regexextract(B335,""e(.*)$""),"""")"),"")</f>
        <v/>
      </c>
    </row>
    <row r="336" hidden="1">
      <c r="A336" s="17" t="s">
        <v>2955</v>
      </c>
      <c r="B336" s="17" t="s">
        <v>3693</v>
      </c>
      <c r="C336" s="17" t="s">
        <v>2957</v>
      </c>
      <c r="E336" s="60" t="str">
        <f>VLOOKUP($A336,nist_names_ids!A:B,2,false)</f>
        <v>gtn</v>
      </c>
      <c r="F336" s="61">
        <f>countif(Constants!A:A,E336)</f>
        <v>1</v>
      </c>
      <c r="G336" s="62" t="str">
        <f t="shared" si="1"/>
        <v>5.957924931</v>
      </c>
      <c r="H336" s="62">
        <f t="shared" si="2"/>
        <v>5.957924931</v>
      </c>
      <c r="I336" s="62" t="str">
        <f t="shared" si="3"/>
        <v>0.000000012</v>
      </c>
      <c r="J336" s="63">
        <f t="shared" si="4"/>
        <v>0.000000012</v>
      </c>
      <c r="K336" s="62" t="b">
        <f t="shared" si="5"/>
        <v>0</v>
      </c>
      <c r="L336" s="62" t="b">
        <f t="shared" si="6"/>
        <v>0</v>
      </c>
      <c r="M336" s="60" t="str">
        <f>IFERROR(__xludf.DUMMYFUNCTION("if(regexmatch(B336,""e(.*)$""),regexextract(B336,""e(.*)$""),"""")"),"")</f>
        <v/>
      </c>
    </row>
    <row r="337" hidden="1">
      <c r="A337" s="17" t="s">
        <v>2958</v>
      </c>
      <c r="B337" s="17" t="s">
        <v>3699</v>
      </c>
      <c r="C337" s="17" t="s">
        <v>2960</v>
      </c>
      <c r="D337" s="17" t="s">
        <v>964</v>
      </c>
      <c r="E337" s="60" t="str">
        <f>VLOOKUP($A337,nist_names_ids!A:B,2,false)</f>
        <v>mut</v>
      </c>
      <c r="F337" s="61">
        <f>countif(Constants!A:A,E337)</f>
        <v>1</v>
      </c>
      <c r="G337" s="62" t="str">
        <f t="shared" si="1"/>
        <v>1.5046095202e-26</v>
      </c>
      <c r="H337" s="62">
        <f t="shared" si="2"/>
        <v>0</v>
      </c>
      <c r="I337" s="62" t="str">
        <f t="shared" si="3"/>
        <v>0.0000000030e-26</v>
      </c>
      <c r="J337" s="63">
        <f t="shared" si="4"/>
        <v>0</v>
      </c>
      <c r="K337" s="62" t="b">
        <f t="shared" si="5"/>
        <v>0</v>
      </c>
      <c r="L337" s="62" t="b">
        <f t="shared" si="6"/>
        <v>0</v>
      </c>
      <c r="M337" s="60" t="str">
        <f>IFERROR(__xludf.DUMMYFUNCTION("if(regexmatch(B337,""e(.*)$""),regexextract(B337,""e(.*)$""),"""")"),"-26")</f>
        <v>-26</v>
      </c>
    </row>
    <row r="338" hidden="1">
      <c r="A338" s="17" t="s">
        <v>2965</v>
      </c>
      <c r="B338" s="17" t="s">
        <v>3703</v>
      </c>
      <c r="C338" s="17" t="s">
        <v>2967</v>
      </c>
      <c r="E338" s="60" t="str">
        <f>VLOOKUP($A338,nist_names_ids!A:B,2,false)</f>
        <v>mutsmub</v>
      </c>
      <c r="F338" s="61">
        <f>countif(Constants!A:A,E338)</f>
        <v>1</v>
      </c>
      <c r="G338" s="62" t="str">
        <f t="shared" si="1"/>
        <v>1.6223936651e-3</v>
      </c>
      <c r="H338" s="62">
        <f t="shared" si="2"/>
        <v>0.001622393665</v>
      </c>
      <c r="I338" s="62" t="str">
        <f t="shared" si="3"/>
        <v>0.0000000032e-3</v>
      </c>
      <c r="J338" s="63">
        <f t="shared" si="4"/>
        <v>0</v>
      </c>
      <c r="K338" s="62" t="b">
        <f t="shared" si="5"/>
        <v>0</v>
      </c>
      <c r="L338" s="62" t="b">
        <f t="shared" si="6"/>
        <v>0</v>
      </c>
      <c r="M338" s="60" t="str">
        <f>IFERROR(__xludf.DUMMYFUNCTION("if(regexmatch(B338,""e(.*)$""),regexextract(B338,""e(.*)$""),"""")"),"-3")</f>
        <v>-3</v>
      </c>
    </row>
    <row r="339" hidden="1">
      <c r="A339" s="17" t="s">
        <v>2968</v>
      </c>
      <c r="B339" s="17" t="s">
        <v>3704</v>
      </c>
      <c r="C339" s="17" t="s">
        <v>2970</v>
      </c>
      <c r="E339" s="60" t="str">
        <f>VLOOKUP($A339,nist_names_ids!A:B,2,false)</f>
        <v>mutsmun</v>
      </c>
      <c r="F339" s="61">
        <f>countif(Constants!A:A,E339)</f>
        <v>1</v>
      </c>
      <c r="G339" s="62" t="str">
        <f t="shared" si="1"/>
        <v>2.9789624656</v>
      </c>
      <c r="H339" s="62">
        <f t="shared" si="2"/>
        <v>2.978962466</v>
      </c>
      <c r="I339" s="62" t="str">
        <f t="shared" si="3"/>
        <v>0.0000000059</v>
      </c>
      <c r="J339" s="63">
        <f t="shared" si="4"/>
        <v>0.0000000059</v>
      </c>
      <c r="K339" s="62" t="b">
        <f t="shared" si="5"/>
        <v>0</v>
      </c>
      <c r="L339" s="62" t="b">
        <f t="shared" si="6"/>
        <v>0</v>
      </c>
      <c r="M339" s="60" t="str">
        <f>IFERROR(__xludf.DUMMYFUNCTION("if(regexmatch(B339,""e(.*)$""),regexextract(B339,""e(.*)$""),"""")"),"")</f>
        <v/>
      </c>
    </row>
    <row r="340" hidden="1">
      <c r="A340" s="17" t="s">
        <v>2972</v>
      </c>
      <c r="B340" s="17" t="s">
        <v>3711</v>
      </c>
      <c r="C340" s="17" t="s">
        <v>3045</v>
      </c>
      <c r="D340" s="17" t="s">
        <v>98</v>
      </c>
      <c r="E340" s="60" t="str">
        <f>VLOOKUP($A340,nist_names_ids!A:B,2,false)</f>
        <v>mt</v>
      </c>
      <c r="F340" s="61">
        <f>countif(Constants!A:A,E340)</f>
        <v>1</v>
      </c>
      <c r="G340" s="62" t="str">
        <f t="shared" si="1"/>
        <v>5.0073567446e-27</v>
      </c>
      <c r="H340" s="62">
        <f t="shared" si="2"/>
        <v>0</v>
      </c>
      <c r="I340" s="62" t="str">
        <f t="shared" si="3"/>
        <v>0.0000000015e-27</v>
      </c>
      <c r="J340" s="63">
        <f t="shared" si="4"/>
        <v>0</v>
      </c>
      <c r="K340" s="62" t="b">
        <f t="shared" si="5"/>
        <v>0</v>
      </c>
      <c r="L340" s="62" t="b">
        <f t="shared" si="6"/>
        <v>0</v>
      </c>
      <c r="M340" s="60" t="str">
        <f>IFERROR(__xludf.DUMMYFUNCTION("if(regexmatch(B340,""e(.*)$""),regexextract(B340,""e(.*)$""),"""")"),"-27")</f>
        <v>-27</v>
      </c>
    </row>
    <row r="341" hidden="1">
      <c r="A341" s="17" t="s">
        <v>2977</v>
      </c>
      <c r="B341" s="17" t="s">
        <v>3712</v>
      </c>
      <c r="C341" s="17" t="s">
        <v>2058</v>
      </c>
      <c r="D341" s="17" t="s">
        <v>173</v>
      </c>
      <c r="E341" s="60" t="str">
        <f>VLOOKUP($A341,nist_names_ids!A:B,2,false)</f>
        <v>mtc2</v>
      </c>
      <c r="F341" s="61">
        <f>countif(Constants!A:A,E341)</f>
        <v>1</v>
      </c>
      <c r="G341" s="62" t="str">
        <f t="shared" si="1"/>
        <v>4.5003878060e-10</v>
      </c>
      <c r="H341" s="62">
        <f t="shared" si="2"/>
        <v>0.0000000004500387806</v>
      </c>
      <c r="I341" s="62" t="str">
        <f t="shared" si="3"/>
        <v>0.0000000014e-10</v>
      </c>
      <c r="J341" s="63">
        <f t="shared" si="4"/>
        <v>0</v>
      </c>
      <c r="K341" s="62" t="b">
        <f t="shared" si="5"/>
        <v>0</v>
      </c>
      <c r="L341" s="62" t="b">
        <f t="shared" si="6"/>
        <v>0</v>
      </c>
      <c r="M341" s="60" t="str">
        <f>IFERROR(__xludf.DUMMYFUNCTION("if(regexmatch(B341,""e(.*)$""),regexextract(B341,""e(.*)$""),"""")"),"-10")</f>
        <v>-10</v>
      </c>
    </row>
    <row r="342" hidden="1">
      <c r="A342" s="17" t="s">
        <v>2980</v>
      </c>
      <c r="B342" s="17" t="s">
        <v>3716</v>
      </c>
      <c r="C342" s="17" t="s">
        <v>3048</v>
      </c>
      <c r="D342" s="17" t="s">
        <v>224</v>
      </c>
      <c r="E342" s="60" t="str">
        <f>VLOOKUP($A342,nist_names_ids!A:B,2,false)</f>
        <v>mtc2mev</v>
      </c>
      <c r="F342" s="61">
        <f>countif(Constants!A:A,E342)</f>
        <v>1</v>
      </c>
      <c r="G342" s="62" t="str">
        <f t="shared" si="1"/>
        <v>2808.92113298</v>
      </c>
      <c r="H342" s="62">
        <f t="shared" si="2"/>
        <v>2808.921133</v>
      </c>
      <c r="I342" s="62" t="str">
        <f t="shared" si="3"/>
        <v>0.00000085</v>
      </c>
      <c r="J342" s="63">
        <f t="shared" si="4"/>
        <v>0.00000085</v>
      </c>
      <c r="K342" s="62" t="b">
        <f t="shared" si="5"/>
        <v>0</v>
      </c>
      <c r="L342" s="62" t="b">
        <f t="shared" si="6"/>
        <v>0</v>
      </c>
      <c r="M342" s="60" t="str">
        <f>IFERROR(__xludf.DUMMYFUNCTION("if(regexmatch(B342,""e(.*)$""),regexextract(B342,""e(.*)$""),"""")"),"")</f>
        <v/>
      </c>
    </row>
    <row r="343" hidden="1">
      <c r="A343" s="17" t="s">
        <v>2983</v>
      </c>
      <c r="B343" s="17" t="s">
        <v>3719</v>
      </c>
      <c r="C343" s="17" t="s">
        <v>3563</v>
      </c>
      <c r="D343" s="17" t="s">
        <v>249</v>
      </c>
      <c r="E343" s="60" t="str">
        <f>VLOOKUP($A343,nist_names_ids!A:B,2,false)</f>
        <v>mtu</v>
      </c>
      <c r="F343" s="61">
        <f>countif(Constants!A:A,E343)</f>
        <v>1</v>
      </c>
      <c r="G343" s="62" t="str">
        <f t="shared" si="1"/>
        <v>3.01550071621</v>
      </c>
      <c r="H343" s="62">
        <f t="shared" si="2"/>
        <v>3.015500716</v>
      </c>
      <c r="I343" s="62" t="str">
        <f t="shared" si="3"/>
        <v>0.00000000012</v>
      </c>
      <c r="J343" s="63">
        <f t="shared" si="4"/>
        <v>0.00000000012</v>
      </c>
      <c r="K343" s="62" t="b">
        <f t="shared" si="5"/>
        <v>0</v>
      </c>
      <c r="L343" s="62" t="b">
        <f t="shared" si="6"/>
        <v>0</v>
      </c>
      <c r="M343" s="60" t="str">
        <f>IFERROR(__xludf.DUMMYFUNCTION("if(regexmatch(B343,""e(.*)$""),regexextract(B343,""e(.*)$""),"""")"),"")</f>
        <v/>
      </c>
    </row>
    <row r="344" hidden="1">
      <c r="A344" s="17" t="s">
        <v>2989</v>
      </c>
      <c r="B344" s="17" t="s">
        <v>3724</v>
      </c>
      <c r="C344" s="17" t="s">
        <v>3725</v>
      </c>
      <c r="D344" s="17" t="s">
        <v>286</v>
      </c>
      <c r="E344" s="60" t="str">
        <f>VLOOKUP($A344,nist_names_ids!A:B,2,false)</f>
        <v>mmt</v>
      </c>
      <c r="F344" s="61">
        <f>countif(Constants!A:A,E344)</f>
        <v>1</v>
      </c>
      <c r="G344" s="62" t="str">
        <f t="shared" si="1"/>
        <v>3.01550071517e-3</v>
      </c>
      <c r="H344" s="62">
        <f t="shared" si="2"/>
        <v>0.003015500715</v>
      </c>
      <c r="I344" s="62" t="str">
        <f t="shared" si="3"/>
        <v>0.00000000092e-3</v>
      </c>
      <c r="J344" s="63">
        <f t="shared" si="4"/>
        <v>0</v>
      </c>
      <c r="K344" s="62" t="b">
        <f t="shared" si="5"/>
        <v>0</v>
      </c>
      <c r="L344" s="62" t="b">
        <f t="shared" si="6"/>
        <v>0</v>
      </c>
      <c r="M344" s="60" t="str">
        <f>IFERROR(__xludf.DUMMYFUNCTION("if(regexmatch(B344,""e(.*)$""),regexextract(B344,""e(.*)$""),"""")"),"-3")</f>
        <v>-3</v>
      </c>
    </row>
    <row r="345" hidden="1">
      <c r="A345" s="17" t="s">
        <v>2993</v>
      </c>
      <c r="B345" s="17" t="s">
        <v>3727</v>
      </c>
      <c r="C345" s="17" t="s">
        <v>2825</v>
      </c>
      <c r="E345" s="60" t="str">
        <f>VLOOKUP($A345,nist_names_ids!A:B,2,false)</f>
        <v>mtsmp</v>
      </c>
      <c r="F345" s="61">
        <f>countif(Constants!A:A,E345)</f>
        <v>1</v>
      </c>
      <c r="G345" s="62" t="str">
        <f t="shared" si="1"/>
        <v>2.99371703414</v>
      </c>
      <c r="H345" s="62">
        <f t="shared" si="2"/>
        <v>2.993717034</v>
      </c>
      <c r="I345" s="62" t="str">
        <f t="shared" si="3"/>
        <v>0.00000000015</v>
      </c>
      <c r="J345" s="63">
        <f t="shared" si="4"/>
        <v>0.00000000015</v>
      </c>
      <c r="K345" s="62" t="b">
        <f t="shared" si="5"/>
        <v>0</v>
      </c>
      <c r="L345" s="62" t="b">
        <f t="shared" si="6"/>
        <v>0</v>
      </c>
      <c r="M345" s="60" t="str">
        <f>IFERROR(__xludf.DUMMYFUNCTION("if(regexmatch(B345,""e(.*)$""),regexextract(B345,""e(.*)$""),"""")"),"")</f>
        <v/>
      </c>
    </row>
    <row r="346" hidden="1">
      <c r="A346" s="17" t="s">
        <v>2997</v>
      </c>
      <c r="B346" s="17" t="s">
        <v>3719</v>
      </c>
      <c r="C346" s="17" t="s">
        <v>3563</v>
      </c>
      <c r="E346" s="60" t="str">
        <f>VLOOKUP($A346,nist_names_ids!A:B,2,false)</f>
        <v>art</v>
      </c>
      <c r="F346" s="61">
        <f>countif(Constants!A:A,E346)</f>
        <v>1</v>
      </c>
      <c r="G346" s="62" t="str">
        <f t="shared" si="1"/>
        <v>3.01550071621</v>
      </c>
      <c r="H346" s="62">
        <f t="shared" si="2"/>
        <v>3.015500716</v>
      </c>
      <c r="I346" s="62" t="str">
        <f t="shared" si="3"/>
        <v>0.00000000012</v>
      </c>
      <c r="J346" s="63">
        <f t="shared" si="4"/>
        <v>0.00000000012</v>
      </c>
      <c r="K346" s="62" t="b">
        <f t="shared" si="5"/>
        <v>0</v>
      </c>
      <c r="L346" s="62" t="b">
        <f t="shared" si="6"/>
        <v>0</v>
      </c>
      <c r="M346" s="60" t="str">
        <f>IFERROR(__xludf.DUMMYFUNCTION("if(regexmatch(B346,""e(.*)$""),regexextract(B346,""e(.*)$""),"""")"),"")</f>
        <v/>
      </c>
    </row>
    <row r="347" hidden="1">
      <c r="A347" s="17" t="s">
        <v>3001</v>
      </c>
      <c r="B347" s="17" t="s">
        <v>3731</v>
      </c>
      <c r="C347" s="17" t="s">
        <v>3003</v>
      </c>
      <c r="E347" s="60" t="str">
        <f>VLOOKUP($A347,nist_names_ids!A:B,2,false)</f>
        <v>mutsmup</v>
      </c>
      <c r="F347" s="61">
        <f>countif(Constants!A:A,E347)</f>
        <v>1</v>
      </c>
      <c r="G347" s="62" t="str">
        <f t="shared" si="1"/>
        <v>1.0666399191</v>
      </c>
      <c r="H347" s="62">
        <f t="shared" si="2"/>
        <v>1.066639919</v>
      </c>
      <c r="I347" s="62" t="str">
        <f t="shared" si="3"/>
        <v>0.0000000021</v>
      </c>
      <c r="J347" s="63">
        <f t="shared" si="4"/>
        <v>0.0000000021</v>
      </c>
      <c r="K347" s="62" t="b">
        <f t="shared" si="5"/>
        <v>0</v>
      </c>
      <c r="L347" s="62" t="b">
        <f t="shared" si="6"/>
        <v>0</v>
      </c>
      <c r="M347" s="60" t="str">
        <f>IFERROR(__xludf.DUMMYFUNCTION("if(regexmatch(B347,""e(.*)$""),regexextract(B347,""e(.*)$""),"""")"),"")</f>
        <v/>
      </c>
    </row>
    <row r="348" hidden="1">
      <c r="A348" s="17" t="s">
        <v>3004</v>
      </c>
      <c r="B348" s="17" t="s">
        <v>2360</v>
      </c>
      <c r="C348" s="17" t="s">
        <v>2361</v>
      </c>
      <c r="D348" s="17" t="s">
        <v>98</v>
      </c>
      <c r="E348" s="60" t="str">
        <f>VLOOKUP($A348,nist_names_ids!A:B,2,false)</f>
        <v>ukg</v>
      </c>
      <c r="F348" s="61">
        <f>countif(Constants!A:A,E348)</f>
        <v>1</v>
      </c>
      <c r="G348" s="62" t="str">
        <f t="shared" si="1"/>
        <v>1.66053906660e-27</v>
      </c>
      <c r="H348" s="62">
        <f t="shared" si="2"/>
        <v>0</v>
      </c>
      <c r="I348" s="62" t="str">
        <f t="shared" si="3"/>
        <v>0.00000000050e-27</v>
      </c>
      <c r="J348" s="63">
        <f t="shared" si="4"/>
        <v>0</v>
      </c>
      <c r="K348" s="62" t="b">
        <f t="shared" si="5"/>
        <v>0</v>
      </c>
      <c r="L348" s="62" t="b">
        <f t="shared" si="6"/>
        <v>0</v>
      </c>
      <c r="M348" s="60" t="str">
        <f>IFERROR(__xludf.DUMMYFUNCTION("if(regexmatch(B348,""e(.*)$""),regexextract(B348,""e(.*)$""),"""")"),"-27")</f>
        <v>-27</v>
      </c>
    </row>
    <row r="349" hidden="1">
      <c r="A349" s="17" t="s">
        <v>3005</v>
      </c>
      <c r="B349" s="17" t="s">
        <v>3736</v>
      </c>
      <c r="C349" s="17" t="s">
        <v>3737</v>
      </c>
      <c r="D349" s="17" t="s">
        <v>1078</v>
      </c>
      <c r="E349" s="60" t="str">
        <f>VLOOKUP($A349,nist_names_ids!A:B,2,false)</f>
        <v>ep0</v>
      </c>
      <c r="F349" s="61">
        <f>countif(Constants!A:A,E349)</f>
        <v>1</v>
      </c>
      <c r="G349" s="62" t="str">
        <f t="shared" si="1"/>
        <v>8.8541878128e-12</v>
      </c>
      <c r="H349" s="62">
        <f t="shared" si="2"/>
        <v>0</v>
      </c>
      <c r="I349" s="62" t="str">
        <f t="shared" si="3"/>
        <v>0.0000000013e-12</v>
      </c>
      <c r="J349" s="63">
        <f t="shared" si="4"/>
        <v>0</v>
      </c>
      <c r="K349" s="62" t="b">
        <f t="shared" si="5"/>
        <v>0</v>
      </c>
      <c r="L349" s="62" t="b">
        <f t="shared" si="6"/>
        <v>0</v>
      </c>
      <c r="M349" s="60" t="str">
        <f>IFERROR(__xludf.DUMMYFUNCTION("if(regexmatch(B349,""e(.*)$""),regexextract(B349,""e(.*)$""),"""")"),"-12")</f>
        <v>-12</v>
      </c>
    </row>
    <row r="350" hidden="1">
      <c r="A350" s="17" t="s">
        <v>3008</v>
      </c>
      <c r="B350" s="17" t="s">
        <v>3742</v>
      </c>
      <c r="C350" s="17" t="s">
        <v>3743</v>
      </c>
      <c r="D350" s="17" t="s">
        <v>3011</v>
      </c>
      <c r="E350" s="60" t="str">
        <f>VLOOKUP($A350,nist_names_ids!A:B,2,false)</f>
        <v>mu0</v>
      </c>
      <c r="F350" s="61">
        <f>countif(Constants!A:A,E350)</f>
        <v>1</v>
      </c>
      <c r="G350" s="62" t="str">
        <f t="shared" si="1"/>
        <v>1.25663706212e-6</v>
      </c>
      <c r="H350" s="62">
        <f t="shared" si="2"/>
        <v>0.000001256637062</v>
      </c>
      <c r="I350" s="62" t="str">
        <f t="shared" si="3"/>
        <v>0.00000000019e-6</v>
      </c>
      <c r="J350" s="63">
        <f t="shared" si="4"/>
        <v>0</v>
      </c>
      <c r="K350" s="62" t="b">
        <f t="shared" si="5"/>
        <v>0</v>
      </c>
      <c r="L350" s="62" t="b">
        <f t="shared" si="6"/>
        <v>0</v>
      </c>
      <c r="M350" s="60" t="str">
        <f>IFERROR(__xludf.DUMMYFUNCTION("if(regexmatch(B350,""e(.*)$""),regexextract(B350,""e(.*)$""),"""")"),"-6")</f>
        <v>-6</v>
      </c>
    </row>
    <row r="351">
      <c r="A351" s="17" t="s">
        <v>3012</v>
      </c>
      <c r="B351" s="17" t="s">
        <v>3745</v>
      </c>
      <c r="C351" s="17" t="s">
        <v>1501</v>
      </c>
      <c r="D351" s="17" t="s">
        <v>500</v>
      </c>
      <c r="E351" s="60" t="str">
        <f>VLOOKUP($A351,nist_names_ids!A:B,2,false)</f>
        <v>rk</v>
      </c>
      <c r="F351" s="61">
        <f>countif(Constants!A:A,E351)</f>
        <v>1</v>
      </c>
      <c r="G351" s="62" t="str">
        <f t="shared" si="1"/>
        <v>25812.80745</v>
      </c>
      <c r="H351" s="62">
        <f t="shared" si="2"/>
        <v>25812.80745</v>
      </c>
      <c r="I351" s="62" t="str">
        <f t="shared" si="3"/>
        <v>(exact)</v>
      </c>
      <c r="J351" s="63" t="str">
        <f t="shared" si="4"/>
        <v/>
      </c>
      <c r="K351" s="62" t="b">
        <f t="shared" si="5"/>
        <v>1</v>
      </c>
      <c r="L351" s="62" t="b">
        <f t="shared" si="6"/>
        <v>1</v>
      </c>
      <c r="M351" s="60" t="str">
        <f>IFERROR(__xludf.DUMMYFUNCTION("if(regexmatch(B351,""e(.*)$""),regexextract(B351,""e(.*)$""),"""")"),"")</f>
        <v/>
      </c>
    </row>
    <row r="352" hidden="1">
      <c r="A352" s="17" t="s">
        <v>3014</v>
      </c>
      <c r="B352" s="17" t="s">
        <v>3749</v>
      </c>
      <c r="C352" s="17" t="s">
        <v>3750</v>
      </c>
      <c r="E352" s="60" t="str">
        <f>VLOOKUP($A352,nist_names_ids!A:B,2,false)</f>
        <v>sin2th</v>
      </c>
      <c r="F352" s="61">
        <f>countif(Constants!A:A,E352)</f>
        <v>1</v>
      </c>
      <c r="G352" s="62" t="str">
        <f t="shared" si="1"/>
        <v>0.22290</v>
      </c>
      <c r="H352" s="62">
        <f t="shared" si="2"/>
        <v>0.2229</v>
      </c>
      <c r="I352" s="62" t="str">
        <f t="shared" si="3"/>
        <v>0.00030</v>
      </c>
      <c r="J352" s="63">
        <f t="shared" si="4"/>
        <v>0.0003</v>
      </c>
      <c r="K352" s="62" t="b">
        <f t="shared" si="5"/>
        <v>0</v>
      </c>
      <c r="L352" s="62" t="b">
        <f t="shared" si="6"/>
        <v>0</v>
      </c>
      <c r="M352" s="60" t="str">
        <f>IFERROR(__xludf.DUMMYFUNCTION("if(regexmatch(B352,""e(.*)$""),regexextract(B352,""e(.*)$""),"""")"),"")</f>
        <v/>
      </c>
    </row>
    <row r="353">
      <c r="A353" s="17" t="s">
        <v>3018</v>
      </c>
      <c r="B353" s="17" t="s">
        <v>3753</v>
      </c>
      <c r="C353" s="17" t="s">
        <v>1501</v>
      </c>
      <c r="D353" s="17" t="s">
        <v>1303</v>
      </c>
      <c r="E353" s="60" t="str">
        <f>VLOOKUP($A353,nist_names_ids!A:B,2,false)</f>
        <v>bpwien</v>
      </c>
      <c r="F353" s="61">
        <f>countif(Constants!A:A,E353)</f>
        <v>1</v>
      </c>
      <c r="G353" s="62" t="str">
        <f t="shared" si="1"/>
        <v>5.878925757e10</v>
      </c>
      <c r="H353" s="62">
        <f t="shared" si="2"/>
        <v>58789257570</v>
      </c>
      <c r="I353" s="62" t="str">
        <f t="shared" si="3"/>
        <v>(exact)</v>
      </c>
      <c r="J353" s="63" t="str">
        <f t="shared" si="4"/>
        <v/>
      </c>
      <c r="K353" s="62" t="b">
        <f t="shared" si="5"/>
        <v>1</v>
      </c>
      <c r="L353" s="62" t="b">
        <f t="shared" si="6"/>
        <v>1</v>
      </c>
      <c r="M353" s="60" t="str">
        <f>IFERROR(__xludf.DUMMYFUNCTION("if(regexmatch(B353,""e(.*)$""),regexextract(B353,""e(.*)$""),"""")"),"10")</f>
        <v>10</v>
      </c>
    </row>
    <row r="354">
      <c r="A354" s="17" t="s">
        <v>3022</v>
      </c>
      <c r="B354" s="17" t="s">
        <v>3758</v>
      </c>
      <c r="C354" s="17" t="s">
        <v>1501</v>
      </c>
      <c r="D354" s="17" t="s">
        <v>2800</v>
      </c>
      <c r="E354" s="60" t="str">
        <f>VLOOKUP($A354,nist_names_ids!A:B,2,false)</f>
        <v>bwien</v>
      </c>
      <c r="F354" s="61">
        <f>countif(Constants!A:A,E354)</f>
        <v>1</v>
      </c>
      <c r="G354" s="62" t="str">
        <f t="shared" si="1"/>
        <v>2.897771955e-3</v>
      </c>
      <c r="H354" s="62">
        <f t="shared" si="2"/>
        <v>0.002897771955</v>
      </c>
      <c r="I354" s="62" t="str">
        <f t="shared" si="3"/>
        <v>(exact)</v>
      </c>
      <c r="J354" s="63" t="str">
        <f t="shared" si="4"/>
        <v/>
      </c>
      <c r="K354" s="62" t="b">
        <f t="shared" si="5"/>
        <v>1</v>
      </c>
      <c r="L354" s="62" t="b">
        <f t="shared" si="6"/>
        <v>1</v>
      </c>
      <c r="M354" s="60" t="str">
        <f>IFERROR(__xludf.DUMMYFUNCTION("if(regexmatch(B354,""e(.*)$""),regexextract(B354,""e(.*)$""),"""")"),"-3")</f>
        <v>-3</v>
      </c>
    </row>
    <row r="355" hidden="1">
      <c r="A355" s="17" t="s">
        <v>3024</v>
      </c>
      <c r="B355" s="17" t="s">
        <v>3760</v>
      </c>
      <c r="C355" s="17" t="s">
        <v>3388</v>
      </c>
      <c r="E355" s="60" t="str">
        <f>VLOOKUP($A355,nist_names_ids!A:B,2,false)</f>
        <v>rmwmz</v>
      </c>
      <c r="F355" s="61">
        <f>countif(Constants!A:A,E355)</f>
        <v>1</v>
      </c>
      <c r="G355" s="62" t="str">
        <f t="shared" si="1"/>
        <v>0.88153</v>
      </c>
      <c r="H355" s="62">
        <f t="shared" si="2"/>
        <v>0.88153</v>
      </c>
      <c r="I355" s="62" t="str">
        <f t="shared" si="3"/>
        <v>0.00017</v>
      </c>
      <c r="J355" s="63">
        <f t="shared" si="4"/>
        <v>0.00017</v>
      </c>
      <c r="K355" s="62" t="b">
        <f t="shared" si="5"/>
        <v>0</v>
      </c>
      <c r="L355" s="62" t="b">
        <f t="shared" si="6"/>
        <v>0</v>
      </c>
      <c r="M355" s="60" t="str">
        <f>IFERROR(__xludf.DUMMYFUNCTION("if(regexmatch(B355,""e(.*)$""),regexextract(B355,""e(.*)$""),"""")"),"")</f>
        <v/>
      </c>
    </row>
  </sheetData>
  <autoFilter ref="$C$1:$C$355">
    <filterColumn colId="0">
      <filters>
        <filter val="(exact)"/>
      </filters>
    </filterColumn>
  </autoFilter>
  <customSheetViews>
    <customSheetView guid="{7D30629C-4A25-4192-A70F-F4F526625FBD}" filter="1" showAutoFilter="1">
      <autoFilter ref="$A$1:$D$355">
        <filterColumn colId="1">
          <customFilters>
            <customFilter val="*...*"/>
          </customFilters>
        </filterColumn>
      </autoFilter>
    </customSheetView>
  </customSheetViews>
  <conditionalFormatting sqref="E1:E355">
    <cfRule type="expression" dxfId="0" priority="1">
      <formula>countif(E:E,E1)&gt;1</formula>
    </cfRule>
  </conditionalFormatting>
  <conditionalFormatting sqref="E1:E355">
    <cfRule type="expression" dxfId="0" priority="2">
      <formula>iserror(E1)</formula>
    </cfRule>
  </conditionalFormatting>
  <conditionalFormatting sqref="F1:F355">
    <cfRule type="cellIs" dxfId="3" priority="3" operator="equal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38"/>
    <col customWidth="1" min="2" max="2" width="20.13"/>
    <col customWidth="1" min="3" max="3" width="19.63"/>
    <col customWidth="1" min="4" max="4" width="12.13"/>
    <col customWidth="1" min="5" max="6" width="12.5"/>
    <col customWidth="1" min="7" max="7" width="17.75"/>
    <col customWidth="1" min="8" max="8" width="18.0"/>
    <col customWidth="1" min="9" max="9" width="17.75"/>
    <col customWidth="1" min="10" max="10" width="17.5"/>
    <col customWidth="1" min="11" max="11" width="7.63"/>
    <col customWidth="1" min="12" max="12" width="10.88"/>
    <col customWidth="1" min="13" max="13" width="8.38"/>
  </cols>
  <sheetData>
    <row r="1">
      <c r="A1" s="7" t="s">
        <v>1</v>
      </c>
      <c r="B1" s="7" t="s">
        <v>1406</v>
      </c>
      <c r="C1" s="7" t="s">
        <v>1407</v>
      </c>
      <c r="D1" s="7" t="s">
        <v>1408</v>
      </c>
      <c r="E1" s="58" t="s">
        <v>0</v>
      </c>
      <c r="F1" s="10" t="s">
        <v>1409</v>
      </c>
      <c r="G1" s="58" t="s">
        <v>1410</v>
      </c>
      <c r="H1" s="58" t="s">
        <v>1412</v>
      </c>
      <c r="I1" s="58" t="s">
        <v>1413</v>
      </c>
      <c r="J1" s="58" t="s">
        <v>1414</v>
      </c>
      <c r="K1" s="58" t="s">
        <v>1415</v>
      </c>
      <c r="L1" s="58" t="s">
        <v>1416</v>
      </c>
      <c r="M1" s="58" t="s">
        <v>1417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7" t="s">
        <v>1032</v>
      </c>
      <c r="B2" s="17" t="s">
        <v>3037</v>
      </c>
      <c r="C2" s="17" t="s">
        <v>3038</v>
      </c>
      <c r="D2" s="17" t="s">
        <v>381</v>
      </c>
      <c r="E2" s="60" t="str">
        <f>VLOOKUP($A2,nist_names_ids!A:B,2,false)</f>
        <v>d220sil</v>
      </c>
      <c r="F2" s="61">
        <f>countif(Constants!A:A,E2)</f>
        <v>1</v>
      </c>
      <c r="G2" s="62" t="str">
        <f t="shared" ref="G2:G336" si="1">SUBSTITUTE(SUBSTITUTE(B2," ",""),"...","")</f>
        <v>192.0155714e-12</v>
      </c>
      <c r="H2" s="62">
        <f t="shared" ref="H2:H336" si="2">value(G2)</f>
        <v>0.0000000001920155714</v>
      </c>
      <c r="I2" s="62" t="str">
        <f t="shared" ref="I2:I336" si="3">SUBSTITUTE(C2," ","")</f>
        <v>0.0000032e-12</v>
      </c>
      <c r="J2" s="62">
        <f t="shared" ref="J2:J336" si="4">if(I2="(exact)","",value(I2))</f>
        <v>0</v>
      </c>
      <c r="K2" s="62" t="b">
        <f t="shared" ref="K2:K336" si="5">if(I2="(exact)", TRUE,FALSE)</f>
        <v>0</v>
      </c>
      <c r="L2" s="62" t="b">
        <f t="shared" ref="L2:L336" si="6">ISNUMBER(search("...",B2))</f>
        <v>0</v>
      </c>
      <c r="M2" s="60" t="str">
        <f>IFERROR(__xludf.DUMMYFUNCTION("if(regexmatch(B2,""e(.*)$""),regexextract(B2,""e(.*)$""),"""")"),"-12")</f>
        <v>-12</v>
      </c>
    </row>
    <row r="3">
      <c r="A3" s="17" t="s">
        <v>1153</v>
      </c>
      <c r="B3" s="17" t="s">
        <v>3049</v>
      </c>
      <c r="C3" s="17" t="s">
        <v>2299</v>
      </c>
      <c r="E3" s="60" t="str">
        <f>VLOOKUP($A3,nist_names_ids!A:B,2,false)</f>
        <v>malsme</v>
      </c>
      <c r="F3" s="61">
        <f>countif(Constants!A:A,E3)</f>
        <v>1</v>
      </c>
      <c r="G3" s="62" t="str">
        <f t="shared" si="1"/>
        <v>7294.29954136</v>
      </c>
      <c r="H3" s="62">
        <f t="shared" si="2"/>
        <v>7294.299541</v>
      </c>
      <c r="I3" s="62" t="str">
        <f t="shared" si="3"/>
        <v>0.00000024</v>
      </c>
      <c r="J3" s="62">
        <f t="shared" si="4"/>
        <v>0.00000024</v>
      </c>
      <c r="K3" s="62" t="b">
        <f t="shared" si="5"/>
        <v>0</v>
      </c>
      <c r="L3" s="62" t="b">
        <f t="shared" si="6"/>
        <v>0</v>
      </c>
      <c r="M3" s="60" t="str">
        <f>IFERROR(__xludf.DUMMYFUNCTION("if(regexmatch(B3,""e(.*)$""),regexextract(B3,""e(.*)$""),"""")"),"")</f>
        <v/>
      </c>
    </row>
    <row r="4">
      <c r="A4" s="17" t="s">
        <v>96</v>
      </c>
      <c r="B4" s="17" t="s">
        <v>3055</v>
      </c>
      <c r="C4" s="17" t="s">
        <v>3056</v>
      </c>
      <c r="D4" s="17" t="s">
        <v>98</v>
      </c>
      <c r="E4" s="60" t="str">
        <f>VLOOKUP($A4,nist_names_ids!A:B,2,false)</f>
        <v>mal</v>
      </c>
      <c r="F4" s="61">
        <f>countif(Constants!A:A,E4)</f>
        <v>1</v>
      </c>
      <c r="G4" s="62" t="str">
        <f t="shared" si="1"/>
        <v>6.644657230e-27</v>
      </c>
      <c r="H4" s="62">
        <f t="shared" si="2"/>
        <v>0</v>
      </c>
      <c r="I4" s="62" t="str">
        <f t="shared" si="3"/>
        <v>0.000000082e-27</v>
      </c>
      <c r="J4" s="62">
        <f t="shared" si="4"/>
        <v>0</v>
      </c>
      <c r="K4" s="62" t="b">
        <f t="shared" si="5"/>
        <v>0</v>
      </c>
      <c r="L4" s="62" t="b">
        <f t="shared" si="6"/>
        <v>0</v>
      </c>
      <c r="M4" s="60" t="str">
        <f>IFERROR(__xludf.DUMMYFUNCTION("if(regexmatch(B4,""e(.*)$""),regexextract(B4,""e(.*)$""),"""")"),"-27")</f>
        <v>-27</v>
      </c>
    </row>
    <row r="5">
      <c r="A5" s="17" t="s">
        <v>176</v>
      </c>
      <c r="B5" s="17" t="s">
        <v>3059</v>
      </c>
      <c r="C5" s="17" t="s">
        <v>3060</v>
      </c>
      <c r="D5" s="17" t="s">
        <v>173</v>
      </c>
      <c r="E5" s="60" t="str">
        <f>VLOOKUP($A5,nist_names_ids!A:B,2,false)</f>
        <v>malc2</v>
      </c>
      <c r="F5" s="61">
        <f>countif(Constants!A:A,E5)</f>
        <v>1</v>
      </c>
      <c r="G5" s="62" t="str">
        <f t="shared" si="1"/>
        <v>5.971920097e-10</v>
      </c>
      <c r="H5" s="62">
        <f t="shared" si="2"/>
        <v>0.0000000005971920097</v>
      </c>
      <c r="I5" s="62" t="str">
        <f t="shared" si="3"/>
        <v>0.000000073e-10</v>
      </c>
      <c r="J5" s="62">
        <f t="shared" si="4"/>
        <v>0</v>
      </c>
      <c r="K5" s="62" t="b">
        <f t="shared" si="5"/>
        <v>0</v>
      </c>
      <c r="L5" s="62" t="b">
        <f t="shared" si="6"/>
        <v>0</v>
      </c>
      <c r="M5" s="60" t="str">
        <f>IFERROR(__xludf.DUMMYFUNCTION("if(regexmatch(B5,""e(.*)$""),regexextract(B5,""e(.*)$""),"""")"),"-10")</f>
        <v>-10</v>
      </c>
    </row>
    <row r="6">
      <c r="A6" s="17" t="s">
        <v>222</v>
      </c>
      <c r="B6" s="17" t="s">
        <v>3063</v>
      </c>
      <c r="C6" s="17" t="s">
        <v>3064</v>
      </c>
      <c r="D6" s="17" t="s">
        <v>224</v>
      </c>
      <c r="E6" s="60" t="str">
        <f>VLOOKUP($A6,nist_names_ids!A:B,2,false)</f>
        <v>malc2mev</v>
      </c>
      <c r="F6" s="61">
        <f>countif(Constants!A:A,E6)</f>
        <v>1</v>
      </c>
      <c r="G6" s="62" t="str">
        <f t="shared" si="1"/>
        <v>3727.379378</v>
      </c>
      <c r="H6" s="62">
        <f t="shared" si="2"/>
        <v>3727.379378</v>
      </c>
      <c r="I6" s="62" t="str">
        <f t="shared" si="3"/>
        <v>0.000023</v>
      </c>
      <c r="J6" s="62">
        <f t="shared" si="4"/>
        <v>0.000023</v>
      </c>
      <c r="K6" s="62" t="b">
        <f t="shared" si="5"/>
        <v>0</v>
      </c>
      <c r="L6" s="62" t="b">
        <f t="shared" si="6"/>
        <v>0</v>
      </c>
      <c r="M6" s="60" t="str">
        <f>IFERROR(__xludf.DUMMYFUNCTION("if(regexmatch(B6,""e(.*)$""),regexextract(B6,""e(.*)$""),"""")"),"")</f>
        <v/>
      </c>
    </row>
    <row r="7">
      <c r="A7" s="17" t="s">
        <v>245</v>
      </c>
      <c r="B7" s="17" t="s">
        <v>2328</v>
      </c>
      <c r="C7" s="17" t="s">
        <v>2329</v>
      </c>
      <c r="D7" s="17" t="s">
        <v>249</v>
      </c>
      <c r="E7" s="60" t="str">
        <f>VLOOKUP($A7,nist_names_ids!A:B,2,false)</f>
        <v>malu</v>
      </c>
      <c r="F7" s="61">
        <f>countif(Constants!A:A,E7)</f>
        <v>1</v>
      </c>
      <c r="G7" s="62" t="str">
        <f t="shared" si="1"/>
        <v>4.001506179127</v>
      </c>
      <c r="H7" s="62">
        <f t="shared" si="2"/>
        <v>4.001506179</v>
      </c>
      <c r="I7" s="62" t="str">
        <f t="shared" si="3"/>
        <v>0.000000000063</v>
      </c>
      <c r="J7" s="62">
        <f t="shared" si="4"/>
        <v>0</v>
      </c>
      <c r="K7" s="62" t="b">
        <f t="shared" si="5"/>
        <v>0</v>
      </c>
      <c r="L7" s="62" t="b">
        <f t="shared" si="6"/>
        <v>0</v>
      </c>
      <c r="M7" s="60" t="str">
        <f>IFERROR(__xludf.DUMMYFUNCTION("if(regexmatch(B7,""e(.*)$""),regexextract(B7,""e(.*)$""),"""")"),"")</f>
        <v/>
      </c>
    </row>
    <row r="8">
      <c r="A8" s="17" t="s">
        <v>284</v>
      </c>
      <c r="B8" s="17" t="s">
        <v>3070</v>
      </c>
      <c r="C8" s="17" t="s">
        <v>3071</v>
      </c>
      <c r="D8" s="17" t="s">
        <v>286</v>
      </c>
      <c r="E8" s="60" t="str">
        <f>VLOOKUP($A8,nist_names_ids!A:B,2,false)</f>
        <v>mmal</v>
      </c>
      <c r="F8" s="61">
        <f>countif(Constants!A:A,E8)</f>
        <v>1</v>
      </c>
      <c r="G8" s="62" t="str">
        <f t="shared" si="1"/>
        <v>4.001506179127e-3</v>
      </c>
      <c r="H8" s="62">
        <f t="shared" si="2"/>
        <v>0.004001506179</v>
      </c>
      <c r="I8" s="62" t="str">
        <f t="shared" si="3"/>
        <v>0.000000000063e-3</v>
      </c>
      <c r="J8" s="62">
        <f t="shared" si="4"/>
        <v>0</v>
      </c>
      <c r="K8" s="62" t="b">
        <f t="shared" si="5"/>
        <v>0</v>
      </c>
      <c r="L8" s="62" t="b">
        <f t="shared" si="6"/>
        <v>0</v>
      </c>
      <c r="M8" s="60" t="str">
        <f>IFERROR(__xludf.DUMMYFUNCTION("if(regexmatch(B8,""e(.*)$""),regexextract(B8,""e(.*)$""),"""")"),"-3")</f>
        <v>-3</v>
      </c>
    </row>
    <row r="9">
      <c r="A9" s="17" t="s">
        <v>1171</v>
      </c>
      <c r="B9" s="17" t="s">
        <v>3080</v>
      </c>
      <c r="C9" s="17" t="s">
        <v>3082</v>
      </c>
      <c r="E9" s="60" t="str">
        <f>VLOOKUP($A9,nist_names_ids!A:B,2,false)</f>
        <v>malsmp</v>
      </c>
      <c r="F9" s="61">
        <f>countif(Constants!A:A,E9)</f>
        <v>1</v>
      </c>
      <c r="G9" s="62" t="str">
        <f t="shared" si="1"/>
        <v>3.97259968907</v>
      </c>
      <c r="H9" s="62">
        <f t="shared" si="2"/>
        <v>3.972599689</v>
      </c>
      <c r="I9" s="62" t="str">
        <f t="shared" si="3"/>
        <v>0.00000000036</v>
      </c>
      <c r="J9" s="62">
        <f t="shared" si="4"/>
        <v>0.00000000036</v>
      </c>
      <c r="K9" s="62" t="b">
        <f t="shared" si="5"/>
        <v>0</v>
      </c>
      <c r="L9" s="62" t="b">
        <f t="shared" si="6"/>
        <v>0</v>
      </c>
      <c r="M9" s="60" t="str">
        <f>IFERROR(__xludf.DUMMYFUNCTION("if(regexmatch(B9,""e(.*)$""),regexextract(B9,""e(.*)$""),"""")"),"")</f>
        <v/>
      </c>
    </row>
    <row r="10">
      <c r="A10" s="17" t="s">
        <v>399</v>
      </c>
      <c r="B10" s="17" t="s">
        <v>2352</v>
      </c>
      <c r="C10" s="17" t="s">
        <v>1453</v>
      </c>
      <c r="D10" s="17" t="s">
        <v>381</v>
      </c>
      <c r="E10" s="60" t="str">
        <f>VLOOKUP($A10,nist_names_ids!A:B,2,false)</f>
        <v>angstar</v>
      </c>
      <c r="F10" s="61">
        <f>countif(Constants!A:A,E10)</f>
        <v>1</v>
      </c>
      <c r="G10" s="62" t="str">
        <f t="shared" si="1"/>
        <v>1.00001495e-10</v>
      </c>
      <c r="H10" s="62">
        <f t="shared" si="2"/>
        <v>0.000000000100001495</v>
      </c>
      <c r="I10" s="62" t="str">
        <f t="shared" si="3"/>
        <v>0.00000090e-10</v>
      </c>
      <c r="J10" s="62">
        <f t="shared" si="4"/>
        <v>0</v>
      </c>
      <c r="K10" s="62" t="b">
        <f t="shared" si="5"/>
        <v>0</v>
      </c>
      <c r="L10" s="62" t="b">
        <f t="shared" si="6"/>
        <v>0</v>
      </c>
      <c r="M10" s="60" t="str">
        <f>IFERROR(__xludf.DUMMYFUNCTION("if(regexmatch(B10,""e(.*)$""),regexextract(B10,""e(.*)$""),"""")"),"-10")</f>
        <v>-10</v>
      </c>
    </row>
    <row r="11">
      <c r="A11" s="17" t="s">
        <v>431</v>
      </c>
      <c r="B11" s="17" t="s">
        <v>3086</v>
      </c>
      <c r="C11" s="17" t="s">
        <v>3087</v>
      </c>
      <c r="D11" s="17" t="s">
        <v>98</v>
      </c>
      <c r="E11" s="60" t="str">
        <f>VLOOKUP($A11,nist_names_ids!A:B,2,false)</f>
        <v>u</v>
      </c>
      <c r="F11" s="61">
        <f>countif(Constants!A:A,E11)</f>
        <v>1</v>
      </c>
      <c r="G11" s="62" t="str">
        <f t="shared" si="1"/>
        <v>1.660539040e-27</v>
      </c>
      <c r="H11" s="62">
        <f t="shared" si="2"/>
        <v>0</v>
      </c>
      <c r="I11" s="62" t="str">
        <f t="shared" si="3"/>
        <v>0.000000020e-27</v>
      </c>
      <c r="J11" s="62">
        <f t="shared" si="4"/>
        <v>0</v>
      </c>
      <c r="K11" s="62" t="b">
        <f t="shared" si="5"/>
        <v>0</v>
      </c>
      <c r="L11" s="62" t="b">
        <f t="shared" si="6"/>
        <v>0</v>
      </c>
      <c r="M11" s="60" t="str">
        <f>IFERROR(__xludf.DUMMYFUNCTION("if(regexmatch(B11,""e(.*)$""),regexextract(B11,""e(.*)$""),"""")"),"-27")</f>
        <v>-27</v>
      </c>
    </row>
    <row r="12">
      <c r="A12" s="17" t="s">
        <v>619</v>
      </c>
      <c r="B12" s="17" t="s">
        <v>3089</v>
      </c>
      <c r="C12" s="17" t="s">
        <v>3090</v>
      </c>
      <c r="D12" s="17" t="s">
        <v>173</v>
      </c>
      <c r="E12" s="60" t="str">
        <f>VLOOKUP($A12,nist_names_ids!A:B,2,false)</f>
        <v>uj</v>
      </c>
      <c r="F12" s="61">
        <f>countif(Constants!A:A,E12)</f>
        <v>1</v>
      </c>
      <c r="G12" s="62" t="str">
        <f t="shared" si="1"/>
        <v>1.492418062e-10</v>
      </c>
      <c r="H12" s="62">
        <f t="shared" si="2"/>
        <v>0.0000000001492418062</v>
      </c>
      <c r="I12" s="62" t="str">
        <f t="shared" si="3"/>
        <v>0.000000018e-10</v>
      </c>
      <c r="J12" s="62">
        <f t="shared" si="4"/>
        <v>0</v>
      </c>
      <c r="K12" s="62" t="b">
        <f t="shared" si="5"/>
        <v>0</v>
      </c>
      <c r="L12" s="62" t="b">
        <f t="shared" si="6"/>
        <v>0</v>
      </c>
      <c r="M12" s="60" t="str">
        <f>IFERROR(__xludf.DUMMYFUNCTION("if(regexmatch(B12,""e(.*)$""),regexextract(B12,""e(.*)$""),"""")"),"-10")</f>
        <v>-10</v>
      </c>
    </row>
    <row r="13">
      <c r="A13" s="17" t="s">
        <v>453</v>
      </c>
      <c r="B13" s="17" t="s">
        <v>3095</v>
      </c>
      <c r="C13" s="17" t="s">
        <v>3096</v>
      </c>
      <c r="D13" s="17" t="s">
        <v>224</v>
      </c>
      <c r="E13" s="60" t="str">
        <f>VLOOKUP($A13,nist_names_ids!A:B,2,false)</f>
        <v>muc2mev</v>
      </c>
      <c r="F13" s="61">
        <f>countif(Constants!A:A,E13)</f>
        <v>1</v>
      </c>
      <c r="G13" s="62" t="str">
        <f t="shared" si="1"/>
        <v>931.4940954</v>
      </c>
      <c r="H13" s="62">
        <f t="shared" si="2"/>
        <v>931.4940954</v>
      </c>
      <c r="I13" s="62" t="str">
        <f t="shared" si="3"/>
        <v>0.0000057</v>
      </c>
      <c r="J13" s="62">
        <f t="shared" si="4"/>
        <v>0.0000057</v>
      </c>
      <c r="K13" s="62" t="b">
        <f t="shared" si="5"/>
        <v>0</v>
      </c>
      <c r="L13" s="62" t="b">
        <f t="shared" si="6"/>
        <v>0</v>
      </c>
      <c r="M13" s="60" t="str">
        <f>IFERROR(__xludf.DUMMYFUNCTION("if(regexmatch(B13,""e(.*)$""),regexextract(B13,""e(.*)$""),"""")"),"")</f>
        <v/>
      </c>
    </row>
    <row r="14">
      <c r="A14" s="17" t="s">
        <v>1242</v>
      </c>
      <c r="B14" s="17" t="s">
        <v>3100</v>
      </c>
      <c r="C14" s="17" t="s">
        <v>3101</v>
      </c>
      <c r="D14" s="17" t="s">
        <v>181</v>
      </c>
      <c r="E14" s="60" t="str">
        <f>VLOOKUP($A14,nist_names_ids!A:B,2,false)</f>
        <v>uev</v>
      </c>
      <c r="F14" s="61">
        <f>countif(Constants!A:A,E14)</f>
        <v>1</v>
      </c>
      <c r="G14" s="62" t="str">
        <f t="shared" si="1"/>
        <v>931.4940954e6</v>
      </c>
      <c r="H14" s="62">
        <f t="shared" si="2"/>
        <v>931494095.4</v>
      </c>
      <c r="I14" s="62" t="str">
        <f t="shared" si="3"/>
        <v>0.0000057e6</v>
      </c>
      <c r="J14" s="62">
        <f t="shared" si="4"/>
        <v>5.7</v>
      </c>
      <c r="K14" s="62" t="b">
        <f t="shared" si="5"/>
        <v>0</v>
      </c>
      <c r="L14" s="62" t="b">
        <f t="shared" si="6"/>
        <v>0</v>
      </c>
      <c r="M14" s="60" t="str">
        <f>IFERROR(__xludf.DUMMYFUNCTION("if(regexmatch(B14,""e(.*)$""),regexextract(B14,""e(.*)$""),"""")"),"6")</f>
        <v>6</v>
      </c>
    </row>
    <row r="15">
      <c r="A15" s="17" t="s">
        <v>1272</v>
      </c>
      <c r="B15" s="17" t="s">
        <v>3104</v>
      </c>
      <c r="C15" s="17" t="s">
        <v>3105</v>
      </c>
      <c r="D15" s="17" t="s">
        <v>170</v>
      </c>
      <c r="E15" s="60" t="str">
        <f>VLOOKUP($A15,nist_names_ids!A:B,2,false)</f>
        <v>uhr</v>
      </c>
      <c r="F15" s="61">
        <f>countif(Constants!A:A,E15)</f>
        <v>1</v>
      </c>
      <c r="G15" s="62" t="str">
        <f t="shared" si="1"/>
        <v>3.4231776902e7</v>
      </c>
      <c r="H15" s="62">
        <f t="shared" si="2"/>
        <v>34231776.9</v>
      </c>
      <c r="I15" s="62" t="str">
        <f t="shared" si="3"/>
        <v>0.0000000016e7</v>
      </c>
      <c r="J15" s="62">
        <f t="shared" si="4"/>
        <v>0.016</v>
      </c>
      <c r="K15" s="62" t="b">
        <f t="shared" si="5"/>
        <v>0</v>
      </c>
      <c r="L15" s="62" t="b">
        <f t="shared" si="6"/>
        <v>0</v>
      </c>
      <c r="M15" s="60" t="str">
        <f>IFERROR(__xludf.DUMMYFUNCTION("if(regexmatch(B15,""e(.*)$""),regexextract(B15,""e(.*)$""),"""")"),"7")</f>
        <v>7</v>
      </c>
    </row>
    <row r="16">
      <c r="A16" s="17" t="s">
        <v>1288</v>
      </c>
      <c r="B16" s="17" t="s">
        <v>3107</v>
      </c>
      <c r="C16" s="17" t="s">
        <v>3108</v>
      </c>
      <c r="D16" s="17" t="s">
        <v>257</v>
      </c>
      <c r="E16" s="60" t="str">
        <f>VLOOKUP($A16,nist_names_ids!A:B,2,false)</f>
        <v>uhz</v>
      </c>
      <c r="F16" s="61">
        <f>countif(Constants!A:A,E16)</f>
        <v>1</v>
      </c>
      <c r="G16" s="62" t="str">
        <f t="shared" si="1"/>
        <v>2.2523427206e23</v>
      </c>
      <c r="H16" s="62">
        <f t="shared" si="2"/>
        <v>2.25234E+23</v>
      </c>
      <c r="I16" s="62" t="str">
        <f t="shared" si="3"/>
        <v>0.0000000010e23</v>
      </c>
      <c r="J16" s="62">
        <f t="shared" si="4"/>
        <v>100000000000000</v>
      </c>
      <c r="K16" s="62" t="b">
        <f t="shared" si="5"/>
        <v>0</v>
      </c>
      <c r="L16" s="62" t="b">
        <f t="shared" si="6"/>
        <v>0</v>
      </c>
      <c r="M16" s="60" t="str">
        <f>IFERROR(__xludf.DUMMYFUNCTION("if(regexmatch(B16,""e(.*)$""),regexextract(B16,""e(.*)$""),"""")"),"23")</f>
        <v>23</v>
      </c>
    </row>
    <row r="17">
      <c r="A17" s="17" t="s">
        <v>1312</v>
      </c>
      <c r="B17" s="17" t="s">
        <v>3114</v>
      </c>
      <c r="C17" s="17" t="s">
        <v>3115</v>
      </c>
      <c r="D17" s="17" t="s">
        <v>561</v>
      </c>
      <c r="E17" s="60" t="str">
        <f>VLOOKUP($A17,nist_names_ids!A:B,2,false)</f>
        <v>uminv</v>
      </c>
      <c r="F17" s="61">
        <f>countif(Constants!A:A,E17)</f>
        <v>1</v>
      </c>
      <c r="G17" s="62" t="str">
        <f t="shared" si="1"/>
        <v>7.5130066166e14</v>
      </c>
      <c r="H17" s="62">
        <f t="shared" si="2"/>
        <v>751300661660000</v>
      </c>
      <c r="I17" s="62" t="str">
        <f t="shared" si="3"/>
        <v>0.0000000034e14</v>
      </c>
      <c r="J17" s="62">
        <f t="shared" si="4"/>
        <v>340000</v>
      </c>
      <c r="K17" s="62" t="b">
        <f t="shared" si="5"/>
        <v>0</v>
      </c>
      <c r="L17" s="62" t="b">
        <f t="shared" si="6"/>
        <v>0</v>
      </c>
      <c r="M17" s="60" t="str">
        <f>IFERROR(__xludf.DUMMYFUNCTION("if(regexmatch(B17,""e(.*)$""),regexextract(B17,""e(.*)$""),"""")"),"14")</f>
        <v>14</v>
      </c>
    </row>
    <row r="18">
      <c r="A18" s="17" t="s">
        <v>1324</v>
      </c>
      <c r="B18" s="17" t="s">
        <v>3089</v>
      </c>
      <c r="C18" s="17" t="s">
        <v>3090</v>
      </c>
      <c r="D18" s="17" t="s">
        <v>173</v>
      </c>
      <c r="E18" s="60" t="str">
        <f>VLOOKUP($A18,nist_names_ids!A:B,2,false)</f>
        <v>Ruj</v>
      </c>
      <c r="F18" s="61">
        <f>countif(Constants!A:A,E18)</f>
        <v>1</v>
      </c>
      <c r="G18" s="62" t="str">
        <f t="shared" si="1"/>
        <v>1.492418062e-10</v>
      </c>
      <c r="H18" s="62">
        <f t="shared" si="2"/>
        <v>0.0000000001492418062</v>
      </c>
      <c r="I18" s="62" t="str">
        <f t="shared" si="3"/>
        <v>0.000000018e-10</v>
      </c>
      <c r="J18" s="62">
        <f t="shared" si="4"/>
        <v>0</v>
      </c>
      <c r="K18" s="62" t="b">
        <f t="shared" si="5"/>
        <v>0</v>
      </c>
      <c r="L18" s="62" t="b">
        <f t="shared" si="6"/>
        <v>0</v>
      </c>
      <c r="M18" s="60" t="str">
        <f>IFERROR(__xludf.DUMMYFUNCTION("if(regexmatch(B18,""e(.*)$""),regexextract(B18,""e(.*)$""),"""")"),"-10")</f>
        <v>-10</v>
      </c>
    </row>
    <row r="19">
      <c r="A19" s="17" t="s">
        <v>1338</v>
      </c>
      <c r="B19" s="17" t="s">
        <v>3118</v>
      </c>
      <c r="C19" s="17" t="s">
        <v>3119</v>
      </c>
      <c r="D19" s="17" t="s">
        <v>345</v>
      </c>
      <c r="E19" s="60" t="str">
        <f>VLOOKUP($A19,nist_names_ids!A:B,2,false)</f>
        <v>uk</v>
      </c>
      <c r="F19" s="61">
        <f>countif(Constants!A:A,E19)</f>
        <v>1</v>
      </c>
      <c r="G19" s="62" t="str">
        <f t="shared" si="1"/>
        <v>1.08095438e13</v>
      </c>
      <c r="H19" s="62">
        <f t="shared" si="2"/>
        <v>10809543800000</v>
      </c>
      <c r="I19" s="62" t="str">
        <f t="shared" si="3"/>
        <v>0.00000062e13</v>
      </c>
      <c r="J19" s="62">
        <f t="shared" si="4"/>
        <v>6200000</v>
      </c>
      <c r="K19" s="62" t="b">
        <f t="shared" si="5"/>
        <v>0</v>
      </c>
      <c r="L19" s="62" t="b">
        <f t="shared" si="6"/>
        <v>0</v>
      </c>
      <c r="M19" s="60" t="str">
        <f>IFERROR(__xludf.DUMMYFUNCTION("if(regexmatch(B19,""e(.*)$""),regexextract(B19,""e(.*)$""),"""")"),"13")</f>
        <v>13</v>
      </c>
    </row>
    <row r="20">
      <c r="A20" s="17" t="s">
        <v>1349</v>
      </c>
      <c r="B20" s="17" t="s">
        <v>3086</v>
      </c>
      <c r="C20" s="17" t="s">
        <v>3087</v>
      </c>
      <c r="D20" s="17" t="s">
        <v>98</v>
      </c>
      <c r="E20" s="60" t="str">
        <f>VLOOKUP($A20,nist_names_ids!A:B,2,false)</f>
        <v>Rukg</v>
      </c>
      <c r="F20" s="61">
        <f>countif(Constants!A:A,E20)</f>
        <v>1</v>
      </c>
      <c r="G20" s="62" t="str">
        <f t="shared" si="1"/>
        <v>1.660539040e-27</v>
      </c>
      <c r="H20" s="62">
        <f t="shared" si="2"/>
        <v>0</v>
      </c>
      <c r="I20" s="62" t="str">
        <f t="shared" si="3"/>
        <v>0.000000020e-27</v>
      </c>
      <c r="J20" s="62">
        <f t="shared" si="4"/>
        <v>0</v>
      </c>
      <c r="K20" s="62" t="b">
        <f t="shared" si="5"/>
        <v>0</v>
      </c>
      <c r="L20" s="62" t="b">
        <f t="shared" si="6"/>
        <v>0</v>
      </c>
      <c r="M20" s="60" t="str">
        <f>IFERROR(__xludf.DUMMYFUNCTION("if(regexmatch(B20,""e(.*)$""),regexextract(B20,""e(.*)$""),"""")"),"-27")</f>
        <v>-27</v>
      </c>
    </row>
    <row r="21">
      <c r="A21" s="17" t="s">
        <v>1364</v>
      </c>
      <c r="B21" s="17" t="s">
        <v>3126</v>
      </c>
      <c r="C21" s="17" t="s">
        <v>3127</v>
      </c>
      <c r="D21" s="17" t="s">
        <v>676</v>
      </c>
      <c r="E21" s="60" t="str">
        <f>VLOOKUP($A21,nist_names_ids!A:B,2,false)</f>
        <v>auhypol</v>
      </c>
      <c r="F21" s="61">
        <f>countif(Constants!A:A,E21)</f>
        <v>1</v>
      </c>
      <c r="G21" s="62" t="str">
        <f t="shared" si="1"/>
        <v>3.206361329e-53</v>
      </c>
      <c r="H21" s="62">
        <f t="shared" si="2"/>
        <v>0</v>
      </c>
      <c r="I21" s="62" t="str">
        <f t="shared" si="3"/>
        <v>0.000000020e-53</v>
      </c>
      <c r="J21" s="62">
        <f t="shared" si="4"/>
        <v>0</v>
      </c>
      <c r="K21" s="62" t="b">
        <f t="shared" si="5"/>
        <v>0</v>
      </c>
      <c r="L21" s="62" t="b">
        <f t="shared" si="6"/>
        <v>0</v>
      </c>
      <c r="M21" s="60" t="str">
        <f>IFERROR(__xludf.DUMMYFUNCTION("if(regexmatch(B21,""e(.*)$""),regexextract(B21,""e(.*)$""),"""")"),"-53")</f>
        <v>-53</v>
      </c>
    </row>
    <row r="22">
      <c r="A22" s="17" t="s">
        <v>1378</v>
      </c>
      <c r="B22" s="17" t="s">
        <v>3129</v>
      </c>
      <c r="C22" s="17" t="s">
        <v>3130</v>
      </c>
      <c r="D22" s="17" t="s">
        <v>698</v>
      </c>
      <c r="E22" s="60" t="str">
        <f>VLOOKUP($A22,nist_names_ids!A:B,2,false)</f>
        <v>au2hypol</v>
      </c>
      <c r="F22" s="61">
        <f>countif(Constants!A:A,E22)</f>
        <v>1</v>
      </c>
      <c r="G22" s="62" t="str">
        <f t="shared" si="1"/>
        <v>6.235380085e-65</v>
      </c>
      <c r="H22" s="62">
        <f t="shared" si="2"/>
        <v>0</v>
      </c>
      <c r="I22" s="62" t="str">
        <f t="shared" si="3"/>
        <v>0.000000077e-65</v>
      </c>
      <c r="J22" s="62">
        <f t="shared" si="4"/>
        <v>0</v>
      </c>
      <c r="K22" s="62" t="b">
        <f t="shared" si="5"/>
        <v>0</v>
      </c>
      <c r="L22" s="62" t="b">
        <f t="shared" si="6"/>
        <v>0</v>
      </c>
      <c r="M22" s="60" t="str">
        <f>IFERROR(__xludf.DUMMYFUNCTION("if(regexmatch(B22,""e(.*)$""),regexextract(B22,""e(.*)$""),"""")"),"-65")</f>
        <v>-65</v>
      </c>
    </row>
    <row r="23">
      <c r="A23" s="17" t="s">
        <v>712</v>
      </c>
      <c r="B23" s="17" t="s">
        <v>3134</v>
      </c>
      <c r="C23" s="17" t="s">
        <v>3135</v>
      </c>
      <c r="D23" s="17" t="s">
        <v>714</v>
      </c>
      <c r="E23" s="60" t="str">
        <f>VLOOKUP($A23,nist_names_ids!A:B,2,false)</f>
        <v>tthbar</v>
      </c>
      <c r="F23" s="61">
        <f>countif(Constants!A:A,E23)</f>
        <v>1</v>
      </c>
      <c r="G23" s="62" t="str">
        <f t="shared" si="1"/>
        <v>1.054571800e-34</v>
      </c>
      <c r="H23" s="62">
        <f t="shared" si="2"/>
        <v>0</v>
      </c>
      <c r="I23" s="62" t="str">
        <f t="shared" si="3"/>
        <v>0.000000013e-34</v>
      </c>
      <c r="J23" s="62">
        <f t="shared" si="4"/>
        <v>0</v>
      </c>
      <c r="K23" s="62" t="b">
        <f t="shared" si="5"/>
        <v>0</v>
      </c>
      <c r="L23" s="62" t="b">
        <f t="shared" si="6"/>
        <v>0</v>
      </c>
      <c r="M23" s="60" t="str">
        <f>IFERROR(__xludf.DUMMYFUNCTION("if(regexmatch(B23,""e(.*)$""),regexextract(B23,""e(.*)$""),"""")"),"-34")</f>
        <v>-34</v>
      </c>
    </row>
    <row r="24">
      <c r="A24" s="17" t="s">
        <v>729</v>
      </c>
      <c r="B24" s="17" t="s">
        <v>3139</v>
      </c>
      <c r="C24" s="17" t="s">
        <v>3140</v>
      </c>
      <c r="D24" s="17" t="s">
        <v>81</v>
      </c>
      <c r="E24" s="60" t="str">
        <f>VLOOKUP($A24,nist_names_ids!A:B,2,false)</f>
        <v>Ae</v>
      </c>
      <c r="F24" s="61">
        <f>countif(Constants!A:A,E24)</f>
        <v>2</v>
      </c>
      <c r="G24" s="62" t="str">
        <f t="shared" si="1"/>
        <v>1.6021766208e-19</v>
      </c>
      <c r="H24" s="62">
        <f t="shared" si="2"/>
        <v>0</v>
      </c>
      <c r="I24" s="62" t="str">
        <f t="shared" si="3"/>
        <v>0.0000000098e-19</v>
      </c>
      <c r="J24" s="62">
        <f t="shared" si="4"/>
        <v>0</v>
      </c>
      <c r="K24" s="62" t="b">
        <f t="shared" si="5"/>
        <v>0</v>
      </c>
      <c r="L24" s="62" t="b">
        <f t="shared" si="6"/>
        <v>0</v>
      </c>
      <c r="M24" s="60" t="str">
        <f>IFERROR(__xludf.DUMMYFUNCTION("if(regexmatch(B24,""e(.*)$""),regexextract(B24,""e(.*)$""),"""")"),"-19")</f>
        <v>-19</v>
      </c>
    </row>
    <row r="25">
      <c r="A25" s="17" t="s">
        <v>742</v>
      </c>
      <c r="B25" s="17" t="s">
        <v>3142</v>
      </c>
      <c r="C25" s="17" t="s">
        <v>3143</v>
      </c>
      <c r="D25" s="17" t="s">
        <v>744</v>
      </c>
      <c r="E25" s="60" t="str">
        <f>VLOOKUP($A25,nist_names_ids!A:B,2,false)</f>
        <v>aucd</v>
      </c>
      <c r="F25" s="61">
        <f>countif(Constants!A:A,E25)</f>
        <v>1</v>
      </c>
      <c r="G25" s="62" t="str">
        <f t="shared" si="1"/>
        <v>1.0812023770e12</v>
      </c>
      <c r="H25" s="62">
        <f t="shared" si="2"/>
        <v>1081202377000</v>
      </c>
      <c r="I25" s="62" t="str">
        <f t="shared" si="3"/>
        <v>0.0000000067e12</v>
      </c>
      <c r="J25" s="62">
        <f t="shared" si="4"/>
        <v>6700</v>
      </c>
      <c r="K25" s="62" t="b">
        <f t="shared" si="5"/>
        <v>0</v>
      </c>
      <c r="L25" s="62" t="b">
        <f t="shared" si="6"/>
        <v>0</v>
      </c>
      <c r="M25" s="60" t="str">
        <f>IFERROR(__xludf.DUMMYFUNCTION("if(regexmatch(B25,""e(.*)$""),regexextract(B25,""e(.*)$""),"""")"),"12")</f>
        <v>12</v>
      </c>
    </row>
    <row r="26">
      <c r="A26" s="17" t="s">
        <v>756</v>
      </c>
      <c r="B26" s="17" t="s">
        <v>3145</v>
      </c>
      <c r="C26" s="17" t="s">
        <v>3147</v>
      </c>
      <c r="D26" s="17" t="s">
        <v>55</v>
      </c>
      <c r="E26" s="60" t="str">
        <f>VLOOKUP($A26,nist_names_ids!A:B,2,false)</f>
        <v>aucur</v>
      </c>
      <c r="F26" s="61">
        <f>countif(Constants!A:A,E26)</f>
        <v>1</v>
      </c>
      <c r="G26" s="62" t="str">
        <f t="shared" si="1"/>
        <v>6.623618183e-3</v>
      </c>
      <c r="H26" s="62">
        <f t="shared" si="2"/>
        <v>0.006623618183</v>
      </c>
      <c r="I26" s="62" t="str">
        <f t="shared" si="3"/>
        <v>0.000000041e-3</v>
      </c>
      <c r="J26" s="62">
        <f t="shared" si="4"/>
        <v>0</v>
      </c>
      <c r="K26" s="62" t="b">
        <f t="shared" si="5"/>
        <v>0</v>
      </c>
      <c r="L26" s="62" t="b">
        <f t="shared" si="6"/>
        <v>0</v>
      </c>
      <c r="M26" s="60" t="str">
        <f>IFERROR(__xludf.DUMMYFUNCTION("if(regexmatch(B26,""e(.*)$""),regexextract(B26,""e(.*)$""),"""")"),"-3")</f>
        <v>-3</v>
      </c>
    </row>
    <row r="27">
      <c r="A27" s="17" t="s">
        <v>1420</v>
      </c>
      <c r="B27" s="17" t="s">
        <v>3150</v>
      </c>
      <c r="C27" s="17" t="s">
        <v>3151</v>
      </c>
      <c r="D27" s="17" t="s">
        <v>772</v>
      </c>
      <c r="E27" s="60" t="str">
        <f>VLOOKUP($A27,nist_names_ids!A:B,2,false)</f>
        <v>auedm</v>
      </c>
      <c r="F27" s="61">
        <f>countif(Constants!A:A,E27)</f>
        <v>1</v>
      </c>
      <c r="G27" s="62" t="str">
        <f t="shared" si="1"/>
        <v>8.478353552e-30</v>
      </c>
      <c r="H27" s="62">
        <f t="shared" si="2"/>
        <v>0</v>
      </c>
      <c r="I27" s="62" t="str">
        <f t="shared" si="3"/>
        <v>0.000000052e-30</v>
      </c>
      <c r="J27" s="62">
        <f t="shared" si="4"/>
        <v>0</v>
      </c>
      <c r="K27" s="62" t="b">
        <f t="shared" si="5"/>
        <v>0</v>
      </c>
      <c r="L27" s="62" t="b">
        <f t="shared" si="6"/>
        <v>0</v>
      </c>
      <c r="M27" s="60" t="str">
        <f>IFERROR(__xludf.DUMMYFUNCTION("if(regexmatch(B27,""e(.*)$""),regexextract(B27,""e(.*)$""),"""")"),"-30")</f>
        <v>-30</v>
      </c>
    </row>
    <row r="28">
      <c r="A28" s="17" t="s">
        <v>787</v>
      </c>
      <c r="B28" s="17" t="s">
        <v>3153</v>
      </c>
      <c r="C28" s="17" t="s">
        <v>3154</v>
      </c>
      <c r="D28" s="17" t="s">
        <v>789</v>
      </c>
      <c r="E28" s="60" t="str">
        <f>VLOOKUP($A28,nist_names_ids!A:B,2,false)</f>
        <v>auefld</v>
      </c>
      <c r="F28" s="61">
        <f>countif(Constants!A:A,E28)</f>
        <v>1</v>
      </c>
      <c r="G28" s="62" t="str">
        <f t="shared" si="1"/>
        <v>5.142206707e11</v>
      </c>
      <c r="H28" s="62">
        <f t="shared" si="2"/>
        <v>514220670700</v>
      </c>
      <c r="I28" s="62" t="str">
        <f t="shared" si="3"/>
        <v>0.000000032e11</v>
      </c>
      <c r="J28" s="62">
        <f t="shared" si="4"/>
        <v>3200</v>
      </c>
      <c r="K28" s="62" t="b">
        <f t="shared" si="5"/>
        <v>0</v>
      </c>
      <c r="L28" s="62" t="b">
        <f t="shared" si="6"/>
        <v>0</v>
      </c>
      <c r="M28" s="60" t="str">
        <f>IFERROR(__xludf.DUMMYFUNCTION("if(regexmatch(B28,""e(.*)$""),regexextract(B28,""e(.*)$""),"""")"),"11")</f>
        <v>11</v>
      </c>
    </row>
    <row r="29">
      <c r="A29" s="17" t="s">
        <v>810</v>
      </c>
      <c r="B29" s="17" t="s">
        <v>3157</v>
      </c>
      <c r="C29" s="17" t="s">
        <v>3158</v>
      </c>
      <c r="D29" s="17" t="s">
        <v>812</v>
      </c>
      <c r="E29" s="60" t="str">
        <f>VLOOKUP($A29,nist_names_ids!A:B,2,false)</f>
        <v>auefg</v>
      </c>
      <c r="F29" s="61">
        <f>countif(Constants!A:A,E29)</f>
        <v>1</v>
      </c>
      <c r="G29" s="62" t="str">
        <f t="shared" si="1"/>
        <v>9.717362356e21</v>
      </c>
      <c r="H29" s="62">
        <f t="shared" si="2"/>
        <v>9.71736E+21</v>
      </c>
      <c r="I29" s="62" t="str">
        <f t="shared" si="3"/>
        <v>0.000000060e21</v>
      </c>
      <c r="J29" s="62">
        <f t="shared" si="4"/>
        <v>60000000000000</v>
      </c>
      <c r="K29" s="62" t="b">
        <f t="shared" si="5"/>
        <v>0</v>
      </c>
      <c r="L29" s="62" t="b">
        <f t="shared" si="6"/>
        <v>0</v>
      </c>
      <c r="M29" s="60" t="str">
        <f>IFERROR(__xludf.DUMMYFUNCTION("if(regexmatch(B29,""e(.*)$""),regexextract(B29,""e(.*)$""),"""")"),"21")</f>
        <v>21</v>
      </c>
    </row>
    <row r="30">
      <c r="A30" s="17" t="s">
        <v>833</v>
      </c>
      <c r="B30" s="17" t="s">
        <v>3161</v>
      </c>
      <c r="C30" s="17" t="s">
        <v>3162</v>
      </c>
      <c r="D30" s="17" t="s">
        <v>835</v>
      </c>
      <c r="E30" s="60" t="str">
        <f>VLOOKUP($A30,nist_names_ids!A:B,2,false)</f>
        <v>auepol</v>
      </c>
      <c r="F30" s="61">
        <f>countif(Constants!A:A,E30)</f>
        <v>1</v>
      </c>
      <c r="G30" s="62" t="str">
        <f t="shared" si="1"/>
        <v>1.6487772731e-41</v>
      </c>
      <c r="H30" s="62">
        <f t="shared" si="2"/>
        <v>0</v>
      </c>
      <c r="I30" s="62" t="str">
        <f t="shared" si="3"/>
        <v>0.0000000011e-41</v>
      </c>
      <c r="J30" s="62">
        <f t="shared" si="4"/>
        <v>0</v>
      </c>
      <c r="K30" s="62" t="b">
        <f t="shared" si="5"/>
        <v>0</v>
      </c>
      <c r="L30" s="62" t="b">
        <f t="shared" si="6"/>
        <v>0</v>
      </c>
      <c r="M30" s="60" t="str">
        <f>IFERROR(__xludf.DUMMYFUNCTION("if(regexmatch(B30,""e(.*)$""),regexextract(B30,""e(.*)$""),"""")"),"-41")</f>
        <v>-41</v>
      </c>
    </row>
    <row r="31">
      <c r="A31" s="17" t="s">
        <v>858</v>
      </c>
      <c r="B31" s="17" t="s">
        <v>3166</v>
      </c>
      <c r="C31" s="17" t="s">
        <v>1419</v>
      </c>
      <c r="D31" s="17" t="s">
        <v>546</v>
      </c>
      <c r="E31" s="60" t="str">
        <f>VLOOKUP($A31,nist_names_ids!A:B,2,false)</f>
        <v>auep</v>
      </c>
      <c r="F31" s="61">
        <f>countif(Constants!A:A,E31)</f>
        <v>1</v>
      </c>
      <c r="G31" s="62" t="str">
        <f t="shared" si="1"/>
        <v>27.21138602</v>
      </c>
      <c r="H31" s="62">
        <f t="shared" si="2"/>
        <v>27.21138602</v>
      </c>
      <c r="I31" s="62" t="str">
        <f t="shared" si="3"/>
        <v>0.00000017</v>
      </c>
      <c r="J31" s="62">
        <f t="shared" si="4"/>
        <v>0.00000017</v>
      </c>
      <c r="K31" s="62" t="b">
        <f t="shared" si="5"/>
        <v>0</v>
      </c>
      <c r="L31" s="62" t="b">
        <f t="shared" si="6"/>
        <v>0</v>
      </c>
      <c r="M31" s="60" t="str">
        <f>IFERROR(__xludf.DUMMYFUNCTION("if(regexmatch(B31,""e(.*)$""),regexextract(B31,""e(.*)$""),"""")"),"")</f>
        <v/>
      </c>
    </row>
    <row r="32">
      <c r="A32" s="17" t="s">
        <v>1470</v>
      </c>
      <c r="B32" s="17" t="s">
        <v>3167</v>
      </c>
      <c r="C32" s="17" t="s">
        <v>3168</v>
      </c>
      <c r="D32" s="17" t="s">
        <v>884</v>
      </c>
      <c r="E32" s="60" t="str">
        <f>VLOOKUP($A32,nist_names_ids!A:B,2,false)</f>
        <v>aueqm</v>
      </c>
      <c r="F32" s="61">
        <f>countif(Constants!A:A,E32)</f>
        <v>1</v>
      </c>
      <c r="G32" s="62" t="str">
        <f t="shared" si="1"/>
        <v>4.486551484e-40</v>
      </c>
      <c r="H32" s="62">
        <f t="shared" si="2"/>
        <v>0</v>
      </c>
      <c r="I32" s="62" t="str">
        <f t="shared" si="3"/>
        <v>0.000000028e-40</v>
      </c>
      <c r="J32" s="62">
        <f t="shared" si="4"/>
        <v>0</v>
      </c>
      <c r="K32" s="62" t="b">
        <f t="shared" si="5"/>
        <v>0</v>
      </c>
      <c r="L32" s="62" t="b">
        <f t="shared" si="6"/>
        <v>0</v>
      </c>
      <c r="M32" s="60" t="str">
        <f>IFERROR(__xludf.DUMMYFUNCTION("if(regexmatch(B32,""e(.*)$""),regexextract(B32,""e(.*)$""),"""")"),"-40")</f>
        <v>-40</v>
      </c>
    </row>
    <row r="33">
      <c r="A33" s="17" t="s">
        <v>901</v>
      </c>
      <c r="B33" s="17" t="s">
        <v>3169</v>
      </c>
      <c r="C33" s="17" t="s">
        <v>3170</v>
      </c>
      <c r="D33" s="17" t="s">
        <v>173</v>
      </c>
      <c r="E33" s="60" t="str">
        <f>VLOOKUP($A33,nist_names_ids!A:B,2,false)</f>
        <v>thr</v>
      </c>
      <c r="F33" s="61">
        <f>countif(Constants!A:A,E33)</f>
        <v>1</v>
      </c>
      <c r="G33" s="62" t="str">
        <f t="shared" si="1"/>
        <v>4.359744650e-18</v>
      </c>
      <c r="H33" s="62">
        <f t="shared" si="2"/>
        <v>0</v>
      </c>
      <c r="I33" s="62" t="str">
        <f t="shared" si="3"/>
        <v>0.000000054e-18</v>
      </c>
      <c r="J33" s="62">
        <f t="shared" si="4"/>
        <v>0</v>
      </c>
      <c r="K33" s="62" t="b">
        <f t="shared" si="5"/>
        <v>0</v>
      </c>
      <c r="L33" s="62" t="b">
        <f t="shared" si="6"/>
        <v>0</v>
      </c>
      <c r="M33" s="60" t="str">
        <f>IFERROR(__xludf.DUMMYFUNCTION("if(regexmatch(B33,""e(.*)$""),regexextract(B33,""e(.*)$""),"""")"),"-18")</f>
        <v>-18</v>
      </c>
    </row>
    <row r="34">
      <c r="A34" s="17" t="s">
        <v>921</v>
      </c>
      <c r="B34" s="17" t="s">
        <v>3175</v>
      </c>
      <c r="C34" s="17" t="s">
        <v>3176</v>
      </c>
      <c r="D34" s="17" t="s">
        <v>486</v>
      </c>
      <c r="E34" s="60" t="str">
        <f>VLOOKUP($A34,nist_names_ids!A:B,2,false)</f>
        <v>auforce</v>
      </c>
      <c r="F34" s="61">
        <f>countif(Constants!A:A,E34)</f>
        <v>1</v>
      </c>
      <c r="G34" s="62" t="str">
        <f t="shared" si="1"/>
        <v>8.23872336e-8</v>
      </c>
      <c r="H34" s="62">
        <f t="shared" si="2"/>
        <v>0.0000000823872336</v>
      </c>
      <c r="I34" s="62" t="str">
        <f t="shared" si="3"/>
        <v>0.00000010e-8</v>
      </c>
      <c r="J34" s="62">
        <f t="shared" si="4"/>
        <v>0</v>
      </c>
      <c r="K34" s="62" t="b">
        <f t="shared" si="5"/>
        <v>0</v>
      </c>
      <c r="L34" s="62" t="b">
        <f t="shared" si="6"/>
        <v>0</v>
      </c>
      <c r="M34" s="60" t="str">
        <f>IFERROR(__xludf.DUMMYFUNCTION("if(regexmatch(B34,""e(.*)$""),regexextract(B34,""e(.*)$""),"""")"),"-8")</f>
        <v>-8</v>
      </c>
    </row>
    <row r="35">
      <c r="A35" s="17" t="s">
        <v>940</v>
      </c>
      <c r="B35" s="17" t="s">
        <v>3179</v>
      </c>
      <c r="C35" s="17" t="s">
        <v>3180</v>
      </c>
      <c r="D35" s="17" t="s">
        <v>381</v>
      </c>
      <c r="E35" s="60" t="str">
        <f>VLOOKUP($A35,nist_names_ids!A:B,2,false)</f>
        <v>tbohrrada0</v>
      </c>
      <c r="F35" s="61">
        <f>countif(Constants!A:A,E35)</f>
        <v>1</v>
      </c>
      <c r="G35" s="62" t="str">
        <f t="shared" si="1"/>
        <v>0.52917721067e-10</v>
      </c>
      <c r="H35" s="62">
        <f t="shared" si="2"/>
        <v>0</v>
      </c>
      <c r="I35" s="62" t="str">
        <f t="shared" si="3"/>
        <v>0.00000000012e-10</v>
      </c>
      <c r="J35" s="62">
        <f t="shared" si="4"/>
        <v>0</v>
      </c>
      <c r="K35" s="62" t="b">
        <f t="shared" si="5"/>
        <v>0</v>
      </c>
      <c r="L35" s="62" t="b">
        <f t="shared" si="6"/>
        <v>0</v>
      </c>
      <c r="M35" s="60" t="str">
        <f>IFERROR(__xludf.DUMMYFUNCTION("if(regexmatch(B35,""e(.*)$""),regexextract(B35,""e(.*)$""),"""")"),"-10")</f>
        <v>-10</v>
      </c>
    </row>
    <row r="36">
      <c r="A36" s="17" t="s">
        <v>1517</v>
      </c>
      <c r="B36" s="17" t="s">
        <v>3193</v>
      </c>
      <c r="C36" s="17" t="s">
        <v>3194</v>
      </c>
      <c r="D36" s="17" t="s">
        <v>964</v>
      </c>
      <c r="E36" s="60" t="str">
        <f>VLOOKUP($A36,nist_names_ids!A:B,2,false)</f>
        <v>aumdm</v>
      </c>
      <c r="F36" s="61">
        <f>countif(Constants!A:A,E36)</f>
        <v>1</v>
      </c>
      <c r="G36" s="62" t="str">
        <f t="shared" si="1"/>
        <v>1.854801999e-23</v>
      </c>
      <c r="H36" s="62">
        <f t="shared" si="2"/>
        <v>0</v>
      </c>
      <c r="I36" s="62" t="str">
        <f t="shared" si="3"/>
        <v>0.000000011e-23</v>
      </c>
      <c r="J36" s="62">
        <f t="shared" si="4"/>
        <v>0</v>
      </c>
      <c r="K36" s="62" t="b">
        <f t="shared" si="5"/>
        <v>0</v>
      </c>
      <c r="L36" s="62" t="b">
        <f t="shared" si="6"/>
        <v>0</v>
      </c>
      <c r="M36" s="60" t="str">
        <f>IFERROR(__xludf.DUMMYFUNCTION("if(regexmatch(B36,""e(.*)$""),regexextract(B36,""e(.*)$""),"""")"),"-23")</f>
        <v>-23</v>
      </c>
    </row>
    <row r="37">
      <c r="A37" s="17" t="s">
        <v>979</v>
      </c>
      <c r="B37" s="17" t="s">
        <v>3197</v>
      </c>
      <c r="C37" s="17" t="s">
        <v>3198</v>
      </c>
      <c r="D37" s="17" t="s">
        <v>535</v>
      </c>
      <c r="E37" s="60" t="str">
        <f>VLOOKUP($A37,nist_names_ids!A:B,2,false)</f>
        <v>aumfd</v>
      </c>
      <c r="F37" s="61">
        <f>countif(Constants!A:A,E37)</f>
        <v>1</v>
      </c>
      <c r="G37" s="62" t="str">
        <f t="shared" si="1"/>
        <v>2.350517550e5</v>
      </c>
      <c r="H37" s="62">
        <f t="shared" si="2"/>
        <v>235051.755</v>
      </c>
      <c r="I37" s="62" t="str">
        <f t="shared" si="3"/>
        <v>0.000000014e5</v>
      </c>
      <c r="J37" s="62">
        <f t="shared" si="4"/>
        <v>0.0014</v>
      </c>
      <c r="K37" s="62" t="b">
        <f t="shared" si="5"/>
        <v>0</v>
      </c>
      <c r="L37" s="62" t="b">
        <f t="shared" si="6"/>
        <v>0</v>
      </c>
      <c r="M37" s="60" t="str">
        <f>IFERROR(__xludf.DUMMYFUNCTION("if(regexmatch(B37,""e(.*)$""),regexextract(B37,""e(.*)$""),"""")"),"5")</f>
        <v>5</v>
      </c>
    </row>
    <row r="38">
      <c r="A38" s="17" t="s">
        <v>997</v>
      </c>
      <c r="B38" s="17" t="s">
        <v>3200</v>
      </c>
      <c r="C38" s="17" t="s">
        <v>3201</v>
      </c>
      <c r="D38" s="17" t="s">
        <v>999</v>
      </c>
      <c r="E38" s="60" t="str">
        <f>VLOOKUP($A38,nist_names_ids!A:B,2,false)</f>
        <v>aumag</v>
      </c>
      <c r="F38" s="61">
        <f>countif(Constants!A:A,E38)</f>
        <v>1</v>
      </c>
      <c r="G38" s="62" t="str">
        <f t="shared" si="1"/>
        <v>7.8910365886e-29</v>
      </c>
      <c r="H38" s="62">
        <f t="shared" si="2"/>
        <v>0</v>
      </c>
      <c r="I38" s="62" t="str">
        <f t="shared" si="3"/>
        <v>0.0000000090e-29</v>
      </c>
      <c r="J38" s="62">
        <f t="shared" si="4"/>
        <v>0</v>
      </c>
      <c r="K38" s="62" t="b">
        <f t="shared" si="5"/>
        <v>0</v>
      </c>
      <c r="L38" s="62" t="b">
        <f t="shared" si="6"/>
        <v>0</v>
      </c>
      <c r="M38" s="60" t="str">
        <f>IFERROR(__xludf.DUMMYFUNCTION("if(regexmatch(B38,""e(.*)$""),regexextract(B38,""e(.*)$""),"""")"),"-29")</f>
        <v>-29</v>
      </c>
    </row>
    <row r="39">
      <c r="A39" s="17" t="s">
        <v>1015</v>
      </c>
      <c r="B39" s="17" t="s">
        <v>3204</v>
      </c>
      <c r="C39" s="17" t="s">
        <v>3205</v>
      </c>
      <c r="D39" s="17" t="s">
        <v>98</v>
      </c>
      <c r="E39" s="60" t="str">
        <f>VLOOKUP($A39,nist_names_ids!A:B,2,false)</f>
        <v>ttme</v>
      </c>
      <c r="F39" s="61">
        <f>countif(Constants!A:A,E39)</f>
        <v>1</v>
      </c>
      <c r="G39" s="62" t="str">
        <f t="shared" si="1"/>
        <v>9.10938356e-31</v>
      </c>
      <c r="H39" s="62">
        <f t="shared" si="2"/>
        <v>0</v>
      </c>
      <c r="I39" s="62" t="str">
        <f t="shared" si="3"/>
        <v>0.00000011e-31</v>
      </c>
      <c r="J39" s="62">
        <f t="shared" si="4"/>
        <v>0</v>
      </c>
      <c r="K39" s="62" t="b">
        <f t="shared" si="5"/>
        <v>0</v>
      </c>
      <c r="L39" s="62" t="b">
        <f t="shared" si="6"/>
        <v>0</v>
      </c>
      <c r="M39" s="60" t="str">
        <f>IFERROR(__xludf.DUMMYFUNCTION("if(regexmatch(B39,""e(.*)$""),regexextract(B39,""e(.*)$""),"""")"),"-31")</f>
        <v>-31</v>
      </c>
    </row>
    <row r="40">
      <c r="A40" s="17" t="s">
        <v>3209</v>
      </c>
      <c r="B40" s="17" t="s">
        <v>3210</v>
      </c>
      <c r="C40" s="17" t="s">
        <v>3211</v>
      </c>
      <c r="D40" s="17" t="s">
        <v>1058</v>
      </c>
      <c r="E40" s="60" t="str">
        <f>VLOOKUP($A40,nist_names_ids!A:B,2,false)</f>
        <v>aumom</v>
      </c>
      <c r="F40" s="61">
        <f>countif(Constants!A:A,E40)</f>
        <v>1</v>
      </c>
      <c r="G40" s="62" t="str">
        <f t="shared" si="1"/>
        <v>1.992851882e-24</v>
      </c>
      <c r="H40" s="62">
        <f t="shared" si="2"/>
        <v>0</v>
      </c>
      <c r="I40" s="62" t="str">
        <f t="shared" si="3"/>
        <v>0.000000024e-24</v>
      </c>
      <c r="J40" s="62">
        <f t="shared" si="4"/>
        <v>0</v>
      </c>
      <c r="K40" s="62" t="b">
        <f t="shared" si="5"/>
        <v>0</v>
      </c>
      <c r="L40" s="62" t="b">
        <f t="shared" si="6"/>
        <v>0</v>
      </c>
      <c r="M40" s="60" t="str">
        <f>IFERROR(__xludf.DUMMYFUNCTION("if(regexmatch(B40,""e(.*)$""),regexextract(B40,""e(.*)$""),"""")"),"-24")</f>
        <v>-24</v>
      </c>
    </row>
    <row r="41">
      <c r="A41" s="17" t="s">
        <v>1076</v>
      </c>
      <c r="B41" s="17" t="s">
        <v>3216</v>
      </c>
      <c r="C41" s="17" t="s">
        <v>1501</v>
      </c>
      <c r="D41" s="17" t="s">
        <v>1078</v>
      </c>
      <c r="E41" s="60" t="str">
        <f>VLOOKUP($A41,nist_names_ids!A:B,2,false)</f>
        <v>auperm</v>
      </c>
      <c r="F41" s="61">
        <f>countif(Constants!A:A,E41)</f>
        <v>1</v>
      </c>
      <c r="G41" s="62" t="str">
        <f t="shared" si="1"/>
        <v>1.112650056e-10</v>
      </c>
      <c r="H41" s="62">
        <f t="shared" si="2"/>
        <v>0.0000000001112650056</v>
      </c>
      <c r="I41" s="62" t="str">
        <f t="shared" si="3"/>
        <v>(exact)</v>
      </c>
      <c r="J41" s="62" t="str">
        <f t="shared" si="4"/>
        <v/>
      </c>
      <c r="K41" s="62" t="b">
        <f t="shared" si="5"/>
        <v>1</v>
      </c>
      <c r="L41" s="62" t="b">
        <f t="shared" si="6"/>
        <v>1</v>
      </c>
      <c r="M41" s="60" t="str">
        <f>IFERROR(__xludf.DUMMYFUNCTION("if(regexmatch(B41,""e(.*)$""),regexextract(B41,""e(.*)$""),"""")"),"-10")</f>
        <v>-10</v>
      </c>
    </row>
    <row r="42">
      <c r="A42" s="17" t="s">
        <v>1090</v>
      </c>
      <c r="B42" s="17" t="s">
        <v>3218</v>
      </c>
      <c r="C42" s="17" t="s">
        <v>3219</v>
      </c>
      <c r="D42" s="17" t="s">
        <v>520</v>
      </c>
      <c r="E42" s="60" t="str">
        <f>VLOOKUP($A42,nist_names_ids!A:B,2,false)</f>
        <v>aut</v>
      </c>
      <c r="F42" s="61">
        <f>countif(Constants!A:A,E42)</f>
        <v>1</v>
      </c>
      <c r="G42" s="62" t="str">
        <f t="shared" si="1"/>
        <v>2.418884326509e-17</v>
      </c>
      <c r="H42" s="62">
        <f t="shared" si="2"/>
        <v>0</v>
      </c>
      <c r="I42" s="62" t="str">
        <f t="shared" si="3"/>
        <v>0.000000000014e-17</v>
      </c>
      <c r="J42" s="62">
        <f t="shared" si="4"/>
        <v>0</v>
      </c>
      <c r="K42" s="62" t="b">
        <f t="shared" si="5"/>
        <v>0</v>
      </c>
      <c r="L42" s="62" t="b">
        <f t="shared" si="6"/>
        <v>0</v>
      </c>
      <c r="M42" s="60" t="str">
        <f>IFERROR(__xludf.DUMMYFUNCTION("if(regexmatch(B42,""e(.*)$""),regexextract(B42,""e(.*)$""),"""")"),"-17")</f>
        <v>-17</v>
      </c>
    </row>
    <row r="43">
      <c r="A43" s="17" t="s">
        <v>1107</v>
      </c>
      <c r="B43" s="17" t="s">
        <v>3225</v>
      </c>
      <c r="C43" s="17" t="s">
        <v>3226</v>
      </c>
      <c r="D43" s="17" t="s">
        <v>1109</v>
      </c>
      <c r="E43" s="60" t="str">
        <f>VLOOKUP($A43,nist_names_ids!A:B,2,false)</f>
        <v>auvel</v>
      </c>
      <c r="F43" s="61">
        <f>countif(Constants!A:A,E43)</f>
        <v>1</v>
      </c>
      <c r="G43" s="62" t="str">
        <f t="shared" si="1"/>
        <v>2.18769126277e6</v>
      </c>
      <c r="H43" s="62">
        <f t="shared" si="2"/>
        <v>2187691.263</v>
      </c>
      <c r="I43" s="62" t="str">
        <f t="shared" si="3"/>
        <v>0.00000000050e6</v>
      </c>
      <c r="J43" s="62">
        <f t="shared" si="4"/>
        <v>0.0005</v>
      </c>
      <c r="K43" s="62" t="b">
        <f t="shared" si="5"/>
        <v>0</v>
      </c>
      <c r="L43" s="62" t="b">
        <f t="shared" si="6"/>
        <v>0</v>
      </c>
      <c r="M43" s="60" t="str">
        <f>IFERROR(__xludf.DUMMYFUNCTION("if(regexmatch(B43,""e(.*)$""),regexextract(B43,""e(.*)$""),"""")"),"6")</f>
        <v>6</v>
      </c>
    </row>
    <row r="44">
      <c r="A44" s="17" t="s">
        <v>1125</v>
      </c>
      <c r="B44" s="17" t="s">
        <v>3229</v>
      </c>
      <c r="C44" s="17" t="s">
        <v>3230</v>
      </c>
      <c r="D44" s="17" t="s">
        <v>1127</v>
      </c>
      <c r="E44" s="60" t="str">
        <f>VLOOKUP($A44,nist_names_ids!A:B,2,false)</f>
        <v>na</v>
      </c>
      <c r="F44" s="61">
        <f>countif(Constants!A:A,E44)</f>
        <v>1</v>
      </c>
      <c r="G44" s="62" t="str">
        <f t="shared" si="1"/>
        <v>6.022140857e23</v>
      </c>
      <c r="H44" s="62">
        <f t="shared" si="2"/>
        <v>6.02214E+23</v>
      </c>
      <c r="I44" s="62" t="str">
        <f t="shared" si="3"/>
        <v>0.000000074e23</v>
      </c>
      <c r="J44" s="62">
        <f t="shared" si="4"/>
        <v>7.4E+15</v>
      </c>
      <c r="K44" s="62" t="b">
        <f t="shared" si="5"/>
        <v>0</v>
      </c>
      <c r="L44" s="62" t="b">
        <f t="shared" si="6"/>
        <v>0</v>
      </c>
      <c r="M44" s="60" t="str">
        <f>IFERROR(__xludf.DUMMYFUNCTION("if(regexmatch(B44,""e(.*)$""),regexextract(B44,""e(.*)$""),"""")"),"23")</f>
        <v>23</v>
      </c>
    </row>
    <row r="45">
      <c r="A45" s="17" t="s">
        <v>1146</v>
      </c>
      <c r="B45" s="17" t="s">
        <v>3233</v>
      </c>
      <c r="C45" s="17" t="s">
        <v>3234</v>
      </c>
      <c r="D45" s="17" t="s">
        <v>964</v>
      </c>
      <c r="E45" s="60" t="str">
        <f>VLOOKUP($A45,nist_names_ids!A:B,2,false)</f>
        <v>mub</v>
      </c>
      <c r="F45" s="61">
        <f>countif(Constants!A:A,E45)</f>
        <v>1</v>
      </c>
      <c r="G45" s="62" t="str">
        <f t="shared" si="1"/>
        <v>927.4009994e-26</v>
      </c>
      <c r="H45" s="62">
        <f t="shared" si="2"/>
        <v>0</v>
      </c>
      <c r="I45" s="62" t="str">
        <f t="shared" si="3"/>
        <v>0.0000057e-26</v>
      </c>
      <c r="J45" s="62">
        <f t="shared" si="4"/>
        <v>0</v>
      </c>
      <c r="K45" s="62" t="b">
        <f t="shared" si="5"/>
        <v>0</v>
      </c>
      <c r="L45" s="62" t="b">
        <f t="shared" si="6"/>
        <v>0</v>
      </c>
      <c r="M45" s="60" t="str">
        <f>IFERROR(__xludf.DUMMYFUNCTION("if(regexmatch(B45,""e(.*)$""),regexextract(B45,""e(.*)$""),"""")"),"-26")</f>
        <v>-26</v>
      </c>
    </row>
    <row r="46">
      <c r="A46" s="17" t="s">
        <v>1162</v>
      </c>
      <c r="B46" s="17" t="s">
        <v>3237</v>
      </c>
      <c r="C46" s="17" t="s">
        <v>3238</v>
      </c>
      <c r="D46" s="17" t="s">
        <v>1165</v>
      </c>
      <c r="E46" s="60" t="str">
        <f>VLOOKUP($A46,nist_names_ids!A:B,2,false)</f>
        <v>mubev</v>
      </c>
      <c r="F46" s="61">
        <f>countif(Constants!A:A,E46)</f>
        <v>1</v>
      </c>
      <c r="G46" s="62" t="str">
        <f t="shared" si="1"/>
        <v>5.7883818012e-5</v>
      </c>
      <c r="H46" s="62">
        <f t="shared" si="2"/>
        <v>0.00005788381801</v>
      </c>
      <c r="I46" s="62" t="str">
        <f t="shared" si="3"/>
        <v>0.0000000026e-5</v>
      </c>
      <c r="J46" s="62">
        <f t="shared" si="4"/>
        <v>0</v>
      </c>
      <c r="K46" s="62" t="b">
        <f t="shared" si="5"/>
        <v>0</v>
      </c>
      <c r="L46" s="62" t="b">
        <f t="shared" si="6"/>
        <v>0</v>
      </c>
      <c r="M46" s="60" t="str">
        <f>IFERROR(__xludf.DUMMYFUNCTION("if(regexmatch(B46,""e(.*)$""),regexextract(B46,""e(.*)$""),"""")"),"-5")</f>
        <v>-5</v>
      </c>
    </row>
    <row r="47">
      <c r="A47" s="17" t="s">
        <v>1184</v>
      </c>
      <c r="B47" s="17" t="s">
        <v>3242</v>
      </c>
      <c r="C47" s="17" t="s">
        <v>3243</v>
      </c>
      <c r="D47" s="17" t="s">
        <v>1186</v>
      </c>
      <c r="E47" s="60" t="str">
        <f>VLOOKUP($A47,nist_names_ids!A:B,2,false)</f>
        <v>mubshhz</v>
      </c>
      <c r="F47" s="61">
        <f>countif(Constants!A:A,E47)</f>
        <v>1</v>
      </c>
      <c r="G47" s="62" t="str">
        <f t="shared" si="1"/>
        <v>13.996245042e9</v>
      </c>
      <c r="H47" s="62">
        <f t="shared" si="2"/>
        <v>13996245042</v>
      </c>
      <c r="I47" s="62" t="str">
        <f t="shared" si="3"/>
        <v>0.000000086e9</v>
      </c>
      <c r="J47" s="62">
        <f t="shared" si="4"/>
        <v>86</v>
      </c>
      <c r="K47" s="62" t="b">
        <f t="shared" si="5"/>
        <v>0</v>
      </c>
      <c r="L47" s="62" t="b">
        <f t="shared" si="6"/>
        <v>0</v>
      </c>
      <c r="M47" s="60" t="str">
        <f>IFERROR(__xludf.DUMMYFUNCTION("if(regexmatch(B47,""e(.*)$""),regexextract(B47,""e(.*)$""),"""")"),"9")</f>
        <v>9</v>
      </c>
    </row>
    <row r="48">
      <c r="A48" s="17" t="s">
        <v>1657</v>
      </c>
      <c r="B48" s="17" t="s">
        <v>3245</v>
      </c>
      <c r="C48" s="17" t="s">
        <v>1465</v>
      </c>
      <c r="D48" s="17" t="s">
        <v>1205</v>
      </c>
      <c r="E48" s="60" t="str">
        <f>VLOOKUP($A48,nist_names_ids!A:B,2,false)</f>
        <v>mubshcminv</v>
      </c>
      <c r="F48" s="61">
        <f>countif(Constants!A:A,E48)</f>
        <v>1</v>
      </c>
      <c r="G48" s="62" t="str">
        <f t="shared" si="1"/>
        <v>46.68644814</v>
      </c>
      <c r="H48" s="62">
        <f t="shared" si="2"/>
        <v>46.68644814</v>
      </c>
      <c r="I48" s="62" t="str">
        <f t="shared" si="3"/>
        <v>0.00000029</v>
      </c>
      <c r="J48" s="62">
        <f t="shared" si="4"/>
        <v>0.00000029</v>
      </c>
      <c r="K48" s="62" t="b">
        <f t="shared" si="5"/>
        <v>0</v>
      </c>
      <c r="L48" s="62" t="b">
        <f t="shared" si="6"/>
        <v>0</v>
      </c>
      <c r="M48" s="60" t="str">
        <f>IFERROR(__xludf.DUMMYFUNCTION("if(regexmatch(B48,""e(.*)$""),regexextract(B48,""e(.*)$""),"""")"),"")</f>
        <v/>
      </c>
    </row>
    <row r="49">
      <c r="A49" s="17" t="s">
        <v>1224</v>
      </c>
      <c r="B49" s="17" t="s">
        <v>3248</v>
      </c>
      <c r="C49" s="17" t="s">
        <v>3249</v>
      </c>
      <c r="D49" s="17" t="s">
        <v>1226</v>
      </c>
      <c r="E49" s="60" t="str">
        <f>VLOOKUP($A49,nist_names_ids!A:B,2,false)</f>
        <v>mubskk</v>
      </c>
      <c r="F49" s="61">
        <f>countif(Constants!A:A,E49)</f>
        <v>1</v>
      </c>
      <c r="G49" s="62" t="str">
        <f t="shared" si="1"/>
        <v>0.67171405</v>
      </c>
      <c r="H49" s="62">
        <f t="shared" si="2"/>
        <v>0.67171405</v>
      </c>
      <c r="I49" s="62" t="str">
        <f t="shared" si="3"/>
        <v>0.00000039</v>
      </c>
      <c r="J49" s="62">
        <f t="shared" si="4"/>
        <v>0.00000039</v>
      </c>
      <c r="K49" s="62" t="b">
        <f t="shared" si="5"/>
        <v>0</v>
      </c>
      <c r="L49" s="62" t="b">
        <f t="shared" si="6"/>
        <v>0</v>
      </c>
      <c r="M49" s="60" t="str">
        <f>IFERROR(__xludf.DUMMYFUNCTION("if(regexmatch(B49,""e(.*)$""),regexextract(B49,""e(.*)$""),"""")"),"")</f>
        <v/>
      </c>
    </row>
    <row r="50">
      <c r="A50" s="17" t="s">
        <v>1240</v>
      </c>
      <c r="B50" s="17" t="s">
        <v>3179</v>
      </c>
      <c r="C50" s="17" t="s">
        <v>3180</v>
      </c>
      <c r="D50" s="17" t="s">
        <v>381</v>
      </c>
      <c r="E50" s="60" t="str">
        <f>VLOOKUP($A50,nist_names_ids!A:B,2,false)</f>
        <v>bohrrada0</v>
      </c>
      <c r="F50" s="61">
        <f>countif(Constants!A:A,E50)</f>
        <v>1</v>
      </c>
      <c r="G50" s="62" t="str">
        <f t="shared" si="1"/>
        <v>0.52917721067e-10</v>
      </c>
      <c r="H50" s="62">
        <f t="shared" si="2"/>
        <v>0</v>
      </c>
      <c r="I50" s="62" t="str">
        <f t="shared" si="3"/>
        <v>0.00000000012e-10</v>
      </c>
      <c r="J50" s="62">
        <f t="shared" si="4"/>
        <v>0</v>
      </c>
      <c r="K50" s="62" t="b">
        <f t="shared" si="5"/>
        <v>0</v>
      </c>
      <c r="L50" s="62" t="b">
        <f t="shared" si="6"/>
        <v>0</v>
      </c>
      <c r="M50" s="60" t="str">
        <f>IFERROR(__xludf.DUMMYFUNCTION("if(regexmatch(B50,""e(.*)$""),regexextract(B50,""e(.*)$""),"""")"),"-10")</f>
        <v>-10</v>
      </c>
    </row>
    <row r="51">
      <c r="A51" s="17" t="s">
        <v>1258</v>
      </c>
      <c r="B51" s="17" t="s">
        <v>3256</v>
      </c>
      <c r="C51" s="17" t="s">
        <v>3257</v>
      </c>
      <c r="D51" s="17" t="s">
        <v>1260</v>
      </c>
      <c r="E51" s="60" t="str">
        <f>VLOOKUP($A51,nist_names_ids!A:B,2,false)</f>
        <v>k</v>
      </c>
      <c r="F51" s="61">
        <f>countif(Constants!A:A,E51)</f>
        <v>1</v>
      </c>
      <c r="G51" s="62" t="str">
        <f t="shared" si="1"/>
        <v>1.38064852e-23</v>
      </c>
      <c r="H51" s="62">
        <f t="shared" si="2"/>
        <v>0</v>
      </c>
      <c r="I51" s="62" t="str">
        <f t="shared" si="3"/>
        <v>0.00000079e-23</v>
      </c>
      <c r="J51" s="62">
        <f t="shared" si="4"/>
        <v>0</v>
      </c>
      <c r="K51" s="62" t="b">
        <f t="shared" si="5"/>
        <v>0</v>
      </c>
      <c r="L51" s="62" t="b">
        <f t="shared" si="6"/>
        <v>0</v>
      </c>
      <c r="M51" s="60" t="str">
        <f>IFERROR(__xludf.DUMMYFUNCTION("if(regexmatch(B51,""e(.*)$""),regexextract(B51,""e(.*)$""),"""")"),"-23")</f>
        <v>-23</v>
      </c>
    </row>
    <row r="52">
      <c r="A52" s="17" t="s">
        <v>1279</v>
      </c>
      <c r="B52" s="17" t="s">
        <v>3259</v>
      </c>
      <c r="C52" s="17" t="s">
        <v>3260</v>
      </c>
      <c r="D52" s="17" t="s">
        <v>1283</v>
      </c>
      <c r="E52" s="60" t="str">
        <f>VLOOKUP($A52,nist_names_ids!A:B,2,false)</f>
        <v>tkev</v>
      </c>
      <c r="F52" s="61">
        <f>countif(Constants!A:A,E52)</f>
        <v>1</v>
      </c>
      <c r="G52" s="62" t="str">
        <f t="shared" si="1"/>
        <v>8.6173303e-5</v>
      </c>
      <c r="H52" s="62">
        <f t="shared" si="2"/>
        <v>0.000086173303</v>
      </c>
      <c r="I52" s="62" t="str">
        <f t="shared" si="3"/>
        <v>0.0000050e-5</v>
      </c>
      <c r="J52" s="62">
        <f t="shared" si="4"/>
        <v>0</v>
      </c>
      <c r="K52" s="62" t="b">
        <f t="shared" si="5"/>
        <v>0</v>
      </c>
      <c r="L52" s="62" t="b">
        <f t="shared" si="6"/>
        <v>0</v>
      </c>
      <c r="M52" s="60" t="str">
        <f>IFERROR(__xludf.DUMMYFUNCTION("if(regexmatch(B52,""e(.*)$""),regexextract(B52,""e(.*)$""),"""")"),"-5")</f>
        <v>-5</v>
      </c>
    </row>
    <row r="53">
      <c r="A53" s="17" t="s">
        <v>1301</v>
      </c>
      <c r="B53" s="17" t="s">
        <v>3262</v>
      </c>
      <c r="C53" s="17" t="s">
        <v>3263</v>
      </c>
      <c r="D53" s="17" t="s">
        <v>1303</v>
      </c>
      <c r="E53" s="60" t="str">
        <f>VLOOKUP($A53,nist_names_ids!A:B,2,false)</f>
        <v>kshhz</v>
      </c>
      <c r="F53" s="61">
        <f>countif(Constants!A:A,E53)</f>
        <v>1</v>
      </c>
      <c r="G53" s="62" t="str">
        <f t="shared" si="1"/>
        <v>2.0836612e10</v>
      </c>
      <c r="H53" s="62">
        <f t="shared" si="2"/>
        <v>20836612000</v>
      </c>
      <c r="I53" s="62" t="str">
        <f t="shared" si="3"/>
        <v>0.0000012e10</v>
      </c>
      <c r="J53" s="62">
        <f t="shared" si="4"/>
        <v>12000</v>
      </c>
      <c r="K53" s="62" t="b">
        <f t="shared" si="5"/>
        <v>0</v>
      </c>
      <c r="L53" s="62" t="b">
        <f t="shared" si="6"/>
        <v>0</v>
      </c>
      <c r="M53" s="60" t="str">
        <f>IFERROR(__xludf.DUMMYFUNCTION("if(regexmatch(B53,""e(.*)$""),regexextract(B53,""e(.*)$""),"""")"),"10")</f>
        <v>10</v>
      </c>
    </row>
    <row r="54">
      <c r="A54" s="17" t="s">
        <v>1691</v>
      </c>
      <c r="B54" s="17" t="s">
        <v>3267</v>
      </c>
      <c r="C54" s="17" t="s">
        <v>3268</v>
      </c>
      <c r="D54" s="17" t="s">
        <v>1321</v>
      </c>
      <c r="E54" s="60" t="str">
        <f>VLOOKUP($A54,nist_names_ids!A:B,2,false)</f>
        <v>kshcminv</v>
      </c>
      <c r="F54" s="61">
        <f>countif(Constants!A:A,E54)</f>
        <v>1</v>
      </c>
      <c r="G54" s="62" t="str">
        <f t="shared" si="1"/>
        <v>69.503457</v>
      </c>
      <c r="H54" s="62">
        <f t="shared" si="2"/>
        <v>69.503457</v>
      </c>
      <c r="I54" s="62" t="str">
        <f t="shared" si="3"/>
        <v>0.000040</v>
      </c>
      <c r="J54" s="62">
        <f t="shared" si="4"/>
        <v>0.00004</v>
      </c>
      <c r="K54" s="62" t="b">
        <f t="shared" si="5"/>
        <v>0</v>
      </c>
      <c r="L54" s="62" t="b">
        <f t="shared" si="6"/>
        <v>0</v>
      </c>
      <c r="M54" s="60" t="str">
        <f>IFERROR(__xludf.DUMMYFUNCTION("if(regexmatch(B54,""e(.*)$""),regexextract(B54,""e(.*)$""),"""")"),"")</f>
        <v/>
      </c>
    </row>
    <row r="55">
      <c r="A55" s="17" t="s">
        <v>1335</v>
      </c>
      <c r="B55" s="17" t="s">
        <v>3270</v>
      </c>
      <c r="C55" s="17" t="s">
        <v>1501</v>
      </c>
      <c r="D55" s="17" t="s">
        <v>500</v>
      </c>
      <c r="E55" s="60" t="str">
        <f>VLOOKUP($A55,nist_names_ids!A:B,2,false)</f>
        <v>z0</v>
      </c>
      <c r="F55" s="61">
        <f>countif(Constants!A:A,E55)</f>
        <v>1</v>
      </c>
      <c r="G55" s="62" t="str">
        <f t="shared" si="1"/>
        <v>376.730313461</v>
      </c>
      <c r="H55" s="62">
        <f t="shared" si="2"/>
        <v>376.7303135</v>
      </c>
      <c r="I55" s="62" t="str">
        <f t="shared" si="3"/>
        <v>(exact)</v>
      </c>
      <c r="J55" s="62" t="str">
        <f t="shared" si="4"/>
        <v/>
      </c>
      <c r="K55" s="62" t="b">
        <f t="shared" si="5"/>
        <v>1</v>
      </c>
      <c r="L55" s="62" t="b">
        <f t="shared" si="6"/>
        <v>1</v>
      </c>
      <c r="M55" s="60" t="str">
        <f>IFERROR(__xludf.DUMMYFUNCTION("if(regexmatch(B55,""e(.*)$""),regexextract(B55,""e(.*)$""),"""")"),"")</f>
        <v/>
      </c>
    </row>
    <row r="56">
      <c r="A56" s="17" t="s">
        <v>1351</v>
      </c>
      <c r="B56" s="17" t="s">
        <v>3273</v>
      </c>
      <c r="C56" s="17" t="s">
        <v>3274</v>
      </c>
      <c r="D56" s="17" t="s">
        <v>381</v>
      </c>
      <c r="E56" s="60" t="str">
        <f>VLOOKUP($A56,nist_names_ids!A:B,2,false)</f>
        <v>re</v>
      </c>
      <c r="F56" s="61">
        <f>countif(Constants!A:A,E56)</f>
        <v>1</v>
      </c>
      <c r="G56" s="62" t="str">
        <f t="shared" si="1"/>
        <v>2.8179403227e-15</v>
      </c>
      <c r="H56" s="62">
        <f t="shared" si="2"/>
        <v>0</v>
      </c>
      <c r="I56" s="62" t="str">
        <f t="shared" si="3"/>
        <v>0.0000000019e-15</v>
      </c>
      <c r="J56" s="62">
        <f t="shared" si="4"/>
        <v>0</v>
      </c>
      <c r="K56" s="62" t="b">
        <f t="shared" si="5"/>
        <v>0</v>
      </c>
      <c r="L56" s="62" t="b">
        <f t="shared" si="6"/>
        <v>0</v>
      </c>
      <c r="M56" s="60" t="str">
        <f>IFERROR(__xludf.DUMMYFUNCTION("if(regexmatch(B56,""e(.*)$""),regexextract(B56,""e(.*)$""),"""")"),"-15")</f>
        <v>-15</v>
      </c>
    </row>
    <row r="57">
      <c r="A57" s="17" t="s">
        <v>1371</v>
      </c>
      <c r="B57" s="17" t="s">
        <v>3280</v>
      </c>
      <c r="C57" s="17" t="s">
        <v>3281</v>
      </c>
      <c r="D57" s="17" t="s">
        <v>381</v>
      </c>
      <c r="E57" s="60" t="str">
        <f>VLOOKUP($A57,nist_names_ids!A:B,2,false)</f>
        <v>ecomwl</v>
      </c>
      <c r="F57" s="61">
        <f>countif(Constants!A:A,E57)</f>
        <v>1</v>
      </c>
      <c r="G57" s="62" t="str">
        <f t="shared" si="1"/>
        <v>2.4263102367e-12</v>
      </c>
      <c r="H57" s="62">
        <f t="shared" si="2"/>
        <v>0</v>
      </c>
      <c r="I57" s="62" t="str">
        <f t="shared" si="3"/>
        <v>0.0000000011e-12</v>
      </c>
      <c r="J57" s="62">
        <f t="shared" si="4"/>
        <v>0</v>
      </c>
      <c r="K57" s="62" t="b">
        <f t="shared" si="5"/>
        <v>0</v>
      </c>
      <c r="L57" s="62" t="b">
        <f t="shared" si="6"/>
        <v>0</v>
      </c>
      <c r="M57" s="60" t="str">
        <f>IFERROR(__xludf.DUMMYFUNCTION("if(regexmatch(B57,""e(.*)$""),regexextract(B57,""e(.*)$""),"""")"),"-12")</f>
        <v>-12</v>
      </c>
    </row>
    <row r="58">
      <c r="A58" s="17" t="s">
        <v>1711</v>
      </c>
      <c r="B58" s="17" t="s">
        <v>3283</v>
      </c>
      <c r="C58" s="17" t="s">
        <v>3284</v>
      </c>
      <c r="D58" s="17" t="s">
        <v>381</v>
      </c>
      <c r="E58" s="60" t="str">
        <f>VLOOKUP($A58,nist_names_ids!A:B,2,false)</f>
        <v>ecomwlbar</v>
      </c>
      <c r="F58" s="61">
        <f>countif(Constants!A:A,E58)</f>
        <v>1</v>
      </c>
      <c r="G58" s="62" t="str">
        <f t="shared" si="1"/>
        <v>386.15926764e-15</v>
      </c>
      <c r="H58" s="62">
        <f t="shared" si="2"/>
        <v>0</v>
      </c>
      <c r="I58" s="62" t="str">
        <f t="shared" si="3"/>
        <v>0.00000018e-15</v>
      </c>
      <c r="J58" s="62">
        <f t="shared" si="4"/>
        <v>0</v>
      </c>
      <c r="K58" s="62" t="b">
        <f t="shared" si="5"/>
        <v>0</v>
      </c>
      <c r="L58" s="62" t="b">
        <f t="shared" si="6"/>
        <v>0</v>
      </c>
      <c r="M58" s="60" t="str">
        <f>IFERROR(__xludf.DUMMYFUNCTION("if(regexmatch(B58,""e(.*)$""),regexextract(B58,""e(.*)$""),"""")"),"-15")</f>
        <v>-15</v>
      </c>
    </row>
    <row r="59">
      <c r="A59" s="17" t="s">
        <v>1388</v>
      </c>
      <c r="B59" s="17" t="s">
        <v>3285</v>
      </c>
      <c r="C59" s="17" t="s">
        <v>1591</v>
      </c>
      <c r="D59" s="17" t="s">
        <v>526</v>
      </c>
      <c r="E59" s="60" t="str">
        <f>VLOOKUP($A59,nist_names_ids!A:B,2,false)</f>
        <v>conqu2e2sh</v>
      </c>
      <c r="F59" s="61">
        <f>countif(Constants!A:A,E59)</f>
        <v>1</v>
      </c>
      <c r="G59" s="62" t="str">
        <f t="shared" si="1"/>
        <v>7.7480917310e-5</v>
      </c>
      <c r="H59" s="62">
        <f t="shared" si="2"/>
        <v>0.00007748091731</v>
      </c>
      <c r="I59" s="62" t="str">
        <f t="shared" si="3"/>
        <v>0.0000000018e-5</v>
      </c>
      <c r="J59" s="62">
        <f t="shared" si="4"/>
        <v>0</v>
      </c>
      <c r="K59" s="62" t="b">
        <f t="shared" si="5"/>
        <v>0</v>
      </c>
      <c r="L59" s="62" t="b">
        <f t="shared" si="6"/>
        <v>0</v>
      </c>
      <c r="M59" s="60" t="str">
        <f>IFERROR(__xludf.DUMMYFUNCTION("if(regexmatch(B59,""e(.*)$""),regexextract(B59,""e(.*)$""),"""")"),"-5")</f>
        <v>-5</v>
      </c>
    </row>
    <row r="60">
      <c r="A60" s="17" t="s">
        <v>1445</v>
      </c>
      <c r="B60" s="17" t="s">
        <v>2635</v>
      </c>
      <c r="C60" s="17" t="s">
        <v>1501</v>
      </c>
      <c r="D60" s="17" t="s">
        <v>1447</v>
      </c>
      <c r="E60" s="60" t="str">
        <f>VLOOKUP($A60,nist_names_ids!A:B,2,false)</f>
        <v>kj90</v>
      </c>
      <c r="F60" s="61">
        <f>countif(Constants!A:A,E60)</f>
        <v>1</v>
      </c>
      <c r="G60" s="62" t="str">
        <f t="shared" si="1"/>
        <v>483597.9e9</v>
      </c>
      <c r="H60" s="62">
        <f t="shared" si="2"/>
        <v>483597900000000</v>
      </c>
      <c r="I60" s="62" t="str">
        <f t="shared" si="3"/>
        <v>(exact)</v>
      </c>
      <c r="J60" s="62" t="str">
        <f t="shared" si="4"/>
        <v/>
      </c>
      <c r="K60" s="62" t="b">
        <f t="shared" si="5"/>
        <v>1</v>
      </c>
      <c r="L60" s="62" t="b">
        <f t="shared" si="6"/>
        <v>0</v>
      </c>
      <c r="M60" s="60" t="str">
        <f>IFERROR(__xludf.DUMMYFUNCTION("if(regexmatch(B60,""e(.*)$""),regexextract(B60,""e(.*)$""),"""")"),"9")</f>
        <v>9</v>
      </c>
    </row>
    <row r="61">
      <c r="A61" s="17" t="s">
        <v>1722</v>
      </c>
      <c r="B61" s="17" t="s">
        <v>2647</v>
      </c>
      <c r="C61" s="17" t="s">
        <v>1501</v>
      </c>
      <c r="D61" s="17" t="s">
        <v>500</v>
      </c>
      <c r="E61" s="60" t="str">
        <f>VLOOKUP($A61,nist_names_ids!A:B,2,false)</f>
        <v>rk90</v>
      </c>
      <c r="F61" s="61">
        <f>countif(Constants!A:A,E61)</f>
        <v>1</v>
      </c>
      <c r="G61" s="62" t="str">
        <f t="shared" si="1"/>
        <v>25812.807</v>
      </c>
      <c r="H61" s="62">
        <f t="shared" si="2"/>
        <v>25812.807</v>
      </c>
      <c r="I61" s="62" t="str">
        <f t="shared" si="3"/>
        <v>(exact)</v>
      </c>
      <c r="J61" s="62" t="str">
        <f t="shared" si="4"/>
        <v/>
      </c>
      <c r="K61" s="62" t="b">
        <f t="shared" si="5"/>
        <v>1</v>
      </c>
      <c r="L61" s="62" t="b">
        <f t="shared" si="6"/>
        <v>0</v>
      </c>
      <c r="M61" s="60" t="str">
        <f>IFERROR(__xludf.DUMMYFUNCTION("if(regexmatch(B61,""e(.*)$""),regexextract(B61,""e(.*)$""),"""")"),"")</f>
        <v/>
      </c>
    </row>
    <row r="62">
      <c r="A62" s="17" t="s">
        <v>1824</v>
      </c>
      <c r="B62" s="17" t="s">
        <v>2657</v>
      </c>
      <c r="C62" s="17" t="s">
        <v>1727</v>
      </c>
      <c r="D62" s="17" t="s">
        <v>381</v>
      </c>
      <c r="E62" s="60" t="str">
        <f>VLOOKUP($A62,nist_names_ids!A:B,2,false)</f>
        <v>xucukalph1</v>
      </c>
      <c r="F62" s="61">
        <f>countif(Constants!A:A,E62)</f>
        <v>1</v>
      </c>
      <c r="G62" s="62" t="str">
        <f t="shared" si="1"/>
        <v>1.00207697e-13</v>
      </c>
      <c r="H62" s="62">
        <f t="shared" si="2"/>
        <v>0</v>
      </c>
      <c r="I62" s="62" t="str">
        <f t="shared" si="3"/>
        <v>0.00000028e-13</v>
      </c>
      <c r="J62" s="62">
        <f t="shared" si="4"/>
        <v>0</v>
      </c>
      <c r="K62" s="62" t="b">
        <f t="shared" si="5"/>
        <v>0</v>
      </c>
      <c r="L62" s="62" t="b">
        <f t="shared" si="6"/>
        <v>0</v>
      </c>
      <c r="M62" s="60" t="str">
        <f>IFERROR(__xludf.DUMMYFUNCTION("if(regexmatch(B62,""e(.*)$""),regexextract(B62,""e(.*)$""),"""")"),"-13")</f>
        <v>-13</v>
      </c>
    </row>
    <row r="63">
      <c r="A63" s="17" t="s">
        <v>1734</v>
      </c>
      <c r="B63" s="17" t="s">
        <v>3293</v>
      </c>
      <c r="C63" s="17" t="s">
        <v>3294</v>
      </c>
      <c r="E63" s="60" t="str">
        <f>VLOOKUP($A63,nist_names_ids!A:B,2,false)</f>
        <v>mudsmuem</v>
      </c>
      <c r="F63" s="61">
        <f>countif(Constants!A:A,E63)</f>
        <v>1</v>
      </c>
      <c r="G63" s="62" t="str">
        <f t="shared" si="1"/>
        <v>-4.664345535e-4</v>
      </c>
      <c r="H63" s="62">
        <f t="shared" si="2"/>
        <v>-0.0004664345535</v>
      </c>
      <c r="I63" s="62" t="str">
        <f t="shared" si="3"/>
        <v>0.000000026e-4</v>
      </c>
      <c r="J63" s="62">
        <f t="shared" si="4"/>
        <v>0</v>
      </c>
      <c r="K63" s="62" t="b">
        <f t="shared" si="5"/>
        <v>0</v>
      </c>
      <c r="L63" s="62" t="b">
        <f t="shared" si="6"/>
        <v>0</v>
      </c>
      <c r="M63" s="60" t="str">
        <f>IFERROR(__xludf.DUMMYFUNCTION("if(regexmatch(B63,""e(.*)$""),regexextract(B63,""e(.*)$""),"""")"),"-4")</f>
        <v>-4</v>
      </c>
    </row>
    <row r="64">
      <c r="A64" s="17" t="s">
        <v>1738</v>
      </c>
      <c r="B64" s="17" t="s">
        <v>3295</v>
      </c>
      <c r="C64" s="17" t="s">
        <v>2665</v>
      </c>
      <c r="E64" s="60" t="str">
        <f>VLOOKUP($A64,nist_names_ids!A:B,2,false)</f>
        <v>mdsme</v>
      </c>
      <c r="F64" s="61">
        <f>countif(Constants!A:A,E64)</f>
        <v>1</v>
      </c>
      <c r="G64" s="62" t="str">
        <f t="shared" si="1"/>
        <v>3670.48296785</v>
      </c>
      <c r="H64" s="62">
        <f t="shared" si="2"/>
        <v>3670.482968</v>
      </c>
      <c r="I64" s="62" t="str">
        <f t="shared" si="3"/>
        <v>0.00000013</v>
      </c>
      <c r="J64" s="62">
        <f t="shared" si="4"/>
        <v>0.00000013</v>
      </c>
      <c r="K64" s="62" t="b">
        <f t="shared" si="5"/>
        <v>0</v>
      </c>
      <c r="L64" s="62" t="b">
        <f t="shared" si="6"/>
        <v>0</v>
      </c>
      <c r="M64" s="60" t="str">
        <f>IFERROR(__xludf.DUMMYFUNCTION("if(regexmatch(B64,""e(.*)$""),regexextract(B64,""e(.*)$""),"""")"),"")</f>
        <v/>
      </c>
    </row>
    <row r="65">
      <c r="A65" s="17" t="s">
        <v>1551</v>
      </c>
      <c r="B65" s="17" t="s">
        <v>3303</v>
      </c>
      <c r="C65" s="17" t="s">
        <v>3304</v>
      </c>
      <c r="E65" s="60" t="str">
        <f>VLOOKUP($A65,nist_names_ids!A:B,2,false)</f>
        <v>gdn</v>
      </c>
      <c r="F65" s="61">
        <f>countif(Constants!A:A,E65)</f>
        <v>1</v>
      </c>
      <c r="G65" s="62" t="str">
        <f t="shared" si="1"/>
        <v>0.8574382311</v>
      </c>
      <c r="H65" s="62">
        <f t="shared" si="2"/>
        <v>0.8574382311</v>
      </c>
      <c r="I65" s="62" t="str">
        <f t="shared" si="3"/>
        <v>0.0000000048</v>
      </c>
      <c r="J65" s="62">
        <f t="shared" si="4"/>
        <v>0.0000000048</v>
      </c>
      <c r="K65" s="62" t="b">
        <f t="shared" si="5"/>
        <v>0</v>
      </c>
      <c r="L65" s="62" t="b">
        <f t="shared" si="6"/>
        <v>0</v>
      </c>
      <c r="M65" s="60" t="str">
        <f>IFERROR(__xludf.DUMMYFUNCTION("if(regexmatch(B65,""e(.*)$""),regexextract(B65,""e(.*)$""),"""")"),"")</f>
        <v/>
      </c>
    </row>
    <row r="66">
      <c r="A66" s="17" t="s">
        <v>1745</v>
      </c>
      <c r="B66" s="17" t="s">
        <v>3308</v>
      </c>
      <c r="C66" s="17" t="s">
        <v>3309</v>
      </c>
      <c r="D66" s="17" t="s">
        <v>964</v>
      </c>
      <c r="E66" s="60" t="str">
        <f>VLOOKUP($A66,nist_names_ids!A:B,2,false)</f>
        <v>mud</v>
      </c>
      <c r="F66" s="61">
        <f>countif(Constants!A:A,E66)</f>
        <v>1</v>
      </c>
      <c r="G66" s="62" t="str">
        <f t="shared" si="1"/>
        <v>0.4330735040e-26</v>
      </c>
      <c r="H66" s="62">
        <f t="shared" si="2"/>
        <v>0</v>
      </c>
      <c r="I66" s="62" t="str">
        <f t="shared" si="3"/>
        <v>0.0000000036e-26</v>
      </c>
      <c r="J66" s="62">
        <f t="shared" si="4"/>
        <v>0</v>
      </c>
      <c r="K66" s="62" t="b">
        <f t="shared" si="5"/>
        <v>0</v>
      </c>
      <c r="L66" s="62" t="b">
        <f t="shared" si="6"/>
        <v>0</v>
      </c>
      <c r="M66" s="60" t="str">
        <f>IFERROR(__xludf.DUMMYFUNCTION("if(regexmatch(B66,""e(.*)$""),regexextract(B66,""e(.*)$""),"""")"),"-26")</f>
        <v>-26</v>
      </c>
    </row>
    <row r="67">
      <c r="A67" s="17" t="s">
        <v>1749</v>
      </c>
      <c r="B67" s="17" t="s">
        <v>3315</v>
      </c>
      <c r="C67" s="17" t="s">
        <v>3316</v>
      </c>
      <c r="E67" s="60" t="str">
        <f>VLOOKUP($A67,nist_names_ids!A:B,2,false)</f>
        <v>mudsmub</v>
      </c>
      <c r="F67" s="61">
        <f>countif(Constants!A:A,E67)</f>
        <v>1</v>
      </c>
      <c r="G67" s="62" t="str">
        <f t="shared" si="1"/>
        <v>0.4669754554e-3</v>
      </c>
      <c r="H67" s="62">
        <f t="shared" si="2"/>
        <v>0.0004669754554</v>
      </c>
      <c r="I67" s="62" t="str">
        <f t="shared" si="3"/>
        <v>0.0000000026e-3</v>
      </c>
      <c r="J67" s="62">
        <f t="shared" si="4"/>
        <v>0</v>
      </c>
      <c r="K67" s="62" t="b">
        <f t="shared" si="5"/>
        <v>0</v>
      </c>
      <c r="L67" s="62" t="b">
        <f t="shared" si="6"/>
        <v>0</v>
      </c>
      <c r="M67" s="60" t="str">
        <f>IFERROR(__xludf.DUMMYFUNCTION("if(regexmatch(B67,""e(.*)$""),regexextract(B67,""e(.*)$""),"""")"),"-3")</f>
        <v>-3</v>
      </c>
    </row>
    <row r="68">
      <c r="A68" s="17" t="s">
        <v>1755</v>
      </c>
      <c r="B68" s="17" t="s">
        <v>3303</v>
      </c>
      <c r="C68" s="17" t="s">
        <v>3304</v>
      </c>
      <c r="E68" s="60" t="str">
        <f>VLOOKUP($A68,nist_names_ids!A:B,2,false)</f>
        <v>mudsmun</v>
      </c>
      <c r="F68" s="61">
        <f>countif(Constants!A:A,E68)</f>
        <v>1</v>
      </c>
      <c r="G68" s="62" t="str">
        <f t="shared" si="1"/>
        <v>0.8574382311</v>
      </c>
      <c r="H68" s="62">
        <f t="shared" si="2"/>
        <v>0.8574382311</v>
      </c>
      <c r="I68" s="62" t="str">
        <f t="shared" si="3"/>
        <v>0.0000000048</v>
      </c>
      <c r="J68" s="62">
        <f t="shared" si="4"/>
        <v>0.0000000048</v>
      </c>
      <c r="K68" s="62" t="b">
        <f t="shared" si="5"/>
        <v>0</v>
      </c>
      <c r="L68" s="62" t="b">
        <f t="shared" si="6"/>
        <v>0</v>
      </c>
      <c r="M68" s="60" t="str">
        <f>IFERROR(__xludf.DUMMYFUNCTION("if(regexmatch(B68,""e(.*)$""),regexextract(B68,""e(.*)$""),"""")"),"")</f>
        <v/>
      </c>
    </row>
    <row r="69">
      <c r="A69" s="17" t="s">
        <v>1609</v>
      </c>
      <c r="B69" s="17" t="s">
        <v>3320</v>
      </c>
      <c r="C69" s="17" t="s">
        <v>3321</v>
      </c>
      <c r="D69" s="17" t="s">
        <v>98</v>
      </c>
      <c r="E69" s="60" t="str">
        <f>VLOOKUP($A69,nist_names_ids!A:B,2,false)</f>
        <v>md</v>
      </c>
      <c r="F69" s="61">
        <f>countif(Constants!A:A,E69)</f>
        <v>1</v>
      </c>
      <c r="G69" s="62" t="str">
        <f t="shared" si="1"/>
        <v>3.343583719e-27</v>
      </c>
      <c r="H69" s="62">
        <f t="shared" si="2"/>
        <v>0</v>
      </c>
      <c r="I69" s="62" t="str">
        <f t="shared" si="3"/>
        <v>0.000000041e-27</v>
      </c>
      <c r="J69" s="62">
        <f t="shared" si="4"/>
        <v>0</v>
      </c>
      <c r="K69" s="62" t="b">
        <f t="shared" si="5"/>
        <v>0</v>
      </c>
      <c r="L69" s="62" t="b">
        <f t="shared" si="6"/>
        <v>0</v>
      </c>
      <c r="M69" s="60" t="str">
        <f>IFERROR(__xludf.DUMMYFUNCTION("if(regexmatch(B69,""e(.*)$""),regexextract(B69,""e(.*)$""),"""")"),"-27")</f>
        <v>-27</v>
      </c>
    </row>
    <row r="70">
      <c r="A70" s="17" t="s">
        <v>1617</v>
      </c>
      <c r="B70" s="17" t="s">
        <v>3327</v>
      </c>
      <c r="C70" s="17" t="s">
        <v>3328</v>
      </c>
      <c r="D70" s="17" t="s">
        <v>173</v>
      </c>
      <c r="E70" s="60" t="str">
        <f>VLOOKUP($A70,nist_names_ids!A:B,2,false)</f>
        <v>mdc2</v>
      </c>
      <c r="F70" s="61">
        <f>countif(Constants!A:A,E70)</f>
        <v>1</v>
      </c>
      <c r="G70" s="62" t="str">
        <f t="shared" si="1"/>
        <v>3.005063183e-10</v>
      </c>
      <c r="H70" s="62">
        <f t="shared" si="2"/>
        <v>0.0000000003005063183</v>
      </c>
      <c r="I70" s="62" t="str">
        <f t="shared" si="3"/>
        <v>0.000000037e-10</v>
      </c>
      <c r="J70" s="62">
        <f t="shared" si="4"/>
        <v>0</v>
      </c>
      <c r="K70" s="62" t="b">
        <f t="shared" si="5"/>
        <v>0</v>
      </c>
      <c r="L70" s="62" t="b">
        <f t="shared" si="6"/>
        <v>0</v>
      </c>
      <c r="M70" s="60" t="str">
        <f>IFERROR(__xludf.DUMMYFUNCTION("if(regexmatch(B70,""e(.*)$""),regexextract(B70,""e(.*)$""),"""")"),"-10")</f>
        <v>-10</v>
      </c>
    </row>
    <row r="71">
      <c r="A71" s="17" t="s">
        <v>1632</v>
      </c>
      <c r="B71" s="17" t="s">
        <v>3339</v>
      </c>
      <c r="C71" s="17" t="s">
        <v>2771</v>
      </c>
      <c r="D71" s="17" t="s">
        <v>224</v>
      </c>
      <c r="E71" s="60" t="str">
        <f>VLOOKUP($A71,nist_names_ids!A:B,2,false)</f>
        <v>mdc2mev</v>
      </c>
      <c r="F71" s="61">
        <f>countif(Constants!A:A,E71)</f>
        <v>1</v>
      </c>
      <c r="G71" s="62" t="str">
        <f t="shared" si="1"/>
        <v>1875.612928</v>
      </c>
      <c r="H71" s="62">
        <f t="shared" si="2"/>
        <v>1875.612928</v>
      </c>
      <c r="I71" s="62" t="str">
        <f t="shared" si="3"/>
        <v>0.000012</v>
      </c>
      <c r="J71" s="62">
        <f t="shared" si="4"/>
        <v>0.000012</v>
      </c>
      <c r="K71" s="62" t="b">
        <f t="shared" si="5"/>
        <v>0</v>
      </c>
      <c r="L71" s="62" t="b">
        <f t="shared" si="6"/>
        <v>0</v>
      </c>
      <c r="M71" s="60" t="str">
        <f>IFERROR(__xludf.DUMMYFUNCTION("if(regexmatch(B71,""e(.*)$""),regexextract(B71,""e(.*)$""),"""")"),"")</f>
        <v/>
      </c>
    </row>
    <row r="72">
      <c r="A72" s="17" t="s">
        <v>1643</v>
      </c>
      <c r="B72" s="17" t="s">
        <v>2730</v>
      </c>
      <c r="C72" s="17" t="s">
        <v>2731</v>
      </c>
      <c r="D72" s="17" t="s">
        <v>249</v>
      </c>
      <c r="E72" s="60" t="str">
        <f>VLOOKUP($A72,nist_names_ids!A:B,2,false)</f>
        <v>mdu</v>
      </c>
      <c r="F72" s="61">
        <f>countif(Constants!A:A,E72)</f>
        <v>1</v>
      </c>
      <c r="G72" s="62" t="str">
        <f t="shared" si="1"/>
        <v>2.013553212745</v>
      </c>
      <c r="H72" s="62">
        <f t="shared" si="2"/>
        <v>2.013553213</v>
      </c>
      <c r="I72" s="62" t="str">
        <f t="shared" si="3"/>
        <v>0.000000000040</v>
      </c>
      <c r="J72" s="62">
        <f t="shared" si="4"/>
        <v>0</v>
      </c>
      <c r="K72" s="62" t="b">
        <f t="shared" si="5"/>
        <v>0</v>
      </c>
      <c r="L72" s="62" t="b">
        <f t="shared" si="6"/>
        <v>0</v>
      </c>
      <c r="M72" s="60" t="str">
        <f>IFERROR(__xludf.DUMMYFUNCTION("if(regexmatch(B72,""e(.*)$""),regexextract(B72,""e(.*)$""),"""")"),"")</f>
        <v/>
      </c>
    </row>
    <row r="73">
      <c r="A73" s="17" t="s">
        <v>1651</v>
      </c>
      <c r="B73" s="17" t="s">
        <v>3348</v>
      </c>
      <c r="C73" s="17" t="s">
        <v>3349</v>
      </c>
      <c r="D73" s="17" t="s">
        <v>286</v>
      </c>
      <c r="E73" s="60" t="str">
        <f>VLOOKUP($A73,nist_names_ids!A:B,2,false)</f>
        <v>mmd</v>
      </c>
      <c r="F73" s="61">
        <f>countif(Constants!A:A,E73)</f>
        <v>1</v>
      </c>
      <c r="G73" s="62" t="str">
        <f t="shared" si="1"/>
        <v>2.013553212745e-3</v>
      </c>
      <c r="H73" s="62">
        <f t="shared" si="2"/>
        <v>0.002013553213</v>
      </c>
      <c r="I73" s="62" t="str">
        <f t="shared" si="3"/>
        <v>0.000000000040e-3</v>
      </c>
      <c r="J73" s="62">
        <f t="shared" si="4"/>
        <v>0</v>
      </c>
      <c r="K73" s="62" t="b">
        <f t="shared" si="5"/>
        <v>0</v>
      </c>
      <c r="L73" s="62" t="b">
        <f t="shared" si="6"/>
        <v>0</v>
      </c>
      <c r="M73" s="60" t="str">
        <f>IFERROR(__xludf.DUMMYFUNCTION("if(regexmatch(B73,""e(.*)$""),regexextract(B73,""e(.*)$""),"""")"),"-3")</f>
        <v>-3</v>
      </c>
    </row>
    <row r="74">
      <c r="A74" s="17" t="s">
        <v>1777</v>
      </c>
      <c r="B74" s="17" t="s">
        <v>3359</v>
      </c>
      <c r="C74" s="17" t="s">
        <v>1779</v>
      </c>
      <c r="E74" s="60" t="str">
        <f>VLOOKUP($A74,nist_names_ids!A:B,2,false)</f>
        <v>mudsmunn</v>
      </c>
      <c r="F74" s="61">
        <f>countif(Constants!A:A,E74)</f>
        <v>1</v>
      </c>
      <c r="G74" s="62" t="str">
        <f t="shared" si="1"/>
        <v>-0.44820652</v>
      </c>
      <c r="H74" s="62">
        <f t="shared" si="2"/>
        <v>-0.44820652</v>
      </c>
      <c r="I74" s="62" t="str">
        <f t="shared" si="3"/>
        <v>0.00000011</v>
      </c>
      <c r="J74" s="62">
        <f t="shared" si="4"/>
        <v>0.00000011</v>
      </c>
      <c r="K74" s="62" t="b">
        <f t="shared" si="5"/>
        <v>0</v>
      </c>
      <c r="L74" s="62" t="b">
        <f t="shared" si="6"/>
        <v>0</v>
      </c>
      <c r="M74" s="60" t="str">
        <f>IFERROR(__xludf.DUMMYFUNCTION("if(regexmatch(B74,""e(.*)$""),regexextract(B74,""e(.*)$""),"""")"),"")</f>
        <v/>
      </c>
    </row>
    <row r="75">
      <c r="A75" s="17" t="s">
        <v>1781</v>
      </c>
      <c r="B75" s="17" t="s">
        <v>3361</v>
      </c>
      <c r="C75" s="17" t="s">
        <v>3362</v>
      </c>
      <c r="E75" s="60" t="str">
        <f>VLOOKUP($A75,nist_names_ids!A:B,2,false)</f>
        <v>mudsmup</v>
      </c>
      <c r="F75" s="61">
        <f>countif(Constants!A:A,E75)</f>
        <v>1</v>
      </c>
      <c r="G75" s="62" t="str">
        <f t="shared" si="1"/>
        <v>0.3070122077</v>
      </c>
      <c r="H75" s="62">
        <f t="shared" si="2"/>
        <v>0.3070122077</v>
      </c>
      <c r="I75" s="62" t="str">
        <f t="shared" si="3"/>
        <v>0.0000000015</v>
      </c>
      <c r="J75" s="62">
        <f t="shared" si="4"/>
        <v>0.0000000015</v>
      </c>
      <c r="K75" s="62" t="b">
        <f t="shared" si="5"/>
        <v>0</v>
      </c>
      <c r="L75" s="62" t="b">
        <f t="shared" si="6"/>
        <v>0</v>
      </c>
      <c r="M75" s="60" t="str">
        <f>IFERROR(__xludf.DUMMYFUNCTION("if(regexmatch(B75,""e(.*)$""),regexextract(B75,""e(.*)$""),"""")"),"")</f>
        <v/>
      </c>
    </row>
    <row r="76">
      <c r="A76" s="17" t="s">
        <v>1785</v>
      </c>
      <c r="B76" s="17" t="s">
        <v>3363</v>
      </c>
      <c r="C76" s="17" t="s">
        <v>3364</v>
      </c>
      <c r="E76" s="60" t="str">
        <f>VLOOKUP($A76,nist_names_ids!A:B,2,false)</f>
        <v>mdsmp</v>
      </c>
      <c r="F76" s="61">
        <f>countif(Constants!A:A,E76)</f>
        <v>1</v>
      </c>
      <c r="G76" s="62" t="str">
        <f t="shared" si="1"/>
        <v>1.99900750087</v>
      </c>
      <c r="H76" s="62">
        <f t="shared" si="2"/>
        <v>1.999007501</v>
      </c>
      <c r="I76" s="62" t="str">
        <f t="shared" si="3"/>
        <v>0.00000000019</v>
      </c>
      <c r="J76" s="62">
        <f t="shared" si="4"/>
        <v>0.00000000019</v>
      </c>
      <c r="K76" s="62" t="b">
        <f t="shared" si="5"/>
        <v>0</v>
      </c>
      <c r="L76" s="62" t="b">
        <f t="shared" si="6"/>
        <v>0</v>
      </c>
      <c r="M76" s="60" t="str">
        <f>IFERROR(__xludf.DUMMYFUNCTION("if(regexmatch(B76,""e(.*)$""),regexextract(B76,""e(.*)$""),"""")"),"")</f>
        <v/>
      </c>
    </row>
    <row r="77">
      <c r="A77" s="17" t="s">
        <v>1681</v>
      </c>
      <c r="B77" s="64" t="s">
        <v>3365</v>
      </c>
      <c r="C77" s="64" t="s">
        <v>3366</v>
      </c>
      <c r="D77" s="17" t="s">
        <v>381</v>
      </c>
      <c r="E77" s="60" t="str">
        <f>VLOOKUP($A77,nist_names_ids!A:B,2,false)</f>
        <v>rd</v>
      </c>
      <c r="F77" s="61">
        <f>countif(Constants!A:A,E77)</f>
        <v>1</v>
      </c>
      <c r="G77" s="62" t="str">
        <f t="shared" si="1"/>
        <v>2.1413e-15</v>
      </c>
      <c r="H77" s="62">
        <f t="shared" si="2"/>
        <v>0</v>
      </c>
      <c r="I77" s="62" t="str">
        <f t="shared" si="3"/>
        <v>0.0025e-15</v>
      </c>
      <c r="J77" s="62">
        <f t="shared" si="4"/>
        <v>0</v>
      </c>
      <c r="K77" s="62" t="b">
        <f t="shared" si="5"/>
        <v>0</v>
      </c>
      <c r="L77" s="62" t="b">
        <f t="shared" si="6"/>
        <v>0</v>
      </c>
      <c r="M77" s="60" t="str">
        <f>IFERROR(__xludf.DUMMYFUNCTION("if(regexmatch(B77,""e(.*)$""),regexextract(B77,""e(.*)$""),"""")"),"-15")</f>
        <v>-15</v>
      </c>
    </row>
    <row r="78">
      <c r="A78" s="17" t="s">
        <v>2034</v>
      </c>
      <c r="B78" s="17" t="s">
        <v>3369</v>
      </c>
      <c r="C78" s="17" t="s">
        <v>1501</v>
      </c>
      <c r="D78" s="17" t="s">
        <v>1078</v>
      </c>
      <c r="E78" s="60" t="str">
        <f>VLOOKUP($A78,nist_names_ids!A:B,2,false)</f>
        <v>ep0</v>
      </c>
      <c r="F78" s="61">
        <f>countif(Constants!A:A,E78)</f>
        <v>1</v>
      </c>
      <c r="G78" s="62" t="str">
        <f t="shared" si="1"/>
        <v>8.854187817e-12</v>
      </c>
      <c r="H78" s="62">
        <f t="shared" si="2"/>
        <v>0</v>
      </c>
      <c r="I78" s="62" t="str">
        <f t="shared" si="3"/>
        <v>(exact)</v>
      </c>
      <c r="J78" s="62" t="str">
        <f t="shared" si="4"/>
        <v/>
      </c>
      <c r="K78" s="62" t="b">
        <f t="shared" si="5"/>
        <v>1</v>
      </c>
      <c r="L78" s="62" t="b">
        <f t="shared" si="6"/>
        <v>1</v>
      </c>
      <c r="M78" s="60" t="str">
        <f>IFERROR(__xludf.DUMMYFUNCTION("if(regexmatch(B78,""e(.*)$""),regexextract(B78,""e(.*)$""),"""")"),"-12")</f>
        <v>-12</v>
      </c>
    </row>
    <row r="79">
      <c r="A79" s="17" t="s">
        <v>1687</v>
      </c>
      <c r="B79" s="17" t="s">
        <v>3372</v>
      </c>
      <c r="C79" s="17" t="s">
        <v>3373</v>
      </c>
      <c r="D79" s="17" t="s">
        <v>1689</v>
      </c>
      <c r="E79" s="60" t="str">
        <f>VLOOKUP($A79,nist_names_ids!A:B,2,false)</f>
        <v>esme</v>
      </c>
      <c r="F79" s="61">
        <f>countif(Constants!A:A,E79)</f>
        <v>1</v>
      </c>
      <c r="G79" s="62" t="str">
        <f t="shared" si="1"/>
        <v>-1.758820024e11</v>
      </c>
      <c r="H79" s="62">
        <f t="shared" si="2"/>
        <v>-175882002400</v>
      </c>
      <c r="I79" s="62" t="str">
        <f t="shared" si="3"/>
        <v>0.000000011e11</v>
      </c>
      <c r="J79" s="62">
        <f t="shared" si="4"/>
        <v>1100</v>
      </c>
      <c r="K79" s="62" t="b">
        <f t="shared" si="5"/>
        <v>0</v>
      </c>
      <c r="L79" s="62" t="b">
        <f t="shared" si="6"/>
        <v>0</v>
      </c>
      <c r="M79" s="60" t="str">
        <f>IFERROR(__xludf.DUMMYFUNCTION("if(regexmatch(B79,""e(.*)$""),regexextract(B79,""e(.*)$""),"""")"),"11")</f>
        <v>11</v>
      </c>
    </row>
    <row r="80">
      <c r="A80" s="17" t="s">
        <v>1802</v>
      </c>
      <c r="B80" s="17" t="s">
        <v>3375</v>
      </c>
      <c r="C80" s="17" t="s">
        <v>2771</v>
      </c>
      <c r="E80" s="60" t="str">
        <f>VLOOKUP($A80,nist_names_ids!A:B,2,false)</f>
        <v>muemsmud</v>
      </c>
      <c r="F80" s="61">
        <f>countif(Constants!A:A,E80)</f>
        <v>1</v>
      </c>
      <c r="G80" s="62" t="str">
        <f t="shared" si="1"/>
        <v>-2143.923499</v>
      </c>
      <c r="H80" s="62">
        <f t="shared" si="2"/>
        <v>-2143.923499</v>
      </c>
      <c r="I80" s="62" t="str">
        <f t="shared" si="3"/>
        <v>0.000012</v>
      </c>
      <c r="J80" s="62">
        <f t="shared" si="4"/>
        <v>0.000012</v>
      </c>
      <c r="K80" s="62" t="b">
        <f t="shared" si="5"/>
        <v>0</v>
      </c>
      <c r="L80" s="62" t="b">
        <f t="shared" si="6"/>
        <v>0</v>
      </c>
      <c r="M80" s="60" t="str">
        <f>IFERROR(__xludf.DUMMYFUNCTION("if(regexmatch(B80,""e(.*)$""),regexextract(B80,""e(.*)$""),"""")"),"")</f>
        <v/>
      </c>
    </row>
    <row r="81">
      <c r="A81" s="17" t="s">
        <v>1806</v>
      </c>
      <c r="B81" s="17" t="s">
        <v>3377</v>
      </c>
      <c r="C81" s="17" t="s">
        <v>2773</v>
      </c>
      <c r="E81" s="60" t="str">
        <f>VLOOKUP($A81,nist_names_ids!A:B,2,false)</f>
        <v>mesmd</v>
      </c>
      <c r="F81" s="61">
        <f>countif(Constants!A:A,E81)</f>
        <v>1</v>
      </c>
      <c r="G81" s="62" t="str">
        <f t="shared" si="1"/>
        <v>2.724437107484e-4</v>
      </c>
      <c r="H81" s="62">
        <f t="shared" si="2"/>
        <v>0.0002724437107</v>
      </c>
      <c r="I81" s="62" t="str">
        <f t="shared" si="3"/>
        <v>0.000000000096e-4</v>
      </c>
      <c r="J81" s="62">
        <f t="shared" si="4"/>
        <v>0</v>
      </c>
      <c r="K81" s="62" t="b">
        <f t="shared" si="5"/>
        <v>0</v>
      </c>
      <c r="L81" s="62" t="b">
        <f t="shared" si="6"/>
        <v>0</v>
      </c>
      <c r="M81" s="60" t="str">
        <f>IFERROR(__xludf.DUMMYFUNCTION("if(regexmatch(B81,""e(.*)$""),regexextract(B81,""e(.*)$""),"""")"),"-4")</f>
        <v>-4</v>
      </c>
    </row>
    <row r="82">
      <c r="A82" s="17" t="s">
        <v>1706</v>
      </c>
      <c r="B82" s="17" t="s">
        <v>3381</v>
      </c>
      <c r="C82" s="17" t="s">
        <v>3382</v>
      </c>
      <c r="E82" s="60" t="str">
        <f>VLOOKUP($A82,nist_names_ids!A:B,2,false)</f>
        <v>gem</v>
      </c>
      <c r="F82" s="61">
        <f>countif(Constants!A:A,E82)</f>
        <v>1</v>
      </c>
      <c r="G82" s="62" t="str">
        <f t="shared" si="1"/>
        <v>-2.00231930436182</v>
      </c>
      <c r="H82" s="62">
        <f t="shared" si="2"/>
        <v>-2.002319304</v>
      </c>
      <c r="I82" s="62" t="str">
        <f t="shared" si="3"/>
        <v>0.00000000000052</v>
      </c>
      <c r="J82" s="62">
        <f t="shared" si="4"/>
        <v>0</v>
      </c>
      <c r="K82" s="62" t="b">
        <f t="shared" si="5"/>
        <v>0</v>
      </c>
      <c r="L82" s="62" t="b">
        <f t="shared" si="6"/>
        <v>0</v>
      </c>
      <c r="M82" s="60" t="str">
        <f>IFERROR(__xludf.DUMMYFUNCTION("if(regexmatch(B82,""e(.*)$""),regexextract(B82,""e(.*)$""),"""")"),"")</f>
        <v/>
      </c>
    </row>
    <row r="83">
      <c r="A83" s="17" t="s">
        <v>1812</v>
      </c>
      <c r="B83" s="17" t="s">
        <v>3384</v>
      </c>
      <c r="C83" s="17" t="s">
        <v>3373</v>
      </c>
      <c r="D83" s="17" t="s">
        <v>1717</v>
      </c>
      <c r="E83" s="60" t="str">
        <f>VLOOKUP($A83,nist_names_ids!A:B,2,false)</f>
        <v>gammae</v>
      </c>
      <c r="F83" s="61">
        <f>countif(Constants!A:A,E83)</f>
        <v>1</v>
      </c>
      <c r="G83" s="62" t="str">
        <f t="shared" si="1"/>
        <v>1.760859644e11</v>
      </c>
      <c r="H83" s="62">
        <f t="shared" si="2"/>
        <v>176085964400</v>
      </c>
      <c r="I83" s="62" t="str">
        <f t="shared" si="3"/>
        <v>0.000000011e11</v>
      </c>
      <c r="J83" s="62">
        <f t="shared" si="4"/>
        <v>1100</v>
      </c>
      <c r="K83" s="62" t="b">
        <f t="shared" si="5"/>
        <v>0</v>
      </c>
      <c r="L83" s="62" t="b">
        <f t="shared" si="6"/>
        <v>0</v>
      </c>
      <c r="M83" s="60" t="str">
        <f>IFERROR(__xludf.DUMMYFUNCTION("if(regexmatch(B83,""e(.*)$""),regexextract(B83,""e(.*)$""),"""")"),"11")</f>
        <v>11</v>
      </c>
    </row>
    <row r="84">
      <c r="A84" s="17" t="s">
        <v>2102</v>
      </c>
      <c r="B84" s="17" t="s">
        <v>3387</v>
      </c>
      <c r="C84" s="17" t="s">
        <v>3388</v>
      </c>
      <c r="D84" s="17" t="s">
        <v>1733</v>
      </c>
      <c r="E84" s="60" t="str">
        <f>VLOOKUP($A84,nist_names_ids!A:B,2,false)</f>
        <v>gammaebar</v>
      </c>
      <c r="F84" s="61">
        <f>countif(Constants!A:A,E84)</f>
        <v>1</v>
      </c>
      <c r="G84" s="62" t="str">
        <f t="shared" si="1"/>
        <v>28024.95164</v>
      </c>
      <c r="H84" s="62">
        <f t="shared" si="2"/>
        <v>28024.95164</v>
      </c>
      <c r="I84" s="62" t="str">
        <f t="shared" si="3"/>
        <v>0.00017</v>
      </c>
      <c r="J84" s="62">
        <f t="shared" si="4"/>
        <v>0.00017</v>
      </c>
      <c r="K84" s="62" t="b">
        <f t="shared" si="5"/>
        <v>0</v>
      </c>
      <c r="L84" s="62" t="b">
        <f t="shared" si="6"/>
        <v>0</v>
      </c>
      <c r="M84" s="60" t="str">
        <f>IFERROR(__xludf.DUMMYFUNCTION("if(regexmatch(B84,""e(.*)$""),regexextract(B84,""e(.*)$""),"""")"),"")</f>
        <v/>
      </c>
    </row>
    <row r="85">
      <c r="A85" s="17" t="s">
        <v>1820</v>
      </c>
      <c r="B85" s="17" t="s">
        <v>3390</v>
      </c>
      <c r="C85" s="17" t="s">
        <v>3391</v>
      </c>
      <c r="E85" s="60" t="str">
        <f>VLOOKUP($A85,nist_names_ids!A:B,2,false)</f>
        <v>mesmh</v>
      </c>
      <c r="F85" s="61">
        <f>countif(Constants!A:A,E85)</f>
        <v>1</v>
      </c>
      <c r="G85" s="62" t="str">
        <f t="shared" si="1"/>
        <v>1.819543074854e-4</v>
      </c>
      <c r="H85" s="62">
        <f t="shared" si="2"/>
        <v>0.0001819543075</v>
      </c>
      <c r="I85" s="62" t="str">
        <f t="shared" si="3"/>
        <v>0.000000000088e-4</v>
      </c>
      <c r="J85" s="62">
        <f t="shared" si="4"/>
        <v>0</v>
      </c>
      <c r="K85" s="62" t="b">
        <f t="shared" si="5"/>
        <v>0</v>
      </c>
      <c r="L85" s="62" t="b">
        <f t="shared" si="6"/>
        <v>0</v>
      </c>
      <c r="M85" s="60" t="str">
        <f>IFERROR(__xludf.DUMMYFUNCTION("if(regexmatch(B85,""e(.*)$""),regexextract(B85,""e(.*)$""),"""")"),"-4")</f>
        <v>-4</v>
      </c>
    </row>
    <row r="86">
      <c r="A86" s="17" t="s">
        <v>1825</v>
      </c>
      <c r="B86" s="17" t="s">
        <v>3397</v>
      </c>
      <c r="C86" s="17" t="s">
        <v>3234</v>
      </c>
      <c r="D86" s="17" t="s">
        <v>964</v>
      </c>
      <c r="E86" s="60" t="str">
        <f>VLOOKUP($A86,nist_names_ids!A:B,2,false)</f>
        <v>muem</v>
      </c>
      <c r="F86" s="61">
        <f>countif(Constants!A:A,E86)</f>
        <v>1</v>
      </c>
      <c r="G86" s="62" t="str">
        <f t="shared" si="1"/>
        <v>-928.4764620e-26</v>
      </c>
      <c r="H86" s="62">
        <f t="shared" si="2"/>
        <v>0</v>
      </c>
      <c r="I86" s="62" t="str">
        <f t="shared" si="3"/>
        <v>0.0000057e-26</v>
      </c>
      <c r="J86" s="62">
        <f t="shared" si="4"/>
        <v>0</v>
      </c>
      <c r="K86" s="62" t="b">
        <f t="shared" si="5"/>
        <v>0</v>
      </c>
      <c r="L86" s="62" t="b">
        <f t="shared" si="6"/>
        <v>0</v>
      </c>
      <c r="M86" s="60" t="str">
        <f>IFERROR(__xludf.DUMMYFUNCTION("if(regexmatch(B86,""e(.*)$""),regexextract(B86,""e(.*)$""),"""")"),"-26")</f>
        <v>-26</v>
      </c>
    </row>
    <row r="87">
      <c r="A87" s="17" t="s">
        <v>1827</v>
      </c>
      <c r="B87" s="17" t="s">
        <v>3401</v>
      </c>
      <c r="C87" s="17" t="s">
        <v>3402</v>
      </c>
      <c r="E87" s="60" t="str">
        <f>VLOOKUP($A87,nist_names_ids!A:B,2,false)</f>
        <v>ae</v>
      </c>
      <c r="F87" s="61">
        <f>countif(Constants!A:A,E87)</f>
        <v>2</v>
      </c>
      <c r="G87" s="62" t="str">
        <f t="shared" si="1"/>
        <v>1.15965218091e-3</v>
      </c>
      <c r="H87" s="62">
        <f t="shared" si="2"/>
        <v>0.001159652181</v>
      </c>
      <c r="I87" s="62" t="str">
        <f t="shared" si="3"/>
        <v>0.00000000026e-3</v>
      </c>
      <c r="J87" s="62">
        <f t="shared" si="4"/>
        <v>0</v>
      </c>
      <c r="K87" s="62" t="b">
        <f t="shared" si="5"/>
        <v>0</v>
      </c>
      <c r="L87" s="62" t="b">
        <f t="shared" si="6"/>
        <v>0</v>
      </c>
      <c r="M87" s="60" t="str">
        <f>IFERROR(__xludf.DUMMYFUNCTION("if(regexmatch(B87,""e(.*)$""),regexextract(B87,""e(.*)$""),"""")"),"-3")</f>
        <v>-3</v>
      </c>
    </row>
    <row r="88">
      <c r="A88" s="17" t="s">
        <v>1833</v>
      </c>
      <c r="B88" s="17" t="s">
        <v>3404</v>
      </c>
      <c r="C88" s="17" t="s">
        <v>3405</v>
      </c>
      <c r="E88" s="60" t="str">
        <f>VLOOKUP($A88,nist_names_ids!A:B,2,false)</f>
        <v>muemsmub</v>
      </c>
      <c r="F88" s="61">
        <f>countif(Constants!A:A,E88)</f>
        <v>1</v>
      </c>
      <c r="G88" s="62" t="str">
        <f t="shared" si="1"/>
        <v>-1.00115965218091</v>
      </c>
      <c r="H88" s="62">
        <f t="shared" si="2"/>
        <v>-1.001159652</v>
      </c>
      <c r="I88" s="62" t="str">
        <f t="shared" si="3"/>
        <v>0.00000000000026</v>
      </c>
      <c r="J88" s="62">
        <f t="shared" si="4"/>
        <v>0</v>
      </c>
      <c r="K88" s="62" t="b">
        <f t="shared" si="5"/>
        <v>0</v>
      </c>
      <c r="L88" s="62" t="b">
        <f t="shared" si="6"/>
        <v>0</v>
      </c>
      <c r="M88" s="60" t="str">
        <f>IFERROR(__xludf.DUMMYFUNCTION("if(regexmatch(B88,""e(.*)$""),regexextract(B88,""e(.*)$""),"""")"),"")</f>
        <v/>
      </c>
    </row>
    <row r="89">
      <c r="A89" s="17" t="s">
        <v>1837</v>
      </c>
      <c r="B89" s="17" t="s">
        <v>3410</v>
      </c>
      <c r="C89" s="17" t="s">
        <v>1419</v>
      </c>
      <c r="E89" s="60" t="str">
        <f>VLOOKUP($A89,nist_names_ids!A:B,2,false)</f>
        <v>muemsmun</v>
      </c>
      <c r="F89" s="61">
        <f>countif(Constants!A:A,E89)</f>
        <v>1</v>
      </c>
      <c r="G89" s="62" t="str">
        <f t="shared" si="1"/>
        <v>-1838.28197234</v>
      </c>
      <c r="H89" s="62">
        <f t="shared" si="2"/>
        <v>-1838.281972</v>
      </c>
      <c r="I89" s="62" t="str">
        <f t="shared" si="3"/>
        <v>0.00000017</v>
      </c>
      <c r="J89" s="62">
        <f t="shared" si="4"/>
        <v>0.00000017</v>
      </c>
      <c r="K89" s="62" t="b">
        <f t="shared" si="5"/>
        <v>0</v>
      </c>
      <c r="L89" s="62" t="b">
        <f t="shared" si="6"/>
        <v>0</v>
      </c>
      <c r="M89" s="60" t="str">
        <f>IFERROR(__xludf.DUMMYFUNCTION("if(regexmatch(B89,""e(.*)$""),regexextract(B89,""e(.*)$""),"""")"),"")</f>
        <v/>
      </c>
    </row>
    <row r="90">
      <c r="A90" s="17" t="s">
        <v>1818</v>
      </c>
      <c r="B90" s="17" t="s">
        <v>3204</v>
      </c>
      <c r="C90" s="17" t="s">
        <v>3205</v>
      </c>
      <c r="D90" s="17" t="s">
        <v>98</v>
      </c>
      <c r="E90" s="60" t="str">
        <f>VLOOKUP($A90,nist_names_ids!A:B,2,false)</f>
        <v>me</v>
      </c>
      <c r="F90" s="61">
        <f>countif(Constants!A:A,E90)</f>
        <v>1</v>
      </c>
      <c r="G90" s="62" t="str">
        <f t="shared" si="1"/>
        <v>9.10938356e-31</v>
      </c>
      <c r="H90" s="62">
        <f t="shared" si="2"/>
        <v>0</v>
      </c>
      <c r="I90" s="62" t="str">
        <f t="shared" si="3"/>
        <v>0.00000011e-31</v>
      </c>
      <c r="J90" s="62">
        <f t="shared" si="4"/>
        <v>0</v>
      </c>
      <c r="K90" s="62" t="b">
        <f t="shared" si="5"/>
        <v>0</v>
      </c>
      <c r="L90" s="62" t="b">
        <f t="shared" si="6"/>
        <v>0</v>
      </c>
      <c r="M90" s="60" t="str">
        <f>IFERROR(__xludf.DUMMYFUNCTION("if(regexmatch(B90,""e(.*)$""),regexextract(B90,""e(.*)$""),"""")"),"-31")</f>
        <v>-31</v>
      </c>
    </row>
    <row r="91">
      <c r="A91" s="17" t="s">
        <v>1831</v>
      </c>
      <c r="B91" s="17" t="s">
        <v>3413</v>
      </c>
      <c r="C91" s="17" t="s">
        <v>3414</v>
      </c>
      <c r="D91" s="17" t="s">
        <v>173</v>
      </c>
      <c r="E91" s="60" t="str">
        <f>VLOOKUP($A91,nist_names_ids!A:B,2,false)</f>
        <v>mec2</v>
      </c>
      <c r="F91" s="61">
        <f>countif(Constants!A:A,E91)</f>
        <v>1</v>
      </c>
      <c r="G91" s="62" t="str">
        <f t="shared" si="1"/>
        <v>8.18710565e-14</v>
      </c>
      <c r="H91" s="62">
        <f t="shared" si="2"/>
        <v>0</v>
      </c>
      <c r="I91" s="62" t="str">
        <f t="shared" si="3"/>
        <v>0.00000010e-14</v>
      </c>
      <c r="J91" s="62">
        <f t="shared" si="4"/>
        <v>0</v>
      </c>
      <c r="K91" s="62" t="b">
        <f t="shared" si="5"/>
        <v>0</v>
      </c>
      <c r="L91" s="62" t="b">
        <f t="shared" si="6"/>
        <v>0</v>
      </c>
      <c r="M91" s="60" t="str">
        <f>IFERROR(__xludf.DUMMYFUNCTION("if(regexmatch(B91,""e(.*)$""),regexextract(B91,""e(.*)$""),"""")"),"-14")</f>
        <v>-14</v>
      </c>
    </row>
    <row r="92">
      <c r="A92" s="17" t="s">
        <v>1845</v>
      </c>
      <c r="B92" s="17" t="s">
        <v>3418</v>
      </c>
      <c r="C92" s="17" t="s">
        <v>2840</v>
      </c>
      <c r="D92" s="17" t="s">
        <v>224</v>
      </c>
      <c r="E92" s="60" t="str">
        <f>VLOOKUP($A92,nist_names_ids!A:B,2,false)</f>
        <v>mec2mev</v>
      </c>
      <c r="F92" s="61">
        <f>countif(Constants!A:A,E92)</f>
        <v>1</v>
      </c>
      <c r="G92" s="62" t="str">
        <f t="shared" si="1"/>
        <v>0.5109989461</v>
      </c>
      <c r="H92" s="62">
        <f t="shared" si="2"/>
        <v>0.5109989461</v>
      </c>
      <c r="I92" s="62" t="str">
        <f t="shared" si="3"/>
        <v>0.0000000031</v>
      </c>
      <c r="J92" s="62">
        <f t="shared" si="4"/>
        <v>0.0000000031</v>
      </c>
      <c r="K92" s="62" t="b">
        <f t="shared" si="5"/>
        <v>0</v>
      </c>
      <c r="L92" s="62" t="b">
        <f t="shared" si="6"/>
        <v>0</v>
      </c>
      <c r="M92" s="60" t="str">
        <f>IFERROR(__xludf.DUMMYFUNCTION("if(regexmatch(B92,""e(.*)$""),regexextract(B92,""e(.*)$""),"""")"),"")</f>
        <v/>
      </c>
    </row>
    <row r="93">
      <c r="A93" s="17" t="s">
        <v>1853</v>
      </c>
      <c r="B93" s="17" t="s">
        <v>3421</v>
      </c>
      <c r="C93" s="17" t="s">
        <v>2828</v>
      </c>
      <c r="D93" s="17" t="s">
        <v>249</v>
      </c>
      <c r="E93" s="60" t="str">
        <f>VLOOKUP($A93,nist_names_ids!A:B,2,false)</f>
        <v>meu</v>
      </c>
      <c r="F93" s="61">
        <f>countif(Constants!A:A,E93)</f>
        <v>1</v>
      </c>
      <c r="G93" s="62" t="str">
        <f t="shared" si="1"/>
        <v>5.48579909070e-4</v>
      </c>
      <c r="H93" s="62">
        <f t="shared" si="2"/>
        <v>0.0005485799091</v>
      </c>
      <c r="I93" s="62" t="str">
        <f t="shared" si="3"/>
        <v>0.00000000016e-4</v>
      </c>
      <c r="J93" s="62">
        <f t="shared" si="4"/>
        <v>0</v>
      </c>
      <c r="K93" s="62" t="b">
        <f t="shared" si="5"/>
        <v>0</v>
      </c>
      <c r="L93" s="62" t="b">
        <f t="shared" si="6"/>
        <v>0</v>
      </c>
      <c r="M93" s="60" t="str">
        <f>IFERROR(__xludf.DUMMYFUNCTION("if(regexmatch(B93,""e(.*)$""),regexextract(B93,""e(.*)$""),"""")"),"-4")</f>
        <v>-4</v>
      </c>
    </row>
    <row r="94">
      <c r="A94" s="17" t="s">
        <v>1860</v>
      </c>
      <c r="B94" s="17" t="s">
        <v>3423</v>
      </c>
      <c r="C94" s="17" t="s">
        <v>3424</v>
      </c>
      <c r="D94" s="17" t="s">
        <v>286</v>
      </c>
      <c r="E94" s="60" t="str">
        <f>VLOOKUP($A94,nist_names_ids!A:B,2,false)</f>
        <v>mme</v>
      </c>
      <c r="F94" s="61">
        <f>countif(Constants!A:A,E94)</f>
        <v>1</v>
      </c>
      <c r="G94" s="62" t="str">
        <f t="shared" si="1"/>
        <v>5.48579909070e-7</v>
      </c>
      <c r="H94" s="62">
        <f t="shared" si="2"/>
        <v>0.0000005485799091</v>
      </c>
      <c r="I94" s="62" t="str">
        <f t="shared" si="3"/>
        <v>0.00000000016e-7</v>
      </c>
      <c r="J94" s="62">
        <f t="shared" si="4"/>
        <v>0</v>
      </c>
      <c r="K94" s="62" t="b">
        <f t="shared" si="5"/>
        <v>0</v>
      </c>
      <c r="L94" s="62" t="b">
        <f t="shared" si="6"/>
        <v>0</v>
      </c>
      <c r="M94" s="60" t="str">
        <f>IFERROR(__xludf.DUMMYFUNCTION("if(regexmatch(B94,""e(.*)$""),regexextract(B94,""e(.*)$""),"""")"),"-7")</f>
        <v>-7</v>
      </c>
    </row>
    <row r="95">
      <c r="A95" s="17" t="s">
        <v>1864</v>
      </c>
      <c r="B95" s="17" t="s">
        <v>3428</v>
      </c>
      <c r="C95" s="17" t="s">
        <v>1866</v>
      </c>
      <c r="E95" s="60" t="str">
        <f>VLOOKUP($A95,nist_names_ids!A:B,2,false)</f>
        <v>muemsmumum</v>
      </c>
      <c r="F95" s="61">
        <f>countif(Constants!A:A,E95)</f>
        <v>1</v>
      </c>
      <c r="G95" s="62" t="str">
        <f t="shared" si="1"/>
        <v>206.7669880</v>
      </c>
      <c r="H95" s="62">
        <f t="shared" si="2"/>
        <v>206.766988</v>
      </c>
      <c r="I95" s="62" t="str">
        <f t="shared" si="3"/>
        <v>0.0000046</v>
      </c>
      <c r="J95" s="62">
        <f t="shared" si="4"/>
        <v>0.0000046</v>
      </c>
      <c r="K95" s="62" t="b">
        <f t="shared" si="5"/>
        <v>0</v>
      </c>
      <c r="L95" s="62" t="b">
        <f t="shared" si="6"/>
        <v>0</v>
      </c>
      <c r="M95" s="60" t="str">
        <f>IFERROR(__xludf.DUMMYFUNCTION("if(regexmatch(B95,""e(.*)$""),regexextract(B95,""e(.*)$""),"""")"),"")</f>
        <v/>
      </c>
    </row>
    <row r="96">
      <c r="A96" s="17" t="s">
        <v>1868</v>
      </c>
      <c r="B96" s="17" t="s">
        <v>3431</v>
      </c>
      <c r="C96" s="17" t="s">
        <v>1870</v>
      </c>
      <c r="E96" s="60" t="str">
        <f>VLOOKUP($A96,nist_names_ids!A:B,2,false)</f>
        <v>mesmmu</v>
      </c>
      <c r="F96" s="61">
        <f>countif(Constants!A:A,E96)</f>
        <v>1</v>
      </c>
      <c r="G96" s="62" t="str">
        <f t="shared" si="1"/>
        <v>4.83633170e-3</v>
      </c>
      <c r="H96" s="62">
        <f t="shared" si="2"/>
        <v>0.0048363317</v>
      </c>
      <c r="I96" s="62" t="str">
        <f t="shared" si="3"/>
        <v>0.00000011e-3</v>
      </c>
      <c r="J96" s="62">
        <f t="shared" si="4"/>
        <v>0.00000000011</v>
      </c>
      <c r="K96" s="62" t="b">
        <f t="shared" si="5"/>
        <v>0</v>
      </c>
      <c r="L96" s="62" t="b">
        <f t="shared" si="6"/>
        <v>0</v>
      </c>
      <c r="M96" s="60" t="str">
        <f>IFERROR(__xludf.DUMMYFUNCTION("if(regexmatch(B96,""e(.*)$""),regexextract(B96,""e(.*)$""),"""")"),"-3")</f>
        <v>-3</v>
      </c>
    </row>
    <row r="97">
      <c r="A97" s="17" t="s">
        <v>1872</v>
      </c>
      <c r="B97" s="17" t="s">
        <v>2841</v>
      </c>
      <c r="C97" s="17" t="s">
        <v>1874</v>
      </c>
      <c r="E97" s="60" t="str">
        <f>VLOOKUP($A97,nist_names_ids!A:B,2,false)</f>
        <v>muemsmunn</v>
      </c>
      <c r="F97" s="61">
        <f>countif(Constants!A:A,E97)</f>
        <v>1</v>
      </c>
      <c r="G97" s="62" t="str">
        <f t="shared" si="1"/>
        <v>960.92050</v>
      </c>
      <c r="H97" s="62">
        <f t="shared" si="2"/>
        <v>960.9205</v>
      </c>
      <c r="I97" s="62" t="str">
        <f t="shared" si="3"/>
        <v>0.00023</v>
      </c>
      <c r="J97" s="62">
        <f t="shared" si="4"/>
        <v>0.00023</v>
      </c>
      <c r="K97" s="62" t="b">
        <f t="shared" si="5"/>
        <v>0</v>
      </c>
      <c r="L97" s="62" t="b">
        <f t="shared" si="6"/>
        <v>0</v>
      </c>
      <c r="M97" s="60" t="str">
        <f>IFERROR(__xludf.DUMMYFUNCTION("if(regexmatch(B97,""e(.*)$""),regexextract(B97,""e(.*)$""),"""")"),"")</f>
        <v/>
      </c>
    </row>
    <row r="98">
      <c r="A98" s="17" t="s">
        <v>1878</v>
      </c>
      <c r="B98" s="17" t="s">
        <v>3437</v>
      </c>
      <c r="C98" s="17" t="s">
        <v>3438</v>
      </c>
      <c r="E98" s="60" t="str">
        <f>VLOOKUP($A98,nist_names_ids!A:B,2,false)</f>
        <v>mesmn</v>
      </c>
      <c r="F98" s="61">
        <f>countif(Constants!A:A,E98)</f>
        <v>1</v>
      </c>
      <c r="G98" s="62" t="str">
        <f t="shared" si="1"/>
        <v>5.4386734428e-4</v>
      </c>
      <c r="H98" s="62">
        <f t="shared" si="2"/>
        <v>0.0005438673443</v>
      </c>
      <c r="I98" s="62" t="str">
        <f t="shared" si="3"/>
        <v>0.0000000027e-4</v>
      </c>
      <c r="J98" s="62">
        <f t="shared" si="4"/>
        <v>0</v>
      </c>
      <c r="K98" s="62" t="b">
        <f t="shared" si="5"/>
        <v>0</v>
      </c>
      <c r="L98" s="62" t="b">
        <f t="shared" si="6"/>
        <v>0</v>
      </c>
      <c r="M98" s="60" t="str">
        <f>IFERROR(__xludf.DUMMYFUNCTION("if(regexmatch(B98,""e(.*)$""),regexextract(B98,""e(.*)$""),"""")"),"-4")</f>
        <v>-4</v>
      </c>
    </row>
    <row r="99">
      <c r="A99" s="17" t="s">
        <v>1882</v>
      </c>
      <c r="B99" s="17" t="s">
        <v>3440</v>
      </c>
      <c r="C99" s="17" t="s">
        <v>3441</v>
      </c>
      <c r="E99" s="60" t="str">
        <f>VLOOKUP($A99,nist_names_ids!A:B,2,false)</f>
        <v>muemsmup</v>
      </c>
      <c r="F99" s="61">
        <f>countif(Constants!A:A,E99)</f>
        <v>1</v>
      </c>
      <c r="G99" s="62" t="str">
        <f t="shared" si="1"/>
        <v>-658.2106866</v>
      </c>
      <c r="H99" s="62">
        <f t="shared" si="2"/>
        <v>-658.2106866</v>
      </c>
      <c r="I99" s="62" t="str">
        <f t="shared" si="3"/>
        <v>0.0000020</v>
      </c>
      <c r="J99" s="62">
        <f t="shared" si="4"/>
        <v>0.000002</v>
      </c>
      <c r="K99" s="62" t="b">
        <f t="shared" si="5"/>
        <v>0</v>
      </c>
      <c r="L99" s="62" t="b">
        <f t="shared" si="6"/>
        <v>0</v>
      </c>
      <c r="M99" s="60" t="str">
        <f>IFERROR(__xludf.DUMMYFUNCTION("if(regexmatch(B99,""e(.*)$""),regexextract(B99,""e(.*)$""),"""")"),"")</f>
        <v/>
      </c>
    </row>
    <row r="100">
      <c r="A100" s="17" t="s">
        <v>1886</v>
      </c>
      <c r="B100" s="17" t="s">
        <v>3443</v>
      </c>
      <c r="C100" s="17" t="s">
        <v>3444</v>
      </c>
      <c r="E100" s="60" t="str">
        <f>VLOOKUP($A100,nist_names_ids!A:B,2,false)</f>
        <v>mesmp</v>
      </c>
      <c r="F100" s="61">
        <f>countif(Constants!A:A,E100)</f>
        <v>1</v>
      </c>
      <c r="G100" s="62" t="str">
        <f t="shared" si="1"/>
        <v>5.44617021352e-4</v>
      </c>
      <c r="H100" s="62">
        <f t="shared" si="2"/>
        <v>0.0005446170214</v>
      </c>
      <c r="I100" s="62" t="str">
        <f t="shared" si="3"/>
        <v>0.00000000052e-4</v>
      </c>
      <c r="J100" s="62">
        <f t="shared" si="4"/>
        <v>0</v>
      </c>
      <c r="K100" s="62" t="b">
        <f t="shared" si="5"/>
        <v>0</v>
      </c>
      <c r="L100" s="62" t="b">
        <f t="shared" si="6"/>
        <v>0</v>
      </c>
      <c r="M100" s="60" t="str">
        <f>IFERROR(__xludf.DUMMYFUNCTION("if(regexmatch(B100,""e(.*)$""),regexextract(B100,""e(.*)$""),"""")"),"-4")</f>
        <v>-4</v>
      </c>
    </row>
    <row r="101">
      <c r="A101" s="17" t="s">
        <v>1896</v>
      </c>
      <c r="B101" s="17" t="s">
        <v>3448</v>
      </c>
      <c r="C101" s="17" t="s">
        <v>3449</v>
      </c>
      <c r="E101" s="60" t="str">
        <f>VLOOKUP($A101,nist_names_ids!A:B,2,false)</f>
        <v>mesmtau</v>
      </c>
      <c r="F101" s="61">
        <f>countif(Constants!A:A,E101)</f>
        <v>1</v>
      </c>
      <c r="G101" s="62" t="str">
        <f t="shared" si="1"/>
        <v>2.87592e-4</v>
      </c>
      <c r="H101" s="62">
        <f t="shared" si="2"/>
        <v>0.000287592</v>
      </c>
      <c r="I101" s="62" t="str">
        <f t="shared" si="3"/>
        <v>0.00026e-4</v>
      </c>
      <c r="J101" s="62">
        <f t="shared" si="4"/>
        <v>0.000000026</v>
      </c>
      <c r="K101" s="62" t="b">
        <f t="shared" si="5"/>
        <v>0</v>
      </c>
      <c r="L101" s="62" t="b">
        <f t="shared" si="6"/>
        <v>0</v>
      </c>
      <c r="M101" s="60" t="str">
        <f>IFERROR(__xludf.DUMMYFUNCTION("if(regexmatch(B101,""e(.*)$""),regexextract(B101,""e(.*)$""),"""")"),"-4")</f>
        <v>-4</v>
      </c>
    </row>
    <row r="102">
      <c r="A102" s="17" t="s">
        <v>1900</v>
      </c>
      <c r="B102" s="17" t="s">
        <v>3450</v>
      </c>
      <c r="C102" s="17" t="s">
        <v>2876</v>
      </c>
      <c r="E102" s="60" t="str">
        <f>VLOOKUP($A102,nist_names_ids!A:B,2,false)</f>
        <v>mesmalpha</v>
      </c>
      <c r="F102" s="61">
        <f>countif(Constants!A:A,E102)</f>
        <v>1</v>
      </c>
      <c r="G102" s="62" t="str">
        <f t="shared" si="1"/>
        <v>1.370933554798e-4</v>
      </c>
      <c r="H102" s="62">
        <f t="shared" si="2"/>
        <v>0.0001370933555</v>
      </c>
      <c r="I102" s="62" t="str">
        <f t="shared" si="3"/>
        <v>0.000000000045e-4</v>
      </c>
      <c r="J102" s="62">
        <f t="shared" si="4"/>
        <v>0</v>
      </c>
      <c r="K102" s="62" t="b">
        <f t="shared" si="5"/>
        <v>0</v>
      </c>
      <c r="L102" s="62" t="b">
        <f t="shared" si="6"/>
        <v>0</v>
      </c>
      <c r="M102" s="60" t="str">
        <f>IFERROR(__xludf.DUMMYFUNCTION("if(regexmatch(B102,""e(.*)$""),regexextract(B102,""e(.*)$""),"""")"),"-4")</f>
        <v>-4</v>
      </c>
    </row>
    <row r="103">
      <c r="A103" s="17" t="s">
        <v>1904</v>
      </c>
      <c r="B103" s="17" t="s">
        <v>2878</v>
      </c>
      <c r="C103" s="17" t="s">
        <v>2879</v>
      </c>
      <c r="E103" s="60" t="str">
        <f>VLOOKUP($A103,nist_names_ids!A:B,2,false)</f>
        <v>muemsmuhp</v>
      </c>
      <c r="F103" s="61">
        <f>countif(Constants!A:A,E103)</f>
        <v>1</v>
      </c>
      <c r="G103" s="62" t="str">
        <f t="shared" si="1"/>
        <v>864.058257</v>
      </c>
      <c r="H103" s="62">
        <f t="shared" si="2"/>
        <v>864.058257</v>
      </c>
      <c r="I103" s="62" t="str">
        <f t="shared" si="3"/>
        <v>0.000010</v>
      </c>
      <c r="J103" s="62">
        <f t="shared" si="4"/>
        <v>0.00001</v>
      </c>
      <c r="K103" s="62" t="b">
        <f t="shared" si="5"/>
        <v>0</v>
      </c>
      <c r="L103" s="62" t="b">
        <f t="shared" si="6"/>
        <v>0</v>
      </c>
      <c r="M103" s="60" t="str">
        <f>IFERROR(__xludf.DUMMYFUNCTION("if(regexmatch(B103,""e(.*)$""),regexextract(B103,""e(.*)$""),"""")"),"")</f>
        <v/>
      </c>
    </row>
    <row r="104">
      <c r="A104" s="17" t="s">
        <v>1910</v>
      </c>
      <c r="B104" s="17" t="s">
        <v>2899</v>
      </c>
      <c r="C104" s="17" t="s">
        <v>2900</v>
      </c>
      <c r="E104" s="60" t="str">
        <f>VLOOKUP($A104,nist_names_ids!A:B,2,false)</f>
        <v>muemsmupp</v>
      </c>
      <c r="F104" s="61">
        <f>countif(Constants!A:A,E104)</f>
        <v>1</v>
      </c>
      <c r="G104" s="62" t="str">
        <f t="shared" si="1"/>
        <v>-658.2275971</v>
      </c>
      <c r="H104" s="62">
        <f t="shared" si="2"/>
        <v>-658.2275971</v>
      </c>
      <c r="I104" s="62" t="str">
        <f t="shared" si="3"/>
        <v>0.0000072</v>
      </c>
      <c r="J104" s="62">
        <f t="shared" si="4"/>
        <v>0.0000072</v>
      </c>
      <c r="K104" s="62" t="b">
        <f t="shared" si="5"/>
        <v>0</v>
      </c>
      <c r="L104" s="62" t="b">
        <f t="shared" si="6"/>
        <v>0</v>
      </c>
      <c r="M104" s="60" t="str">
        <f>IFERROR(__xludf.DUMMYFUNCTION("if(regexmatch(B104,""e(.*)$""),regexextract(B104,""e(.*)$""),"""")"),"")</f>
        <v/>
      </c>
    </row>
    <row r="105">
      <c r="A105" s="17" t="s">
        <v>1916</v>
      </c>
      <c r="B105" s="17" t="s">
        <v>3453</v>
      </c>
      <c r="C105" s="17" t="s">
        <v>3454</v>
      </c>
      <c r="E105" s="60" t="str">
        <f>VLOOKUP($A105,nist_names_ids!A:B,2,false)</f>
        <v>mesmt</v>
      </c>
      <c r="F105" s="61">
        <f>countif(Constants!A:A,E105)</f>
        <v>1</v>
      </c>
      <c r="G105" s="62" t="str">
        <f t="shared" si="1"/>
        <v>1.819200062203e-4</v>
      </c>
      <c r="H105" s="62">
        <f t="shared" si="2"/>
        <v>0.0001819200062</v>
      </c>
      <c r="I105" s="62" t="str">
        <f t="shared" si="3"/>
        <v>0.000000000084e-4</v>
      </c>
      <c r="J105" s="62">
        <f t="shared" si="4"/>
        <v>0</v>
      </c>
      <c r="K105" s="62" t="b">
        <f t="shared" si="5"/>
        <v>0</v>
      </c>
      <c r="L105" s="62" t="b">
        <f t="shared" si="6"/>
        <v>0</v>
      </c>
      <c r="M105" s="60" t="str">
        <f>IFERROR(__xludf.DUMMYFUNCTION("if(regexmatch(B105,""e(.*)$""),regexextract(B105,""e(.*)$""),"""")"),"-4")</f>
        <v>-4</v>
      </c>
    </row>
    <row r="106">
      <c r="A106" s="17" t="s">
        <v>1919</v>
      </c>
      <c r="B106" s="17" t="s">
        <v>3139</v>
      </c>
      <c r="C106" s="17" t="s">
        <v>3140</v>
      </c>
      <c r="D106" s="17" t="s">
        <v>173</v>
      </c>
      <c r="E106" s="60" t="str">
        <f>VLOOKUP($A106,nist_names_ids!A:B,2,false)</f>
        <v>tevj</v>
      </c>
      <c r="F106" s="61">
        <f>countif(Constants!A:A,E106)</f>
        <v>1</v>
      </c>
      <c r="G106" s="62" t="str">
        <f t="shared" si="1"/>
        <v>1.6021766208e-19</v>
      </c>
      <c r="H106" s="62">
        <f t="shared" si="2"/>
        <v>0</v>
      </c>
      <c r="I106" s="62" t="str">
        <f t="shared" si="3"/>
        <v>0.0000000098e-19</v>
      </c>
      <c r="J106" s="62">
        <f t="shared" si="4"/>
        <v>0</v>
      </c>
      <c r="K106" s="62" t="b">
        <f t="shared" si="5"/>
        <v>0</v>
      </c>
      <c r="L106" s="62" t="b">
        <f t="shared" si="6"/>
        <v>0</v>
      </c>
      <c r="M106" s="60" t="str">
        <f>IFERROR(__xludf.DUMMYFUNCTION("if(regexmatch(B106,""e(.*)$""),regexextract(B106,""e(.*)$""),"""")"),"-19")</f>
        <v>-19</v>
      </c>
    </row>
    <row r="107">
      <c r="A107" s="17" t="s">
        <v>1920</v>
      </c>
      <c r="B107" s="17" t="s">
        <v>3458</v>
      </c>
      <c r="C107" s="17" t="s">
        <v>3459</v>
      </c>
      <c r="D107" s="17" t="s">
        <v>249</v>
      </c>
      <c r="E107" s="60" t="str">
        <f>VLOOKUP($A107,nist_names_ids!A:B,2,false)</f>
        <v>evu</v>
      </c>
      <c r="F107" s="61">
        <f>countif(Constants!A:A,E107)</f>
        <v>1</v>
      </c>
      <c r="G107" s="62" t="str">
        <f t="shared" si="1"/>
        <v>1.0735441105e-9</v>
      </c>
      <c r="H107" s="62">
        <f t="shared" si="2"/>
        <v>0.000000001073544111</v>
      </c>
      <c r="I107" s="62" t="str">
        <f t="shared" si="3"/>
        <v>0.0000000066e-9</v>
      </c>
      <c r="J107" s="62">
        <f t="shared" si="4"/>
        <v>0</v>
      </c>
      <c r="K107" s="62" t="b">
        <f t="shared" si="5"/>
        <v>0</v>
      </c>
      <c r="L107" s="62" t="b">
        <f t="shared" si="6"/>
        <v>0</v>
      </c>
      <c r="M107" s="60" t="str">
        <f>IFERROR(__xludf.DUMMYFUNCTION("if(regexmatch(B107,""e(.*)$""),regexextract(B107,""e(.*)$""),"""")"),"-9")</f>
        <v>-9</v>
      </c>
    </row>
    <row r="108">
      <c r="A108" s="17" t="s">
        <v>1923</v>
      </c>
      <c r="B108" s="17" t="s">
        <v>3463</v>
      </c>
      <c r="C108" s="17" t="s">
        <v>3464</v>
      </c>
      <c r="D108" s="17" t="s">
        <v>170</v>
      </c>
      <c r="E108" s="60" t="str">
        <f>VLOOKUP($A108,nist_names_ids!A:B,2,false)</f>
        <v>evhr</v>
      </c>
      <c r="F108" s="61">
        <f>countif(Constants!A:A,E108)</f>
        <v>1</v>
      </c>
      <c r="G108" s="62" t="str">
        <f t="shared" si="1"/>
        <v>3.674932248e-2</v>
      </c>
      <c r="H108" s="62">
        <f t="shared" si="2"/>
        <v>0.03674932248</v>
      </c>
      <c r="I108" s="62" t="str">
        <f t="shared" si="3"/>
        <v>0.000000023e-2</v>
      </c>
      <c r="J108" s="62">
        <f t="shared" si="4"/>
        <v>0.00000000023</v>
      </c>
      <c r="K108" s="62" t="b">
        <f t="shared" si="5"/>
        <v>0</v>
      </c>
      <c r="L108" s="62" t="b">
        <f t="shared" si="6"/>
        <v>0</v>
      </c>
      <c r="M108" s="60" t="str">
        <f>IFERROR(__xludf.DUMMYFUNCTION("if(regexmatch(B108,""e(.*)$""),regexextract(B108,""e(.*)$""),"""")"),"-2")</f>
        <v>-2</v>
      </c>
    </row>
    <row r="109">
      <c r="A109" s="17" t="s">
        <v>1931</v>
      </c>
      <c r="B109" s="17" t="s">
        <v>3466</v>
      </c>
      <c r="C109" s="17" t="s">
        <v>3467</v>
      </c>
      <c r="D109" s="17" t="s">
        <v>257</v>
      </c>
      <c r="E109" s="60" t="str">
        <f>VLOOKUP($A109,nist_names_ids!A:B,2,false)</f>
        <v>evhz</v>
      </c>
      <c r="F109" s="61">
        <f>countif(Constants!A:A,E109)</f>
        <v>1</v>
      </c>
      <c r="G109" s="62" t="str">
        <f t="shared" si="1"/>
        <v>2.417989262e14</v>
      </c>
      <c r="H109" s="62">
        <f t="shared" si="2"/>
        <v>241798926200000</v>
      </c>
      <c r="I109" s="62" t="str">
        <f t="shared" si="3"/>
        <v>0.000000015e14</v>
      </c>
      <c r="J109" s="62">
        <f t="shared" si="4"/>
        <v>1500000</v>
      </c>
      <c r="K109" s="62" t="b">
        <f t="shared" si="5"/>
        <v>0</v>
      </c>
      <c r="L109" s="62" t="b">
        <f t="shared" si="6"/>
        <v>0</v>
      </c>
      <c r="M109" s="60" t="str">
        <f>IFERROR(__xludf.DUMMYFUNCTION("if(regexmatch(B109,""e(.*)$""),regexextract(B109,""e(.*)$""),"""")"),"14")</f>
        <v>14</v>
      </c>
    </row>
    <row r="110">
      <c r="A110" s="17" t="s">
        <v>1934</v>
      </c>
      <c r="B110" s="17" t="s">
        <v>3468</v>
      </c>
      <c r="C110" s="17" t="s">
        <v>3470</v>
      </c>
      <c r="D110" s="17" t="s">
        <v>561</v>
      </c>
      <c r="E110" s="60" t="str">
        <f>VLOOKUP($A110,nist_names_ids!A:B,2,false)</f>
        <v>evminv</v>
      </c>
      <c r="F110" s="61">
        <f>countif(Constants!A:A,E110)</f>
        <v>1</v>
      </c>
      <c r="G110" s="62" t="str">
        <f t="shared" si="1"/>
        <v>8.065544005e5</v>
      </c>
      <c r="H110" s="62">
        <f t="shared" si="2"/>
        <v>806554.4005</v>
      </c>
      <c r="I110" s="62" t="str">
        <f t="shared" si="3"/>
        <v>0.000000050e5</v>
      </c>
      <c r="J110" s="62">
        <f t="shared" si="4"/>
        <v>0.005</v>
      </c>
      <c r="K110" s="62" t="b">
        <f t="shared" si="5"/>
        <v>0</v>
      </c>
      <c r="L110" s="62" t="b">
        <f t="shared" si="6"/>
        <v>0</v>
      </c>
      <c r="M110" s="60" t="str">
        <f>IFERROR(__xludf.DUMMYFUNCTION("if(regexmatch(B110,""e(.*)$""),regexextract(B110,""e(.*)$""),"""")"),"5")</f>
        <v>5</v>
      </c>
    </row>
    <row r="111">
      <c r="A111" s="17" t="s">
        <v>1937</v>
      </c>
      <c r="B111" s="17" t="s">
        <v>3139</v>
      </c>
      <c r="C111" s="17" t="s">
        <v>3140</v>
      </c>
      <c r="D111" s="17" t="s">
        <v>173</v>
      </c>
      <c r="E111" s="60" t="str">
        <f>VLOOKUP($A111,nist_names_ids!A:B,2,false)</f>
        <v>evj</v>
      </c>
      <c r="F111" s="61">
        <f>countif(Constants!A:A,E111)</f>
        <v>1</v>
      </c>
      <c r="G111" s="62" t="str">
        <f t="shared" si="1"/>
        <v>1.6021766208e-19</v>
      </c>
      <c r="H111" s="62">
        <f t="shared" si="2"/>
        <v>0</v>
      </c>
      <c r="I111" s="62" t="str">
        <f t="shared" si="3"/>
        <v>0.0000000098e-19</v>
      </c>
      <c r="J111" s="62">
        <f t="shared" si="4"/>
        <v>0</v>
      </c>
      <c r="K111" s="62" t="b">
        <f t="shared" si="5"/>
        <v>0</v>
      </c>
      <c r="L111" s="62" t="b">
        <f t="shared" si="6"/>
        <v>0</v>
      </c>
      <c r="M111" s="60" t="str">
        <f>IFERROR(__xludf.DUMMYFUNCTION("if(regexmatch(B111,""e(.*)$""),regexextract(B111,""e(.*)$""),"""")"),"-19")</f>
        <v>-19</v>
      </c>
    </row>
    <row r="112">
      <c r="A112" s="17" t="s">
        <v>1940</v>
      </c>
      <c r="B112" s="17" t="s">
        <v>3478</v>
      </c>
      <c r="C112" s="17" t="s">
        <v>3479</v>
      </c>
      <c r="D112" s="17" t="s">
        <v>345</v>
      </c>
      <c r="E112" s="60" t="str">
        <f>VLOOKUP($A112,nist_names_ids!A:B,2,false)</f>
        <v>evk</v>
      </c>
      <c r="F112" s="61">
        <f>countif(Constants!A:A,E112)</f>
        <v>1</v>
      </c>
      <c r="G112" s="62" t="str">
        <f t="shared" si="1"/>
        <v>1.16045221e4</v>
      </c>
      <c r="H112" s="62">
        <f t="shared" si="2"/>
        <v>11604.5221</v>
      </c>
      <c r="I112" s="62" t="str">
        <f t="shared" si="3"/>
        <v>0.00000067e4</v>
      </c>
      <c r="J112" s="62">
        <f t="shared" si="4"/>
        <v>0.0067</v>
      </c>
      <c r="K112" s="62" t="b">
        <f t="shared" si="5"/>
        <v>0</v>
      </c>
      <c r="L112" s="62" t="b">
        <f t="shared" si="6"/>
        <v>0</v>
      </c>
      <c r="M112" s="60" t="str">
        <f>IFERROR(__xludf.DUMMYFUNCTION("if(regexmatch(B112,""e(.*)$""),regexextract(B112,""e(.*)$""),"""")"),"4")</f>
        <v>4</v>
      </c>
    </row>
    <row r="113">
      <c r="A113" s="17" t="s">
        <v>1944</v>
      </c>
      <c r="B113" s="17" t="s">
        <v>3481</v>
      </c>
      <c r="C113" s="17" t="s">
        <v>3482</v>
      </c>
      <c r="D113" s="17" t="s">
        <v>98</v>
      </c>
      <c r="E113" s="60" t="str">
        <f>VLOOKUP($A113,nist_names_ids!A:B,2,false)</f>
        <v>evkg</v>
      </c>
      <c r="F113" s="61">
        <f>countif(Constants!A:A,E113)</f>
        <v>1</v>
      </c>
      <c r="G113" s="62" t="str">
        <f t="shared" si="1"/>
        <v>1.782661907e-36</v>
      </c>
      <c r="H113" s="62">
        <f t="shared" si="2"/>
        <v>0</v>
      </c>
      <c r="I113" s="62" t="str">
        <f t="shared" si="3"/>
        <v>0.000000011e-36</v>
      </c>
      <c r="J113" s="62">
        <f t="shared" si="4"/>
        <v>0</v>
      </c>
      <c r="K113" s="62" t="b">
        <f t="shared" si="5"/>
        <v>0</v>
      </c>
      <c r="L113" s="62" t="b">
        <f t="shared" si="6"/>
        <v>0</v>
      </c>
      <c r="M113" s="60" t="str">
        <f>IFERROR(__xludf.DUMMYFUNCTION("if(regexmatch(B113,""e(.*)$""),regexextract(B113,""e(.*)$""),"""")"),"-36")</f>
        <v>-36</v>
      </c>
    </row>
    <row r="114">
      <c r="A114" s="17" t="s">
        <v>1947</v>
      </c>
      <c r="B114" s="17" t="s">
        <v>3139</v>
      </c>
      <c r="C114" s="17" t="s">
        <v>3140</v>
      </c>
      <c r="D114" s="17" t="s">
        <v>81</v>
      </c>
      <c r="E114" s="60" t="str">
        <f>VLOOKUP($A114,nist_names_ids!A:B,2,false)</f>
        <v>e</v>
      </c>
      <c r="F114" s="61">
        <f>countif(Constants!A:A,E114)</f>
        <v>1</v>
      </c>
      <c r="G114" s="62" t="str">
        <f t="shared" si="1"/>
        <v>1.6021766208e-19</v>
      </c>
      <c r="H114" s="62">
        <f t="shared" si="2"/>
        <v>0</v>
      </c>
      <c r="I114" s="62" t="str">
        <f t="shared" si="3"/>
        <v>0.0000000098e-19</v>
      </c>
      <c r="J114" s="62">
        <f t="shared" si="4"/>
        <v>0</v>
      </c>
      <c r="K114" s="62" t="b">
        <f t="shared" si="5"/>
        <v>0</v>
      </c>
      <c r="L114" s="62" t="b">
        <f t="shared" si="6"/>
        <v>0</v>
      </c>
      <c r="M114" s="60" t="str">
        <f>IFERROR(__xludf.DUMMYFUNCTION("if(regexmatch(B114,""e(.*)$""),regexextract(B114,""e(.*)$""),"""")"),"-19")</f>
        <v>-19</v>
      </c>
    </row>
    <row r="115">
      <c r="A115" s="17" t="s">
        <v>2603</v>
      </c>
      <c r="B115" s="17" t="s">
        <v>3466</v>
      </c>
      <c r="C115" s="17" t="s">
        <v>3467</v>
      </c>
      <c r="D115" s="17" t="s">
        <v>1951</v>
      </c>
      <c r="E115" s="60" t="str">
        <f>VLOOKUP($A115,nist_names_ids!A:B,2,false)</f>
        <v>eshbar</v>
      </c>
      <c r="F115" s="61">
        <f>countif(Constants!A:A,E115)</f>
        <v>1</v>
      </c>
      <c r="G115" s="62" t="str">
        <f t="shared" si="1"/>
        <v>2.417989262e14</v>
      </c>
      <c r="H115" s="62">
        <f t="shared" si="2"/>
        <v>241798926200000</v>
      </c>
      <c r="I115" s="62" t="str">
        <f t="shared" si="3"/>
        <v>0.000000015e14</v>
      </c>
      <c r="J115" s="62">
        <f t="shared" si="4"/>
        <v>1500000</v>
      </c>
      <c r="K115" s="62" t="b">
        <f t="shared" si="5"/>
        <v>0</v>
      </c>
      <c r="L115" s="62" t="b">
        <f t="shared" si="6"/>
        <v>0</v>
      </c>
      <c r="M115" s="60" t="str">
        <f>IFERROR(__xludf.DUMMYFUNCTION("if(regexmatch(B115,""e(.*)$""),regexextract(B115,""e(.*)$""),"""")"),"14")</f>
        <v>14</v>
      </c>
    </row>
    <row r="116">
      <c r="A116" s="17" t="s">
        <v>1956</v>
      </c>
      <c r="B116" s="17" t="s">
        <v>3489</v>
      </c>
      <c r="C116" s="17" t="s">
        <v>3490</v>
      </c>
      <c r="D116" s="17" t="s">
        <v>1958</v>
      </c>
      <c r="E116" s="60" t="str">
        <f>VLOOKUP($A116,nist_names_ids!A:B,2,false)</f>
        <v>f</v>
      </c>
      <c r="F116" s="61">
        <f>countif(Constants!A:A,E116)</f>
        <v>1</v>
      </c>
      <c r="G116" s="62" t="str">
        <f t="shared" si="1"/>
        <v>96485.33289</v>
      </c>
      <c r="H116" s="62">
        <f t="shared" si="2"/>
        <v>96485.33289</v>
      </c>
      <c r="I116" s="62" t="str">
        <f t="shared" si="3"/>
        <v>0.00059</v>
      </c>
      <c r="J116" s="62">
        <f t="shared" si="4"/>
        <v>0.00059</v>
      </c>
      <c r="K116" s="62" t="b">
        <f t="shared" si="5"/>
        <v>0</v>
      </c>
      <c r="L116" s="62" t="b">
        <f t="shared" si="6"/>
        <v>0</v>
      </c>
      <c r="M116" s="60" t="str">
        <f>IFERROR(__xludf.DUMMYFUNCTION("if(regexmatch(B116,""e(.*)$""),regexextract(B116,""e(.*)$""),"""")"),"")</f>
        <v/>
      </c>
    </row>
    <row r="117">
      <c r="A117" s="17" t="s">
        <v>2239</v>
      </c>
      <c r="B117" s="17" t="s">
        <v>3492</v>
      </c>
      <c r="C117" s="64" t="s">
        <v>3493</v>
      </c>
      <c r="D117" s="17" t="s">
        <v>2241</v>
      </c>
      <c r="E117" s="60" t="str">
        <f>VLOOKUP($A117,nist_names_ids!A:B,2,false)</f>
        <v>f90</v>
      </c>
      <c r="F117" s="61">
        <f>countif(Constants!A:A,E117)</f>
        <v>1</v>
      </c>
      <c r="G117" s="62" t="str">
        <f t="shared" si="1"/>
        <v>96485.3251</v>
      </c>
      <c r="H117" s="62">
        <f t="shared" si="2"/>
        <v>96485.3251</v>
      </c>
      <c r="I117" s="62" t="str">
        <f t="shared" si="3"/>
        <v>0.0012</v>
      </c>
      <c r="J117" s="62">
        <f t="shared" si="4"/>
        <v>0.0012</v>
      </c>
      <c r="K117" s="62" t="b">
        <f t="shared" si="5"/>
        <v>0</v>
      </c>
      <c r="L117" s="62" t="b">
        <f t="shared" si="6"/>
        <v>0</v>
      </c>
      <c r="M117" s="60" t="str">
        <f>IFERROR(__xludf.DUMMYFUNCTION("if(regexmatch(B117,""e(.*)$""),regexextract(B117,""e(.*)$""),"""")"),"")</f>
        <v/>
      </c>
    </row>
    <row r="118">
      <c r="A118" s="17" t="s">
        <v>1960</v>
      </c>
      <c r="B118" s="17" t="s">
        <v>2979</v>
      </c>
      <c r="C118" s="17" t="s">
        <v>1962</v>
      </c>
      <c r="D118" s="17" t="s">
        <v>1963</v>
      </c>
      <c r="E118" s="60" t="str">
        <f>VLOOKUP($A118,nist_names_ids!A:B,2,false)</f>
        <v>gf</v>
      </c>
      <c r="F118" s="61">
        <f>countif(Constants!A:A,E118)</f>
        <v>1</v>
      </c>
      <c r="G118" s="62" t="str">
        <f t="shared" si="1"/>
        <v>1.1663787e-5</v>
      </c>
      <c r="H118" s="62">
        <f t="shared" si="2"/>
        <v>0.000011663787</v>
      </c>
      <c r="I118" s="62" t="str">
        <f t="shared" si="3"/>
        <v>0.0000006e-5</v>
      </c>
      <c r="J118" s="62">
        <f t="shared" si="4"/>
        <v>0</v>
      </c>
      <c r="K118" s="62" t="b">
        <f t="shared" si="5"/>
        <v>0</v>
      </c>
      <c r="L118" s="62" t="b">
        <f t="shared" si="6"/>
        <v>0</v>
      </c>
      <c r="M118" s="60" t="str">
        <f>IFERROR(__xludf.DUMMYFUNCTION("if(regexmatch(B118,""e(.*)$""),regexextract(B118,""e(.*)$""),"""")"),"-5")</f>
        <v>-5</v>
      </c>
    </row>
    <row r="119">
      <c r="A119" s="17" t="s">
        <v>1966</v>
      </c>
      <c r="B119" s="17" t="s">
        <v>3498</v>
      </c>
      <c r="C119" s="17" t="s">
        <v>3499</v>
      </c>
      <c r="E119" s="60" t="str">
        <f>VLOOKUP($A119,nist_names_ids!A:B,2,false)</f>
        <v>alph</v>
      </c>
      <c r="F119" s="61">
        <f>countif(Constants!A:A,E119)</f>
        <v>1</v>
      </c>
      <c r="G119" s="62" t="str">
        <f t="shared" si="1"/>
        <v>7.2973525664e-3</v>
      </c>
      <c r="H119" s="62">
        <f t="shared" si="2"/>
        <v>0.007297352566</v>
      </c>
      <c r="I119" s="62" t="str">
        <f t="shared" si="3"/>
        <v>0.0000000017e-3</v>
      </c>
      <c r="J119" s="62">
        <f t="shared" si="4"/>
        <v>0</v>
      </c>
      <c r="K119" s="62" t="b">
        <f t="shared" si="5"/>
        <v>0</v>
      </c>
      <c r="L119" s="62" t="b">
        <f t="shared" si="6"/>
        <v>0</v>
      </c>
      <c r="M119" s="60" t="str">
        <f>IFERROR(__xludf.DUMMYFUNCTION("if(regexmatch(B119,""e(.*)$""),regexextract(B119,""e(.*)$""),"""")"),"-3")</f>
        <v>-3</v>
      </c>
    </row>
    <row r="120">
      <c r="A120" s="17" t="s">
        <v>1972</v>
      </c>
      <c r="B120" s="17" t="s">
        <v>3500</v>
      </c>
      <c r="C120" s="17" t="s">
        <v>3501</v>
      </c>
      <c r="D120" s="17" t="s">
        <v>1974</v>
      </c>
      <c r="E120" s="60" t="str">
        <f>VLOOKUP($A120,nist_names_ids!A:B,2,false)</f>
        <v>c11strc</v>
      </c>
      <c r="F120" s="61">
        <f>countif(Constants!A:A,E120)</f>
        <v>1</v>
      </c>
      <c r="G120" s="62" t="str">
        <f t="shared" si="1"/>
        <v>3.741771790e-16</v>
      </c>
      <c r="H120" s="62">
        <f t="shared" si="2"/>
        <v>0</v>
      </c>
      <c r="I120" s="62" t="str">
        <f t="shared" si="3"/>
        <v>0.000000046e-16</v>
      </c>
      <c r="J120" s="62">
        <f t="shared" si="4"/>
        <v>0</v>
      </c>
      <c r="K120" s="62" t="b">
        <f t="shared" si="5"/>
        <v>0</v>
      </c>
      <c r="L120" s="62" t="b">
        <f t="shared" si="6"/>
        <v>0</v>
      </c>
      <c r="M120" s="60" t="str">
        <f>IFERROR(__xludf.DUMMYFUNCTION("if(regexmatch(B120,""e(.*)$""),regexextract(B120,""e(.*)$""),"""")"),"-16")</f>
        <v>-16</v>
      </c>
    </row>
    <row r="121">
      <c r="A121" s="17" t="s">
        <v>1979</v>
      </c>
      <c r="B121" s="17" t="s">
        <v>3507</v>
      </c>
      <c r="C121" s="17" t="s">
        <v>3508</v>
      </c>
      <c r="D121" s="17" t="s">
        <v>1982</v>
      </c>
      <c r="E121" s="60" t="str">
        <f>VLOOKUP($A121,nist_names_ids!A:B,2,false)</f>
        <v>c1l</v>
      </c>
      <c r="F121" s="61">
        <f>countif(Constants!A:A,E121)</f>
        <v>1</v>
      </c>
      <c r="G121" s="62" t="str">
        <f t="shared" si="1"/>
        <v>1.191042953e-16</v>
      </c>
      <c r="H121" s="62">
        <f t="shared" si="2"/>
        <v>0</v>
      </c>
      <c r="I121" s="62" t="str">
        <f t="shared" si="3"/>
        <v>0.000000015e-16</v>
      </c>
      <c r="J121" s="62">
        <f t="shared" si="4"/>
        <v>0</v>
      </c>
      <c r="K121" s="62" t="b">
        <f t="shared" si="5"/>
        <v>0</v>
      </c>
      <c r="L121" s="62" t="b">
        <f t="shared" si="6"/>
        <v>0</v>
      </c>
      <c r="M121" s="60" t="str">
        <f>IFERROR(__xludf.DUMMYFUNCTION("if(regexmatch(B121,""e(.*)$""),regexextract(B121,""e(.*)$""),"""")"),"-16")</f>
        <v>-16</v>
      </c>
    </row>
    <row r="122">
      <c r="A122" s="17" t="s">
        <v>1984</v>
      </c>
      <c r="B122" s="17" t="s">
        <v>3510</v>
      </c>
      <c r="C122" s="17" t="s">
        <v>1541</v>
      </c>
      <c r="D122" s="17" t="s">
        <v>249</v>
      </c>
      <c r="E122" s="60" t="str">
        <f>VLOOKUP($A122,nist_names_ids!A:B,2,false)</f>
        <v>hru</v>
      </c>
      <c r="F122" s="61">
        <f>countif(Constants!A:A,E122)</f>
        <v>1</v>
      </c>
      <c r="G122" s="62" t="str">
        <f t="shared" si="1"/>
        <v>2.9212623197e-8</v>
      </c>
      <c r="H122" s="62">
        <f t="shared" si="2"/>
        <v>0.0000000292126232</v>
      </c>
      <c r="I122" s="62" t="str">
        <f t="shared" si="3"/>
        <v>0.0000000013e-8</v>
      </c>
      <c r="J122" s="62">
        <f t="shared" si="4"/>
        <v>0</v>
      </c>
      <c r="K122" s="62" t="b">
        <f t="shared" si="5"/>
        <v>0</v>
      </c>
      <c r="L122" s="62" t="b">
        <f t="shared" si="6"/>
        <v>0</v>
      </c>
      <c r="M122" s="60" t="str">
        <f>IFERROR(__xludf.DUMMYFUNCTION("if(regexmatch(B122,""e(.*)$""),regexextract(B122,""e(.*)$""),"""")"),"-8")</f>
        <v>-8</v>
      </c>
    </row>
    <row r="123">
      <c r="A123" s="17" t="s">
        <v>1988</v>
      </c>
      <c r="B123" s="17" t="s">
        <v>3166</v>
      </c>
      <c r="C123" s="17" t="s">
        <v>1419</v>
      </c>
      <c r="D123" s="17" t="s">
        <v>181</v>
      </c>
      <c r="E123" s="60" t="str">
        <f>VLOOKUP($A123,nist_names_ids!A:B,2,false)</f>
        <v>hrev</v>
      </c>
      <c r="F123" s="61">
        <f>countif(Constants!A:A,E123)</f>
        <v>1</v>
      </c>
      <c r="G123" s="62" t="str">
        <f t="shared" si="1"/>
        <v>27.21138602</v>
      </c>
      <c r="H123" s="62">
        <f t="shared" si="2"/>
        <v>27.21138602</v>
      </c>
      <c r="I123" s="62" t="str">
        <f t="shared" si="3"/>
        <v>0.00000017</v>
      </c>
      <c r="J123" s="62">
        <f t="shared" si="4"/>
        <v>0.00000017</v>
      </c>
      <c r="K123" s="62" t="b">
        <f t="shared" si="5"/>
        <v>0</v>
      </c>
      <c r="L123" s="62" t="b">
        <f t="shared" si="6"/>
        <v>0</v>
      </c>
      <c r="M123" s="60" t="str">
        <f>IFERROR(__xludf.DUMMYFUNCTION("if(regexmatch(B123,""e(.*)$""),regexextract(B123,""e(.*)$""),"""")"),"")</f>
        <v/>
      </c>
    </row>
    <row r="124">
      <c r="A124" s="17" t="s">
        <v>1990</v>
      </c>
      <c r="B124" s="17" t="s">
        <v>3169</v>
      </c>
      <c r="C124" s="17" t="s">
        <v>3170</v>
      </c>
      <c r="D124" s="17" t="s">
        <v>173</v>
      </c>
      <c r="E124" s="60" t="str">
        <f>VLOOKUP($A124,nist_names_ids!A:B,2,false)</f>
        <v>hr</v>
      </c>
      <c r="F124" s="61">
        <f>countif(Constants!A:A,E124)</f>
        <v>1</v>
      </c>
      <c r="G124" s="62" t="str">
        <f t="shared" si="1"/>
        <v>4.359744650e-18</v>
      </c>
      <c r="H124" s="62">
        <f t="shared" si="2"/>
        <v>0</v>
      </c>
      <c r="I124" s="62" t="str">
        <f t="shared" si="3"/>
        <v>0.000000054e-18</v>
      </c>
      <c r="J124" s="62">
        <f t="shared" si="4"/>
        <v>0</v>
      </c>
      <c r="K124" s="62" t="b">
        <f t="shared" si="5"/>
        <v>0</v>
      </c>
      <c r="L124" s="62" t="b">
        <f t="shared" si="6"/>
        <v>0</v>
      </c>
      <c r="M124" s="60" t="str">
        <f>IFERROR(__xludf.DUMMYFUNCTION("if(regexmatch(B124,""e(.*)$""),regexextract(B124,""e(.*)$""),"""")"),"-18")</f>
        <v>-18</v>
      </c>
    </row>
    <row r="125">
      <c r="A125" s="17" t="s">
        <v>1993</v>
      </c>
      <c r="B125" s="17" t="s">
        <v>3166</v>
      </c>
      <c r="C125" s="17" t="s">
        <v>1419</v>
      </c>
      <c r="D125" s="17" t="s">
        <v>181</v>
      </c>
      <c r="E125" s="60" t="str">
        <f>VLOOKUP($A125,nist_names_ids!A:B,2,false)</f>
        <v>threv</v>
      </c>
      <c r="F125" s="61">
        <f>countif(Constants!A:A,E125)</f>
        <v>1</v>
      </c>
      <c r="G125" s="62" t="str">
        <f t="shared" si="1"/>
        <v>27.21138602</v>
      </c>
      <c r="H125" s="62">
        <f t="shared" si="2"/>
        <v>27.21138602</v>
      </c>
      <c r="I125" s="62" t="str">
        <f t="shared" si="3"/>
        <v>0.00000017</v>
      </c>
      <c r="J125" s="62">
        <f t="shared" si="4"/>
        <v>0.00000017</v>
      </c>
      <c r="K125" s="62" t="b">
        <f t="shared" si="5"/>
        <v>0</v>
      </c>
      <c r="L125" s="62" t="b">
        <f t="shared" si="6"/>
        <v>0</v>
      </c>
      <c r="M125" s="60" t="str">
        <f>IFERROR(__xludf.DUMMYFUNCTION("if(regexmatch(B125,""e(.*)$""),regexextract(B125,""e(.*)$""),"""")"),"")</f>
        <v/>
      </c>
    </row>
    <row r="126">
      <c r="A126" s="17" t="s">
        <v>1997</v>
      </c>
      <c r="B126" s="17" t="s">
        <v>3516</v>
      </c>
      <c r="C126" s="17" t="s">
        <v>3517</v>
      </c>
      <c r="D126" s="17" t="s">
        <v>257</v>
      </c>
      <c r="E126" s="60" t="str">
        <f>VLOOKUP($A126,nist_names_ids!A:B,2,false)</f>
        <v>hrhz</v>
      </c>
      <c r="F126" s="61">
        <f>countif(Constants!A:A,E126)</f>
        <v>1</v>
      </c>
      <c r="G126" s="62" t="str">
        <f t="shared" si="1"/>
        <v>6.579683920711e15</v>
      </c>
      <c r="H126" s="62">
        <f t="shared" si="2"/>
        <v>6.57968E+15</v>
      </c>
      <c r="I126" s="62" t="str">
        <f t="shared" si="3"/>
        <v>0.000000000039e15</v>
      </c>
      <c r="J126" s="62">
        <f t="shared" si="4"/>
        <v>39000</v>
      </c>
      <c r="K126" s="62" t="b">
        <f t="shared" si="5"/>
        <v>0</v>
      </c>
      <c r="L126" s="62" t="b">
        <f t="shared" si="6"/>
        <v>0</v>
      </c>
      <c r="M126" s="60" t="str">
        <f>IFERROR(__xludf.DUMMYFUNCTION("if(regexmatch(B126,""e(.*)$""),regexextract(B126,""e(.*)$""),"""")"),"15")</f>
        <v>15</v>
      </c>
    </row>
    <row r="127">
      <c r="A127" s="17" t="s">
        <v>2000</v>
      </c>
      <c r="B127" s="17" t="s">
        <v>3519</v>
      </c>
      <c r="C127" s="17" t="s">
        <v>3520</v>
      </c>
      <c r="D127" s="17" t="s">
        <v>561</v>
      </c>
      <c r="E127" s="60" t="str">
        <f>VLOOKUP($A127,nist_names_ids!A:B,2,false)</f>
        <v>hrminv</v>
      </c>
      <c r="F127" s="61">
        <f>countif(Constants!A:A,E127)</f>
        <v>1</v>
      </c>
      <c r="G127" s="62" t="str">
        <f t="shared" si="1"/>
        <v>2.194746313702e7</v>
      </c>
      <c r="H127" s="62">
        <f t="shared" si="2"/>
        <v>21947463.14</v>
      </c>
      <c r="I127" s="62" t="str">
        <f t="shared" si="3"/>
        <v>0.000000000013e7</v>
      </c>
      <c r="J127" s="62">
        <f t="shared" si="4"/>
        <v>0.00013</v>
      </c>
      <c r="K127" s="62" t="b">
        <f t="shared" si="5"/>
        <v>0</v>
      </c>
      <c r="L127" s="62" t="b">
        <f t="shared" si="6"/>
        <v>0</v>
      </c>
      <c r="M127" s="60" t="str">
        <f>IFERROR(__xludf.DUMMYFUNCTION("if(regexmatch(B127,""e(.*)$""),regexextract(B127,""e(.*)$""),"""")"),"7")</f>
        <v>7</v>
      </c>
    </row>
    <row r="128">
      <c r="A128" s="17" t="s">
        <v>2004</v>
      </c>
      <c r="B128" s="17" t="s">
        <v>3169</v>
      </c>
      <c r="C128" s="17" t="s">
        <v>3170</v>
      </c>
      <c r="D128" s="17" t="s">
        <v>173</v>
      </c>
      <c r="E128" s="60" t="str">
        <f>VLOOKUP($A128,nist_names_ids!A:B,2,false)</f>
        <v>hrj</v>
      </c>
      <c r="F128" s="61">
        <f>countif(Constants!A:A,E128)</f>
        <v>1</v>
      </c>
      <c r="G128" s="62" t="str">
        <f t="shared" si="1"/>
        <v>4.359744650e-18</v>
      </c>
      <c r="H128" s="62">
        <f t="shared" si="2"/>
        <v>0</v>
      </c>
      <c r="I128" s="62" t="str">
        <f t="shared" si="3"/>
        <v>0.000000054e-18</v>
      </c>
      <c r="J128" s="62">
        <f t="shared" si="4"/>
        <v>0</v>
      </c>
      <c r="K128" s="62" t="b">
        <f t="shared" si="5"/>
        <v>0</v>
      </c>
      <c r="L128" s="62" t="b">
        <f t="shared" si="6"/>
        <v>0</v>
      </c>
      <c r="M128" s="60" t="str">
        <f>IFERROR(__xludf.DUMMYFUNCTION("if(regexmatch(B128,""e(.*)$""),regexextract(B128,""e(.*)$""),"""")"),"-18")</f>
        <v>-18</v>
      </c>
    </row>
    <row r="129">
      <c r="A129" s="17" t="s">
        <v>2009</v>
      </c>
      <c r="B129" s="17" t="s">
        <v>3526</v>
      </c>
      <c r="C129" s="17" t="s">
        <v>3527</v>
      </c>
      <c r="D129" s="17" t="s">
        <v>345</v>
      </c>
      <c r="E129" s="60" t="str">
        <f>VLOOKUP($A129,nist_names_ids!A:B,2,false)</f>
        <v>hrk</v>
      </c>
      <c r="F129" s="61">
        <f>countif(Constants!A:A,E129)</f>
        <v>1</v>
      </c>
      <c r="G129" s="62" t="str">
        <f t="shared" si="1"/>
        <v>3.1577513e5</v>
      </c>
      <c r="H129" s="62">
        <f t="shared" si="2"/>
        <v>315775.13</v>
      </c>
      <c r="I129" s="62" t="str">
        <f t="shared" si="3"/>
        <v>0.0000018e5</v>
      </c>
      <c r="J129" s="62">
        <f t="shared" si="4"/>
        <v>0.18</v>
      </c>
      <c r="K129" s="62" t="b">
        <f t="shared" si="5"/>
        <v>0</v>
      </c>
      <c r="L129" s="62" t="b">
        <f t="shared" si="6"/>
        <v>0</v>
      </c>
      <c r="M129" s="60" t="str">
        <f>IFERROR(__xludf.DUMMYFUNCTION("if(regexmatch(B129,""e(.*)$""),regexextract(B129,""e(.*)$""),"""")"),"5")</f>
        <v>5</v>
      </c>
    </row>
    <row r="130">
      <c r="A130" s="17" t="s">
        <v>2013</v>
      </c>
      <c r="B130" s="17" t="s">
        <v>3528</v>
      </c>
      <c r="C130" s="17" t="s">
        <v>3529</v>
      </c>
      <c r="D130" s="17" t="s">
        <v>98</v>
      </c>
      <c r="E130" s="60" t="str">
        <f>VLOOKUP($A130,nist_names_ids!A:B,2,false)</f>
        <v>hrkg</v>
      </c>
      <c r="F130" s="61">
        <f>countif(Constants!A:A,E130)</f>
        <v>1</v>
      </c>
      <c r="G130" s="62" t="str">
        <f t="shared" si="1"/>
        <v>4.850870129e-35</v>
      </c>
      <c r="H130" s="62">
        <f t="shared" si="2"/>
        <v>0</v>
      </c>
      <c r="I130" s="62" t="str">
        <f t="shared" si="3"/>
        <v>0.000000060e-35</v>
      </c>
      <c r="J130" s="62">
        <f t="shared" si="4"/>
        <v>0</v>
      </c>
      <c r="K130" s="62" t="b">
        <f t="shared" si="5"/>
        <v>0</v>
      </c>
      <c r="L130" s="62" t="b">
        <f t="shared" si="6"/>
        <v>0</v>
      </c>
      <c r="M130" s="60" t="str">
        <f>IFERROR(__xludf.DUMMYFUNCTION("if(regexmatch(B130,""e(.*)$""),regexextract(B130,""e(.*)$""),"""")"),"-35")</f>
        <v>-35</v>
      </c>
    </row>
    <row r="131">
      <c r="A131" s="17" t="s">
        <v>2018</v>
      </c>
      <c r="B131" s="17" t="s">
        <v>3534</v>
      </c>
      <c r="C131" s="17" t="s">
        <v>3535</v>
      </c>
      <c r="E131" s="60" t="str">
        <f>VLOOKUP($A131,nist_names_ids!A:B,2,false)</f>
        <v>mhsme</v>
      </c>
      <c r="F131" s="61">
        <f>countif(Constants!A:A,E131)</f>
        <v>1</v>
      </c>
      <c r="G131" s="62" t="str">
        <f t="shared" si="1"/>
        <v>5495.88527922</v>
      </c>
      <c r="H131" s="62">
        <f t="shared" si="2"/>
        <v>5495.885279</v>
      </c>
      <c r="I131" s="62" t="str">
        <f t="shared" si="3"/>
        <v>0.00000027</v>
      </c>
      <c r="J131" s="62">
        <f t="shared" si="4"/>
        <v>0.00000027</v>
      </c>
      <c r="K131" s="62" t="b">
        <f t="shared" si="5"/>
        <v>0</v>
      </c>
      <c r="L131" s="62" t="b">
        <f t="shared" si="6"/>
        <v>0</v>
      </c>
      <c r="M131" s="60" t="str">
        <f>IFERROR(__xludf.DUMMYFUNCTION("if(regexmatch(B131,""e(.*)$""),regexextract(B131,""e(.*)$""),"""")"),"")</f>
        <v/>
      </c>
    </row>
    <row r="132">
      <c r="A132" s="17" t="s">
        <v>2024</v>
      </c>
      <c r="B132" s="17" t="s">
        <v>3536</v>
      </c>
      <c r="C132" s="17" t="s">
        <v>3032</v>
      </c>
      <c r="E132" s="60" t="str">
        <f>VLOOKUP($A132,nist_names_ids!A:B,2,false)</f>
        <v>ghn</v>
      </c>
      <c r="F132" s="61">
        <f>countif(Constants!A:A,E132)</f>
        <v>1</v>
      </c>
      <c r="G132" s="62" t="str">
        <f t="shared" si="1"/>
        <v>-4.255250616</v>
      </c>
      <c r="H132" s="62">
        <f t="shared" si="2"/>
        <v>-4.255250616</v>
      </c>
      <c r="I132" s="62" t="str">
        <f t="shared" si="3"/>
        <v>0.000000050</v>
      </c>
      <c r="J132" s="62">
        <f t="shared" si="4"/>
        <v>0.00000005</v>
      </c>
      <c r="K132" s="62" t="b">
        <f t="shared" si="5"/>
        <v>0</v>
      </c>
      <c r="L132" s="62" t="b">
        <f t="shared" si="6"/>
        <v>0</v>
      </c>
      <c r="M132" s="60" t="str">
        <f>IFERROR(__xludf.DUMMYFUNCTION("if(regexmatch(B132,""e(.*)$""),regexextract(B132,""e(.*)$""),"""")"),"")</f>
        <v/>
      </c>
    </row>
    <row r="133">
      <c r="A133" s="17" t="s">
        <v>2036</v>
      </c>
      <c r="B133" s="17" t="s">
        <v>3538</v>
      </c>
      <c r="C133" s="17" t="s">
        <v>3539</v>
      </c>
      <c r="D133" s="17" t="s">
        <v>964</v>
      </c>
      <c r="E133" s="60" t="str">
        <f>VLOOKUP($A133,nist_names_ids!A:B,2,false)</f>
        <v>muh</v>
      </c>
      <c r="F133" s="61">
        <f>countif(Constants!A:A,E133)</f>
        <v>1</v>
      </c>
      <c r="G133" s="62" t="str">
        <f t="shared" si="1"/>
        <v>-1.074617522e-26</v>
      </c>
      <c r="H133" s="62">
        <f t="shared" si="2"/>
        <v>0</v>
      </c>
      <c r="I133" s="62" t="str">
        <f t="shared" si="3"/>
        <v>0.000000014e-26</v>
      </c>
      <c r="J133" s="62">
        <f t="shared" si="4"/>
        <v>0</v>
      </c>
      <c r="K133" s="62" t="b">
        <f t="shared" si="5"/>
        <v>0</v>
      </c>
      <c r="L133" s="62" t="b">
        <f t="shared" si="6"/>
        <v>0</v>
      </c>
      <c r="M133" s="60" t="str">
        <f>IFERROR(__xludf.DUMMYFUNCTION("if(regexmatch(B133,""e(.*)$""),regexextract(B133,""e(.*)$""),"""")"),"-26")</f>
        <v>-26</v>
      </c>
    </row>
    <row r="134">
      <c r="A134" s="17" t="s">
        <v>2042</v>
      </c>
      <c r="B134" s="17" t="s">
        <v>3035</v>
      </c>
      <c r="C134" s="17" t="s">
        <v>3036</v>
      </c>
      <c r="E134" s="60" t="str">
        <f>VLOOKUP($A134,nist_names_ids!A:B,2,false)</f>
        <v>muhsmub</v>
      </c>
      <c r="F134" s="61">
        <f>countif(Constants!A:A,E134)</f>
        <v>1</v>
      </c>
      <c r="G134" s="62" t="str">
        <f t="shared" si="1"/>
        <v>-1.158740958e-3</v>
      </c>
      <c r="H134" s="62">
        <f t="shared" si="2"/>
        <v>-0.001158740958</v>
      </c>
      <c r="I134" s="62" t="str">
        <f t="shared" si="3"/>
        <v>0.000000014e-3</v>
      </c>
      <c r="J134" s="62">
        <f t="shared" si="4"/>
        <v>0</v>
      </c>
      <c r="K134" s="62" t="b">
        <f t="shared" si="5"/>
        <v>0</v>
      </c>
      <c r="L134" s="62" t="b">
        <f t="shared" si="6"/>
        <v>0</v>
      </c>
      <c r="M134" s="60" t="str">
        <f>IFERROR(__xludf.DUMMYFUNCTION("if(regexmatch(B134,""e(.*)$""),regexextract(B134,""e(.*)$""),"""")"),"-3")</f>
        <v>-3</v>
      </c>
    </row>
    <row r="135">
      <c r="A135" s="17" t="s">
        <v>2045</v>
      </c>
      <c r="B135" s="17" t="s">
        <v>3547</v>
      </c>
      <c r="C135" s="17" t="s">
        <v>3043</v>
      </c>
      <c r="E135" s="60" t="str">
        <f>VLOOKUP($A135,nist_names_ids!A:B,2,false)</f>
        <v>muhsmun</v>
      </c>
      <c r="F135" s="61">
        <f>countif(Constants!A:A,E135)</f>
        <v>1</v>
      </c>
      <c r="G135" s="62" t="str">
        <f t="shared" si="1"/>
        <v>-2.127625308</v>
      </c>
      <c r="H135" s="62">
        <f t="shared" si="2"/>
        <v>-2.127625308</v>
      </c>
      <c r="I135" s="62" t="str">
        <f t="shared" si="3"/>
        <v>0.000000025</v>
      </c>
      <c r="J135" s="62">
        <f t="shared" si="4"/>
        <v>0.000000025</v>
      </c>
      <c r="K135" s="62" t="b">
        <f t="shared" si="5"/>
        <v>0</v>
      </c>
      <c r="L135" s="62" t="b">
        <f t="shared" si="6"/>
        <v>0</v>
      </c>
      <c r="M135" s="60" t="str">
        <f>IFERROR(__xludf.DUMMYFUNCTION("if(regexmatch(B135,""e(.*)$""),regexextract(B135,""e(.*)$""),"""")"),"")</f>
        <v/>
      </c>
    </row>
    <row r="136">
      <c r="A136" s="17" t="s">
        <v>2052</v>
      </c>
      <c r="B136" s="17" t="s">
        <v>3550</v>
      </c>
      <c r="C136" s="17" t="s">
        <v>3551</v>
      </c>
      <c r="D136" s="17" t="s">
        <v>98</v>
      </c>
      <c r="E136" s="60" t="str">
        <f>VLOOKUP($A136,nist_names_ids!A:B,2,false)</f>
        <v>mh</v>
      </c>
      <c r="F136" s="61">
        <f>countif(Constants!A:A,E136)</f>
        <v>1</v>
      </c>
      <c r="G136" s="62" t="str">
        <f t="shared" si="1"/>
        <v>5.006412700e-27</v>
      </c>
      <c r="H136" s="62">
        <f t="shared" si="2"/>
        <v>0</v>
      </c>
      <c r="I136" s="62" t="str">
        <f t="shared" si="3"/>
        <v>0.000000062e-27</v>
      </c>
      <c r="J136" s="62">
        <f t="shared" si="4"/>
        <v>0</v>
      </c>
      <c r="K136" s="62" t="b">
        <f t="shared" si="5"/>
        <v>0</v>
      </c>
      <c r="L136" s="62" t="b">
        <f t="shared" si="6"/>
        <v>0</v>
      </c>
      <c r="M136" s="60" t="str">
        <f>IFERROR(__xludf.DUMMYFUNCTION("if(regexmatch(B136,""e(.*)$""),regexextract(B136,""e(.*)$""),"""")"),"-27")</f>
        <v>-27</v>
      </c>
    </row>
    <row r="137">
      <c r="A137" s="17" t="s">
        <v>2056</v>
      </c>
      <c r="B137" s="17" t="s">
        <v>3558</v>
      </c>
      <c r="C137" s="17" t="s">
        <v>3559</v>
      </c>
      <c r="D137" s="17" t="s">
        <v>173</v>
      </c>
      <c r="E137" s="60" t="str">
        <f>VLOOKUP($A137,nist_names_ids!A:B,2,false)</f>
        <v>mhc2</v>
      </c>
      <c r="F137" s="61">
        <f>countif(Constants!A:A,E137)</f>
        <v>1</v>
      </c>
      <c r="G137" s="62" t="str">
        <f t="shared" si="1"/>
        <v>4.499539341e-10</v>
      </c>
      <c r="H137" s="62">
        <f t="shared" si="2"/>
        <v>0.0000000004499539341</v>
      </c>
      <c r="I137" s="62" t="str">
        <f t="shared" si="3"/>
        <v>0.000000055e-10</v>
      </c>
      <c r="J137" s="62">
        <f t="shared" si="4"/>
        <v>0</v>
      </c>
      <c r="K137" s="62" t="b">
        <f t="shared" si="5"/>
        <v>0</v>
      </c>
      <c r="L137" s="62" t="b">
        <f t="shared" si="6"/>
        <v>0</v>
      </c>
      <c r="M137" s="60" t="str">
        <f>IFERROR(__xludf.DUMMYFUNCTION("if(regexmatch(B137,""e(.*)$""),regexextract(B137,""e(.*)$""),"""")"),"-10")</f>
        <v>-10</v>
      </c>
    </row>
    <row r="138">
      <c r="A138" s="17" t="s">
        <v>2063</v>
      </c>
      <c r="B138" s="17" t="s">
        <v>3560</v>
      </c>
      <c r="C138" s="17" t="s">
        <v>3561</v>
      </c>
      <c r="D138" s="17" t="s">
        <v>224</v>
      </c>
      <c r="E138" s="60" t="str">
        <f>VLOOKUP($A138,nist_names_ids!A:B,2,false)</f>
        <v>mhc2mev</v>
      </c>
      <c r="F138" s="61">
        <f>countif(Constants!A:A,E138)</f>
        <v>1</v>
      </c>
      <c r="G138" s="62" t="str">
        <f t="shared" si="1"/>
        <v>2808.391586</v>
      </c>
      <c r="H138" s="62">
        <f t="shared" si="2"/>
        <v>2808.391586</v>
      </c>
      <c r="I138" s="62" t="str">
        <f t="shared" si="3"/>
        <v>0.000017</v>
      </c>
      <c r="J138" s="62">
        <f t="shared" si="4"/>
        <v>0.000017</v>
      </c>
      <c r="K138" s="62" t="b">
        <f t="shared" si="5"/>
        <v>0</v>
      </c>
      <c r="L138" s="62" t="b">
        <f t="shared" si="6"/>
        <v>0</v>
      </c>
      <c r="M138" s="60" t="str">
        <f>IFERROR(__xludf.DUMMYFUNCTION("if(regexmatch(B138,""e(.*)$""),regexextract(B138,""e(.*)$""),"""")"),"")</f>
        <v/>
      </c>
    </row>
    <row r="139">
      <c r="A139" s="17" t="s">
        <v>2067</v>
      </c>
      <c r="B139" s="17" t="s">
        <v>3562</v>
      </c>
      <c r="C139" s="17" t="s">
        <v>3563</v>
      </c>
      <c r="D139" s="17" t="s">
        <v>249</v>
      </c>
      <c r="E139" s="60" t="str">
        <f>VLOOKUP($A139,nist_names_ids!A:B,2,false)</f>
        <v>mhu</v>
      </c>
      <c r="F139" s="61">
        <f>countif(Constants!A:A,E139)</f>
        <v>1</v>
      </c>
      <c r="G139" s="62" t="str">
        <f t="shared" si="1"/>
        <v>3.01493224673</v>
      </c>
      <c r="H139" s="62">
        <f t="shared" si="2"/>
        <v>3.014932247</v>
      </c>
      <c r="I139" s="62" t="str">
        <f t="shared" si="3"/>
        <v>0.00000000012</v>
      </c>
      <c r="J139" s="62">
        <f t="shared" si="4"/>
        <v>0.00000000012</v>
      </c>
      <c r="K139" s="62" t="b">
        <f t="shared" si="5"/>
        <v>0</v>
      </c>
      <c r="L139" s="62" t="b">
        <f t="shared" si="6"/>
        <v>0</v>
      </c>
      <c r="M139" s="60" t="str">
        <f>IFERROR(__xludf.DUMMYFUNCTION("if(regexmatch(B139,""e(.*)$""),regexextract(B139,""e(.*)$""),"""")"),"")</f>
        <v/>
      </c>
    </row>
    <row r="140">
      <c r="A140" s="17" t="s">
        <v>2070</v>
      </c>
      <c r="B140" s="17" t="s">
        <v>3570</v>
      </c>
      <c r="C140" s="17" t="s">
        <v>3571</v>
      </c>
      <c r="D140" s="17" t="s">
        <v>286</v>
      </c>
      <c r="E140" s="60" t="str">
        <f>VLOOKUP($A140,nist_names_ids!A:B,2,false)</f>
        <v>mmh</v>
      </c>
      <c r="F140" s="61">
        <f>countif(Constants!A:A,E140)</f>
        <v>1</v>
      </c>
      <c r="G140" s="62" t="str">
        <f t="shared" si="1"/>
        <v>3.01493224673e-3</v>
      </c>
      <c r="H140" s="62">
        <f t="shared" si="2"/>
        <v>0.003014932247</v>
      </c>
      <c r="I140" s="62" t="str">
        <f t="shared" si="3"/>
        <v>0.00000000012e-3</v>
      </c>
      <c r="J140" s="62">
        <f t="shared" si="4"/>
        <v>0</v>
      </c>
      <c r="K140" s="62" t="b">
        <f t="shared" si="5"/>
        <v>0</v>
      </c>
      <c r="L140" s="62" t="b">
        <f t="shared" si="6"/>
        <v>0</v>
      </c>
      <c r="M140" s="60" t="str">
        <f>IFERROR(__xludf.DUMMYFUNCTION("if(regexmatch(B140,""e(.*)$""),regexextract(B140,""e(.*)$""),"""")"),"-3")</f>
        <v>-3</v>
      </c>
    </row>
    <row r="141">
      <c r="A141" s="17" t="s">
        <v>2073</v>
      </c>
      <c r="B141" s="17" t="s">
        <v>3573</v>
      </c>
      <c r="C141" s="17" t="s">
        <v>3574</v>
      </c>
      <c r="E141" s="60" t="str">
        <f>VLOOKUP($A141,nist_names_ids!A:B,2,false)</f>
        <v>mhsmp</v>
      </c>
      <c r="F141" s="61">
        <f>countif(Constants!A:A,E141)</f>
        <v>1</v>
      </c>
      <c r="G141" s="62" t="str">
        <f t="shared" si="1"/>
        <v>2.99315267046</v>
      </c>
      <c r="H141" s="62">
        <f t="shared" si="2"/>
        <v>2.99315267</v>
      </c>
      <c r="I141" s="62" t="str">
        <f t="shared" si="3"/>
        <v>0.00000000029</v>
      </c>
      <c r="J141" s="62">
        <f t="shared" si="4"/>
        <v>0.00000000029</v>
      </c>
      <c r="K141" s="62" t="b">
        <f t="shared" si="5"/>
        <v>0</v>
      </c>
      <c r="L141" s="62" t="b">
        <f t="shared" si="6"/>
        <v>0</v>
      </c>
      <c r="M141" s="60" t="str">
        <f>IFERROR(__xludf.DUMMYFUNCTION("if(regexmatch(B141,""e(.*)$""),regexextract(B141,""e(.*)$""),"""")"),"")</f>
        <v/>
      </c>
    </row>
    <row r="142">
      <c r="A142" s="17" t="s">
        <v>2093</v>
      </c>
      <c r="B142" s="17" t="s">
        <v>3575</v>
      </c>
      <c r="C142" s="17" t="s">
        <v>3576</v>
      </c>
      <c r="D142" s="17" t="s">
        <v>249</v>
      </c>
      <c r="E142" s="60" t="str">
        <f>VLOOKUP($A142,nist_names_ids!A:B,2,false)</f>
        <v>hzu</v>
      </c>
      <c r="F142" s="61">
        <f>countif(Constants!A:A,E142)</f>
        <v>1</v>
      </c>
      <c r="G142" s="62" t="str">
        <f t="shared" si="1"/>
        <v>4.4398216616e-24</v>
      </c>
      <c r="H142" s="62">
        <f t="shared" si="2"/>
        <v>0</v>
      </c>
      <c r="I142" s="62" t="str">
        <f t="shared" si="3"/>
        <v>0.0000000020e-24</v>
      </c>
      <c r="J142" s="62">
        <f t="shared" si="4"/>
        <v>0</v>
      </c>
      <c r="K142" s="62" t="b">
        <f t="shared" si="5"/>
        <v>0</v>
      </c>
      <c r="L142" s="62" t="b">
        <f t="shared" si="6"/>
        <v>0</v>
      </c>
      <c r="M142" s="60" t="str">
        <f>IFERROR(__xludf.DUMMYFUNCTION("if(regexmatch(B142,""e(.*)$""),regexextract(B142,""e(.*)$""),"""")"),"-24")</f>
        <v>-24</v>
      </c>
    </row>
    <row r="143">
      <c r="A143" s="17" t="s">
        <v>2099</v>
      </c>
      <c r="B143" s="17" t="s">
        <v>3582</v>
      </c>
      <c r="C143" s="17" t="s">
        <v>3583</v>
      </c>
      <c r="D143" s="17" t="s">
        <v>181</v>
      </c>
      <c r="E143" s="60" t="str">
        <f>VLOOKUP($A143,nist_names_ids!A:B,2,false)</f>
        <v>hzev</v>
      </c>
      <c r="F143" s="61">
        <f>countif(Constants!A:A,E143)</f>
        <v>1</v>
      </c>
      <c r="G143" s="62" t="str">
        <f t="shared" si="1"/>
        <v>4.135667662e-15</v>
      </c>
      <c r="H143" s="62">
        <f t="shared" si="2"/>
        <v>0</v>
      </c>
      <c r="I143" s="62" t="str">
        <f t="shared" si="3"/>
        <v>0.000000025e-15</v>
      </c>
      <c r="J143" s="62">
        <f t="shared" si="4"/>
        <v>0</v>
      </c>
      <c r="K143" s="62" t="b">
        <f t="shared" si="5"/>
        <v>0</v>
      </c>
      <c r="L143" s="62" t="b">
        <f t="shared" si="6"/>
        <v>0</v>
      </c>
      <c r="M143" s="60" t="str">
        <f>IFERROR(__xludf.DUMMYFUNCTION("if(regexmatch(B143,""e(.*)$""),regexextract(B143,""e(.*)$""),"""")"),"-15")</f>
        <v>-15</v>
      </c>
    </row>
    <row r="144">
      <c r="A144" s="17" t="s">
        <v>2103</v>
      </c>
      <c r="B144" s="17" t="s">
        <v>3586</v>
      </c>
      <c r="C144" s="17" t="s">
        <v>3587</v>
      </c>
      <c r="D144" s="17" t="s">
        <v>170</v>
      </c>
      <c r="E144" s="60" t="str">
        <f>VLOOKUP($A144,nist_names_ids!A:B,2,false)</f>
        <v>hzhr</v>
      </c>
      <c r="F144" s="61">
        <f>countif(Constants!A:A,E144)</f>
        <v>1</v>
      </c>
      <c r="G144" s="62" t="str">
        <f t="shared" si="1"/>
        <v>1.5198298460088e-16</v>
      </c>
      <c r="H144" s="62">
        <f t="shared" si="2"/>
        <v>0</v>
      </c>
      <c r="I144" s="62" t="str">
        <f t="shared" si="3"/>
        <v>0.0000000000090e-16</v>
      </c>
      <c r="J144" s="62">
        <f t="shared" si="4"/>
        <v>0</v>
      </c>
      <c r="K144" s="62" t="b">
        <f t="shared" si="5"/>
        <v>0</v>
      </c>
      <c r="L144" s="62" t="b">
        <f t="shared" si="6"/>
        <v>0</v>
      </c>
      <c r="M144" s="60" t="str">
        <f>IFERROR(__xludf.DUMMYFUNCTION("if(regexmatch(B144,""e(.*)$""),regexextract(B144,""e(.*)$""),"""")"),"-16")</f>
        <v>-16</v>
      </c>
    </row>
    <row r="145">
      <c r="A145" s="17" t="s">
        <v>2108</v>
      </c>
      <c r="B145" s="17" t="s">
        <v>3081</v>
      </c>
      <c r="C145" s="17" t="s">
        <v>1501</v>
      </c>
      <c r="D145" s="17" t="s">
        <v>561</v>
      </c>
      <c r="E145" s="60" t="str">
        <f>VLOOKUP($A145,nist_names_ids!A:B,2,false)</f>
        <v>hzminv</v>
      </c>
      <c r="F145" s="61">
        <f>countif(Constants!A:A,E145)</f>
        <v>1</v>
      </c>
      <c r="G145" s="62" t="str">
        <f t="shared" si="1"/>
        <v>3.335640951e-9</v>
      </c>
      <c r="H145" s="62">
        <f t="shared" si="2"/>
        <v>0.000000003335640951</v>
      </c>
      <c r="I145" s="62" t="str">
        <f t="shared" si="3"/>
        <v>(exact)</v>
      </c>
      <c r="J145" s="62" t="str">
        <f t="shared" si="4"/>
        <v/>
      </c>
      <c r="K145" s="62" t="b">
        <f t="shared" si="5"/>
        <v>1</v>
      </c>
      <c r="L145" s="62" t="b">
        <f t="shared" si="6"/>
        <v>1</v>
      </c>
      <c r="M145" s="60" t="str">
        <f>IFERROR(__xludf.DUMMYFUNCTION("if(regexmatch(B145,""e(.*)$""),regexextract(B145,""e(.*)$""),"""")"),"-9")</f>
        <v>-9</v>
      </c>
    </row>
    <row r="146">
      <c r="A146" s="17" t="s">
        <v>2110</v>
      </c>
      <c r="B146" s="17" t="s">
        <v>3590</v>
      </c>
      <c r="C146" s="17" t="s">
        <v>3591</v>
      </c>
      <c r="D146" s="17" t="s">
        <v>173</v>
      </c>
      <c r="E146" s="60" t="str">
        <f>VLOOKUP($A146,nist_names_ids!A:B,2,false)</f>
        <v>hzj</v>
      </c>
      <c r="F146" s="61">
        <f>countif(Constants!A:A,E146)</f>
        <v>1</v>
      </c>
      <c r="G146" s="62" t="str">
        <f t="shared" si="1"/>
        <v>6.626070040e-34</v>
      </c>
      <c r="H146" s="62">
        <f t="shared" si="2"/>
        <v>0</v>
      </c>
      <c r="I146" s="62" t="str">
        <f t="shared" si="3"/>
        <v>0.000000081e-34</v>
      </c>
      <c r="J146" s="62">
        <f t="shared" si="4"/>
        <v>0</v>
      </c>
      <c r="K146" s="62" t="b">
        <f t="shared" si="5"/>
        <v>0</v>
      </c>
      <c r="L146" s="62" t="b">
        <f t="shared" si="6"/>
        <v>0</v>
      </c>
      <c r="M146" s="60" t="str">
        <f>IFERROR(__xludf.DUMMYFUNCTION("if(regexmatch(B146,""e(.*)$""),regexextract(B146,""e(.*)$""),"""")"),"-34")</f>
        <v>-34</v>
      </c>
    </row>
    <row r="147">
      <c r="A147" s="17" t="s">
        <v>2116</v>
      </c>
      <c r="B147" s="17" t="s">
        <v>3594</v>
      </c>
      <c r="C147" s="17" t="s">
        <v>3595</v>
      </c>
      <c r="D147" s="17" t="s">
        <v>345</v>
      </c>
      <c r="E147" s="60" t="str">
        <f>VLOOKUP($A147,nist_names_ids!A:B,2,false)</f>
        <v>hzk</v>
      </c>
      <c r="F147" s="61">
        <f>countif(Constants!A:A,E147)</f>
        <v>1</v>
      </c>
      <c r="G147" s="62" t="str">
        <f t="shared" si="1"/>
        <v>4.7992447e-11</v>
      </c>
      <c r="H147" s="62">
        <f t="shared" si="2"/>
        <v>0</v>
      </c>
      <c r="I147" s="62" t="str">
        <f t="shared" si="3"/>
        <v>0.0000028e-11</v>
      </c>
      <c r="J147" s="62">
        <f t="shared" si="4"/>
        <v>0</v>
      </c>
      <c r="K147" s="62" t="b">
        <f t="shared" si="5"/>
        <v>0</v>
      </c>
      <c r="L147" s="62" t="b">
        <f t="shared" si="6"/>
        <v>0</v>
      </c>
      <c r="M147" s="60" t="str">
        <f>IFERROR(__xludf.DUMMYFUNCTION("if(regexmatch(B147,""e(.*)$""),regexextract(B147,""e(.*)$""),"""")"),"-11")</f>
        <v>-11</v>
      </c>
    </row>
    <row r="148">
      <c r="A148" s="17" t="s">
        <v>2119</v>
      </c>
      <c r="B148" s="17" t="s">
        <v>3599</v>
      </c>
      <c r="C148" s="17" t="s">
        <v>3600</v>
      </c>
      <c r="D148" s="17" t="s">
        <v>98</v>
      </c>
      <c r="E148" s="60" t="str">
        <f>VLOOKUP($A148,nist_names_ids!A:B,2,false)</f>
        <v>hzkg</v>
      </c>
      <c r="F148" s="61">
        <f>countif(Constants!A:A,E148)</f>
        <v>1</v>
      </c>
      <c r="G148" s="62" t="str">
        <f t="shared" si="1"/>
        <v>7.372497201e-51</v>
      </c>
      <c r="H148" s="62">
        <f t="shared" si="2"/>
        <v>0</v>
      </c>
      <c r="I148" s="62" t="str">
        <f t="shared" si="3"/>
        <v>0.000000091e-51</v>
      </c>
      <c r="J148" s="62">
        <f t="shared" si="4"/>
        <v>0</v>
      </c>
      <c r="K148" s="62" t="b">
        <f t="shared" si="5"/>
        <v>0</v>
      </c>
      <c r="L148" s="62" t="b">
        <f t="shared" si="6"/>
        <v>0</v>
      </c>
      <c r="M148" s="60" t="str">
        <f>IFERROR(__xludf.DUMMYFUNCTION("if(regexmatch(B148,""e(.*)$""),regexextract(B148,""e(.*)$""),"""")"),"-51")</f>
        <v>-51</v>
      </c>
    </row>
    <row r="149">
      <c r="A149" s="17" t="s">
        <v>2126</v>
      </c>
      <c r="B149" s="17" t="s">
        <v>3603</v>
      </c>
      <c r="C149" s="17" t="s">
        <v>3604</v>
      </c>
      <c r="E149" s="60" t="str">
        <f>VLOOKUP($A149,nist_names_ids!A:B,2,false)</f>
        <v>alphinv</v>
      </c>
      <c r="F149" s="61">
        <f>countif(Constants!A:A,E149)</f>
        <v>1</v>
      </c>
      <c r="G149" s="62" t="str">
        <f t="shared" si="1"/>
        <v>137.035999139</v>
      </c>
      <c r="H149" s="62">
        <f t="shared" si="2"/>
        <v>137.0359991</v>
      </c>
      <c r="I149" s="62" t="str">
        <f t="shared" si="3"/>
        <v>0.000000031</v>
      </c>
      <c r="J149" s="62">
        <f t="shared" si="4"/>
        <v>0.000000031</v>
      </c>
      <c r="K149" s="62" t="b">
        <f t="shared" si="5"/>
        <v>0</v>
      </c>
      <c r="L149" s="62" t="b">
        <f t="shared" si="6"/>
        <v>0</v>
      </c>
      <c r="M149" s="60" t="str">
        <f>IFERROR(__xludf.DUMMYFUNCTION("if(regexmatch(B149,""e(.*)$""),regexextract(B149,""e(.*)$""),"""")"),"")</f>
        <v/>
      </c>
    </row>
    <row r="150">
      <c r="A150" s="17" t="s">
        <v>2130</v>
      </c>
      <c r="B150" s="17" t="s">
        <v>3607</v>
      </c>
      <c r="C150" s="17" t="s">
        <v>3608</v>
      </c>
      <c r="D150" s="17" t="s">
        <v>249</v>
      </c>
      <c r="E150" s="60" t="str">
        <f>VLOOKUP($A150,nist_names_ids!A:B,2,false)</f>
        <v>minvu</v>
      </c>
      <c r="F150" s="61">
        <f>countif(Constants!A:A,E150)</f>
        <v>1</v>
      </c>
      <c r="G150" s="62" t="str">
        <f t="shared" si="1"/>
        <v>1.33102504900e-15</v>
      </c>
      <c r="H150" s="62">
        <f t="shared" si="2"/>
        <v>0</v>
      </c>
      <c r="I150" s="62" t="str">
        <f t="shared" si="3"/>
        <v>0.00000000061e-15</v>
      </c>
      <c r="J150" s="62">
        <f t="shared" si="4"/>
        <v>0</v>
      </c>
      <c r="K150" s="62" t="b">
        <f t="shared" si="5"/>
        <v>0</v>
      </c>
      <c r="L150" s="62" t="b">
        <f t="shared" si="6"/>
        <v>0</v>
      </c>
      <c r="M150" s="60" t="str">
        <f>IFERROR(__xludf.DUMMYFUNCTION("if(regexmatch(B150,""e(.*)$""),regexextract(B150,""e(.*)$""),"""")"),"-15")</f>
        <v>-15</v>
      </c>
    </row>
    <row r="151">
      <c r="A151" s="17" t="s">
        <v>2134</v>
      </c>
      <c r="B151" s="17" t="s">
        <v>3612</v>
      </c>
      <c r="C151" s="17" t="s">
        <v>3613</v>
      </c>
      <c r="D151" s="17" t="s">
        <v>181</v>
      </c>
      <c r="E151" s="60" t="str">
        <f>VLOOKUP($A151,nist_names_ids!A:B,2,false)</f>
        <v>minvev</v>
      </c>
      <c r="F151" s="61">
        <f>countif(Constants!A:A,E151)</f>
        <v>1</v>
      </c>
      <c r="G151" s="62" t="str">
        <f t="shared" si="1"/>
        <v>1.2398419739e-6</v>
      </c>
      <c r="H151" s="62">
        <f t="shared" si="2"/>
        <v>0.000001239841974</v>
      </c>
      <c r="I151" s="62" t="str">
        <f t="shared" si="3"/>
        <v>0.0000000076e-6</v>
      </c>
      <c r="J151" s="62">
        <f t="shared" si="4"/>
        <v>0</v>
      </c>
      <c r="K151" s="62" t="b">
        <f t="shared" si="5"/>
        <v>0</v>
      </c>
      <c r="L151" s="62" t="b">
        <f t="shared" si="6"/>
        <v>0</v>
      </c>
      <c r="M151" s="60" t="str">
        <f>IFERROR(__xludf.DUMMYFUNCTION("if(regexmatch(B151,""e(.*)$""),regexextract(B151,""e(.*)$""),"""")"),"-6")</f>
        <v>-6</v>
      </c>
    </row>
    <row r="152">
      <c r="A152" s="17" t="s">
        <v>2137</v>
      </c>
      <c r="B152" s="17" t="s">
        <v>3616</v>
      </c>
      <c r="C152" s="17" t="s">
        <v>3617</v>
      </c>
      <c r="D152" s="17" t="s">
        <v>170</v>
      </c>
      <c r="E152" s="60" t="str">
        <f>VLOOKUP($A152,nist_names_ids!A:B,2,false)</f>
        <v>minvhr</v>
      </c>
      <c r="F152" s="61">
        <f>countif(Constants!A:A,E152)</f>
        <v>1</v>
      </c>
      <c r="G152" s="62" t="str">
        <f t="shared" si="1"/>
        <v>4.556335252767e-8</v>
      </c>
      <c r="H152" s="62">
        <f t="shared" si="2"/>
        <v>0.00000004556335253</v>
      </c>
      <c r="I152" s="62" t="str">
        <f t="shared" si="3"/>
        <v>0.000000000027e-8</v>
      </c>
      <c r="J152" s="62">
        <f t="shared" si="4"/>
        <v>0</v>
      </c>
      <c r="K152" s="62" t="b">
        <f t="shared" si="5"/>
        <v>0</v>
      </c>
      <c r="L152" s="62" t="b">
        <f t="shared" si="6"/>
        <v>0</v>
      </c>
      <c r="M152" s="60" t="str">
        <f>IFERROR(__xludf.DUMMYFUNCTION("if(regexmatch(B152,""e(.*)$""),regexextract(B152,""e(.*)$""),"""")"),"-8")</f>
        <v>-8</v>
      </c>
    </row>
    <row r="153">
      <c r="A153" s="17" t="s">
        <v>2144</v>
      </c>
      <c r="B153" s="17" t="s">
        <v>3106</v>
      </c>
      <c r="C153" s="17" t="s">
        <v>1501</v>
      </c>
      <c r="D153" s="17" t="s">
        <v>257</v>
      </c>
      <c r="E153" s="60" t="str">
        <f>VLOOKUP($A153,nist_names_ids!A:B,2,false)</f>
        <v>minvhz</v>
      </c>
      <c r="F153" s="61">
        <f>countif(Constants!A:A,E153)</f>
        <v>1</v>
      </c>
      <c r="G153" s="62" t="str">
        <f t="shared" si="1"/>
        <v>299792458</v>
      </c>
      <c r="H153" s="62">
        <f t="shared" si="2"/>
        <v>299792458</v>
      </c>
      <c r="I153" s="62" t="str">
        <f t="shared" si="3"/>
        <v>(exact)</v>
      </c>
      <c r="J153" s="62" t="str">
        <f t="shared" si="4"/>
        <v/>
      </c>
      <c r="K153" s="62" t="b">
        <f t="shared" si="5"/>
        <v>1</v>
      </c>
      <c r="L153" s="62" t="b">
        <f t="shared" si="6"/>
        <v>0</v>
      </c>
      <c r="M153" s="60" t="str">
        <f>IFERROR(__xludf.DUMMYFUNCTION("if(regexmatch(B153,""e(.*)$""),regexextract(B153,""e(.*)$""),"""")"),"")</f>
        <v/>
      </c>
    </row>
    <row r="154">
      <c r="A154" s="17" t="s">
        <v>2147</v>
      </c>
      <c r="B154" s="17" t="s">
        <v>3625</v>
      </c>
      <c r="C154" s="17" t="s">
        <v>3626</v>
      </c>
      <c r="D154" s="17" t="s">
        <v>173</v>
      </c>
      <c r="E154" s="60" t="str">
        <f>VLOOKUP($A154,nist_names_ids!A:B,2,false)</f>
        <v>minvj</v>
      </c>
      <c r="F154" s="61">
        <f>countif(Constants!A:A,E154)</f>
        <v>1</v>
      </c>
      <c r="G154" s="62" t="str">
        <f t="shared" si="1"/>
        <v>1.986445824e-25</v>
      </c>
      <c r="H154" s="62">
        <f t="shared" si="2"/>
        <v>0</v>
      </c>
      <c r="I154" s="62" t="str">
        <f t="shared" si="3"/>
        <v>0.000000024e-25</v>
      </c>
      <c r="J154" s="62">
        <f t="shared" si="4"/>
        <v>0</v>
      </c>
      <c r="K154" s="62" t="b">
        <f t="shared" si="5"/>
        <v>0</v>
      </c>
      <c r="L154" s="62" t="b">
        <f t="shared" si="6"/>
        <v>0</v>
      </c>
      <c r="M154" s="60" t="str">
        <f>IFERROR(__xludf.DUMMYFUNCTION("if(regexmatch(B154,""e(.*)$""),regexextract(B154,""e(.*)$""),"""")"),"-25")</f>
        <v>-25</v>
      </c>
    </row>
    <row r="155">
      <c r="A155" s="17" t="s">
        <v>2150</v>
      </c>
      <c r="B155" s="17" t="s">
        <v>3629</v>
      </c>
      <c r="C155" s="17" t="s">
        <v>3630</v>
      </c>
      <c r="D155" s="17" t="s">
        <v>345</v>
      </c>
      <c r="E155" s="60" t="str">
        <f>VLOOKUP($A155,nist_names_ids!A:B,2,false)</f>
        <v>minvk</v>
      </c>
      <c r="F155" s="61">
        <f>countif(Constants!A:A,E155)</f>
        <v>1</v>
      </c>
      <c r="G155" s="62" t="str">
        <f t="shared" si="1"/>
        <v>1.43877736e-2</v>
      </c>
      <c r="H155" s="62">
        <f t="shared" si="2"/>
        <v>0.0143877736</v>
      </c>
      <c r="I155" s="62" t="str">
        <f t="shared" si="3"/>
        <v>0.00000083e-2</v>
      </c>
      <c r="J155" s="62">
        <f t="shared" si="4"/>
        <v>0.0000000083</v>
      </c>
      <c r="K155" s="62" t="b">
        <f t="shared" si="5"/>
        <v>0</v>
      </c>
      <c r="L155" s="62" t="b">
        <f t="shared" si="6"/>
        <v>0</v>
      </c>
      <c r="M155" s="60" t="str">
        <f>IFERROR(__xludf.DUMMYFUNCTION("if(regexmatch(B155,""e(.*)$""),regexextract(B155,""e(.*)$""),"""")"),"-2")</f>
        <v>-2</v>
      </c>
    </row>
    <row r="156">
      <c r="A156" s="17" t="s">
        <v>2153</v>
      </c>
      <c r="B156" s="17" t="s">
        <v>3631</v>
      </c>
      <c r="C156" s="17" t="s">
        <v>3632</v>
      </c>
      <c r="D156" s="17" t="s">
        <v>98</v>
      </c>
      <c r="E156" s="60" t="str">
        <f>VLOOKUP($A156,nist_names_ids!A:B,2,false)</f>
        <v>minvkg</v>
      </c>
      <c r="F156" s="61">
        <f>countif(Constants!A:A,E156)</f>
        <v>1</v>
      </c>
      <c r="G156" s="62" t="str">
        <f t="shared" si="1"/>
        <v>2.210219057e-42</v>
      </c>
      <c r="H156" s="62">
        <f t="shared" si="2"/>
        <v>0</v>
      </c>
      <c r="I156" s="62" t="str">
        <f t="shared" si="3"/>
        <v>0.000000027e-42</v>
      </c>
      <c r="J156" s="62">
        <f t="shared" si="4"/>
        <v>0</v>
      </c>
      <c r="K156" s="62" t="b">
        <f t="shared" si="5"/>
        <v>0</v>
      </c>
      <c r="L156" s="62" t="b">
        <f t="shared" si="6"/>
        <v>0</v>
      </c>
      <c r="M156" s="60" t="str">
        <f>IFERROR(__xludf.DUMMYFUNCTION("if(regexmatch(B156,""e(.*)$""),regexextract(B156,""e(.*)$""),"""")"),"-42")</f>
        <v>-42</v>
      </c>
    </row>
    <row r="157">
      <c r="A157" s="17" t="s">
        <v>2159</v>
      </c>
      <c r="B157" s="17" t="s">
        <v>3638</v>
      </c>
      <c r="C157" s="17" t="s">
        <v>3639</v>
      </c>
      <c r="D157" s="17" t="s">
        <v>500</v>
      </c>
      <c r="E157" s="60" t="str">
        <f>VLOOKUP($A157,nist_names_ids!A:B,2,false)</f>
        <v>invconqu</v>
      </c>
      <c r="F157" s="61">
        <f>countif(Constants!A:A,E157)</f>
        <v>1</v>
      </c>
      <c r="G157" s="62" t="str">
        <f t="shared" si="1"/>
        <v>12906.4037278</v>
      </c>
      <c r="H157" s="62">
        <f t="shared" si="2"/>
        <v>12906.40373</v>
      </c>
      <c r="I157" s="62" t="str">
        <f t="shared" si="3"/>
        <v>0.0000029</v>
      </c>
      <c r="J157" s="62">
        <f t="shared" si="4"/>
        <v>0.0000029</v>
      </c>
      <c r="K157" s="62" t="b">
        <f t="shared" si="5"/>
        <v>0</v>
      </c>
      <c r="L157" s="62" t="b">
        <f t="shared" si="6"/>
        <v>0</v>
      </c>
      <c r="M157" s="60" t="str">
        <f>IFERROR(__xludf.DUMMYFUNCTION("if(regexmatch(B157,""e(.*)$""),regexextract(B157,""e(.*)$""),"""")"),"")</f>
        <v/>
      </c>
    </row>
    <row r="158">
      <c r="A158" s="17" t="s">
        <v>2162</v>
      </c>
      <c r="B158" s="17" t="s">
        <v>3640</v>
      </c>
      <c r="C158" s="64" t="s">
        <v>3641</v>
      </c>
      <c r="D158" s="17" t="s">
        <v>1447</v>
      </c>
      <c r="E158" s="60" t="str">
        <f>VLOOKUP($A158,nist_names_ids!A:B,2,false)</f>
        <v>kjos</v>
      </c>
      <c r="F158" s="61">
        <f>countif(Constants!A:A,E158)</f>
        <v>1</v>
      </c>
      <c r="G158" s="62" t="str">
        <f t="shared" si="1"/>
        <v>483597.8525e9</v>
      </c>
      <c r="H158" s="62">
        <f t="shared" si="2"/>
        <v>483597852500000</v>
      </c>
      <c r="I158" s="62" t="str">
        <f t="shared" si="3"/>
        <v>0.0030e9</v>
      </c>
      <c r="J158" s="62">
        <f t="shared" si="4"/>
        <v>3000000</v>
      </c>
      <c r="K158" s="62" t="b">
        <f t="shared" si="5"/>
        <v>0</v>
      </c>
      <c r="L158" s="62" t="b">
        <f t="shared" si="6"/>
        <v>0</v>
      </c>
      <c r="M158" s="60" t="str">
        <f>IFERROR(__xludf.DUMMYFUNCTION("if(regexmatch(B158,""e(.*)$""),regexextract(B158,""e(.*)$""),"""")"),"9")</f>
        <v>9</v>
      </c>
    </row>
    <row r="159">
      <c r="A159" s="17" t="s">
        <v>2166</v>
      </c>
      <c r="B159" s="17" t="s">
        <v>3643</v>
      </c>
      <c r="C159" s="17" t="s">
        <v>3644</v>
      </c>
      <c r="D159" s="17" t="s">
        <v>249</v>
      </c>
      <c r="E159" s="60" t="str">
        <f>VLOOKUP($A159,nist_names_ids!A:B,2,false)</f>
        <v>ju</v>
      </c>
      <c r="F159" s="61">
        <f>countif(Constants!A:A,E159)</f>
        <v>1</v>
      </c>
      <c r="G159" s="62" t="str">
        <f t="shared" si="1"/>
        <v>6.700535363e9</v>
      </c>
      <c r="H159" s="62">
        <f t="shared" si="2"/>
        <v>6700535363</v>
      </c>
      <c r="I159" s="62" t="str">
        <f t="shared" si="3"/>
        <v>0.000000082e9</v>
      </c>
      <c r="J159" s="62">
        <f t="shared" si="4"/>
        <v>82</v>
      </c>
      <c r="K159" s="62" t="b">
        <f t="shared" si="5"/>
        <v>0</v>
      </c>
      <c r="L159" s="62" t="b">
        <f t="shared" si="6"/>
        <v>0</v>
      </c>
      <c r="M159" s="60" t="str">
        <f>IFERROR(__xludf.DUMMYFUNCTION("if(regexmatch(B159,""e(.*)$""),regexextract(B159,""e(.*)$""),"""")"),"9")</f>
        <v>9</v>
      </c>
    </row>
    <row r="160">
      <c r="A160" s="17" t="s">
        <v>2172</v>
      </c>
      <c r="B160" s="17" t="s">
        <v>3645</v>
      </c>
      <c r="C160" s="17" t="s">
        <v>3646</v>
      </c>
      <c r="D160" s="17" t="s">
        <v>181</v>
      </c>
      <c r="E160" s="60" t="str">
        <f>VLOOKUP($A160,nist_names_ids!A:B,2,false)</f>
        <v>jev</v>
      </c>
      <c r="F160" s="61">
        <f>countif(Constants!A:A,E160)</f>
        <v>1</v>
      </c>
      <c r="G160" s="62" t="str">
        <f t="shared" si="1"/>
        <v>6.241509126e18</v>
      </c>
      <c r="H160" s="62">
        <f t="shared" si="2"/>
        <v>6.24151E+18</v>
      </c>
      <c r="I160" s="62" t="str">
        <f t="shared" si="3"/>
        <v>0.000000038e18</v>
      </c>
      <c r="J160" s="62">
        <f t="shared" si="4"/>
        <v>38000000000</v>
      </c>
      <c r="K160" s="62" t="b">
        <f t="shared" si="5"/>
        <v>0</v>
      </c>
      <c r="L160" s="62" t="b">
        <f t="shared" si="6"/>
        <v>0</v>
      </c>
      <c r="M160" s="60" t="str">
        <f>IFERROR(__xludf.DUMMYFUNCTION("if(regexmatch(B160,""e(.*)$""),regexextract(B160,""e(.*)$""),"""")"),"18")</f>
        <v>18</v>
      </c>
    </row>
    <row r="161">
      <c r="A161" s="17" t="s">
        <v>2176</v>
      </c>
      <c r="B161" s="17" t="s">
        <v>3647</v>
      </c>
      <c r="C161" s="17" t="s">
        <v>3649</v>
      </c>
      <c r="D161" s="17" t="s">
        <v>170</v>
      </c>
      <c r="E161" s="60" t="str">
        <f>VLOOKUP($A161,nist_names_ids!A:B,2,false)</f>
        <v>jhr</v>
      </c>
      <c r="F161" s="61">
        <f>countif(Constants!A:A,E161)</f>
        <v>1</v>
      </c>
      <c r="G161" s="62" t="str">
        <f t="shared" si="1"/>
        <v>2.293712317e17</v>
      </c>
      <c r="H161" s="62">
        <f t="shared" si="2"/>
        <v>2.29371E+17</v>
      </c>
      <c r="I161" s="62" t="str">
        <f t="shared" si="3"/>
        <v>0.000000028e17</v>
      </c>
      <c r="J161" s="62">
        <f t="shared" si="4"/>
        <v>2800000000</v>
      </c>
      <c r="K161" s="62" t="b">
        <f t="shared" si="5"/>
        <v>0</v>
      </c>
      <c r="L161" s="62" t="b">
        <f t="shared" si="6"/>
        <v>0</v>
      </c>
      <c r="M161" s="60" t="str">
        <f>IFERROR(__xludf.DUMMYFUNCTION("if(regexmatch(B161,""e(.*)$""),regexextract(B161,""e(.*)$""),"""")"),"17")</f>
        <v>17</v>
      </c>
    </row>
    <row r="162">
      <c r="A162" s="17" t="s">
        <v>2180</v>
      </c>
      <c r="B162" s="17" t="s">
        <v>3652</v>
      </c>
      <c r="C162" s="17" t="s">
        <v>3653</v>
      </c>
      <c r="D162" s="17" t="s">
        <v>257</v>
      </c>
      <c r="E162" s="60" t="str">
        <f>VLOOKUP($A162,nist_names_ids!A:B,2,false)</f>
        <v>jhz</v>
      </c>
      <c r="F162" s="61">
        <f>countif(Constants!A:A,E162)</f>
        <v>1</v>
      </c>
      <c r="G162" s="62" t="str">
        <f t="shared" si="1"/>
        <v>1.509190205e33</v>
      </c>
      <c r="H162" s="62">
        <f t="shared" si="2"/>
        <v>1.50919E+33</v>
      </c>
      <c r="I162" s="62" t="str">
        <f t="shared" si="3"/>
        <v>0.000000019e33</v>
      </c>
      <c r="J162" s="62">
        <f t="shared" si="4"/>
        <v>1.9E+25</v>
      </c>
      <c r="K162" s="62" t="b">
        <f t="shared" si="5"/>
        <v>0</v>
      </c>
      <c r="L162" s="62" t="b">
        <f t="shared" si="6"/>
        <v>0</v>
      </c>
      <c r="M162" s="60" t="str">
        <f>IFERROR(__xludf.DUMMYFUNCTION("if(regexmatch(B162,""e(.*)$""),regexextract(B162,""e(.*)$""),"""")"),"33")</f>
        <v>33</v>
      </c>
    </row>
    <row r="163">
      <c r="A163" s="17" t="s">
        <v>2184</v>
      </c>
      <c r="B163" s="17" t="s">
        <v>3656</v>
      </c>
      <c r="C163" s="17" t="s">
        <v>3657</v>
      </c>
      <c r="D163" s="17" t="s">
        <v>561</v>
      </c>
      <c r="E163" s="60" t="str">
        <f>VLOOKUP($A163,nist_names_ids!A:B,2,false)</f>
        <v>jminv</v>
      </c>
      <c r="F163" s="61">
        <f>countif(Constants!A:A,E163)</f>
        <v>1</v>
      </c>
      <c r="G163" s="62" t="str">
        <f t="shared" si="1"/>
        <v>5.034116651e24</v>
      </c>
      <c r="H163" s="62">
        <f t="shared" si="2"/>
        <v>5.03412E+24</v>
      </c>
      <c r="I163" s="62" t="str">
        <f t="shared" si="3"/>
        <v>0.000000062e24</v>
      </c>
      <c r="J163" s="62">
        <f t="shared" si="4"/>
        <v>6.2E+16</v>
      </c>
      <c r="K163" s="62" t="b">
        <f t="shared" si="5"/>
        <v>0</v>
      </c>
      <c r="L163" s="62" t="b">
        <f t="shared" si="6"/>
        <v>0</v>
      </c>
      <c r="M163" s="60" t="str">
        <f>IFERROR(__xludf.DUMMYFUNCTION("if(regexmatch(B163,""e(.*)$""),regexextract(B163,""e(.*)$""),"""")"),"24")</f>
        <v>24</v>
      </c>
    </row>
    <row r="164">
      <c r="A164" s="17" t="s">
        <v>2190</v>
      </c>
      <c r="B164" s="17" t="s">
        <v>3659</v>
      </c>
      <c r="C164" s="17" t="s">
        <v>3660</v>
      </c>
      <c r="D164" s="17" t="s">
        <v>345</v>
      </c>
      <c r="E164" s="60" t="str">
        <f>VLOOKUP($A164,nist_names_ids!A:B,2,false)</f>
        <v>jk</v>
      </c>
      <c r="F164" s="61">
        <f>countif(Constants!A:A,E164)</f>
        <v>1</v>
      </c>
      <c r="G164" s="62" t="str">
        <f t="shared" si="1"/>
        <v>7.2429731e22</v>
      </c>
      <c r="H164" s="62">
        <f t="shared" si="2"/>
        <v>7.24297E+22</v>
      </c>
      <c r="I164" s="62" t="str">
        <f t="shared" si="3"/>
        <v>0.0000042e22</v>
      </c>
      <c r="J164" s="62">
        <f t="shared" si="4"/>
        <v>4.2E+16</v>
      </c>
      <c r="K164" s="62" t="b">
        <f t="shared" si="5"/>
        <v>0</v>
      </c>
      <c r="L164" s="62" t="b">
        <f t="shared" si="6"/>
        <v>0</v>
      </c>
      <c r="M164" s="60" t="str">
        <f>IFERROR(__xludf.DUMMYFUNCTION("if(regexmatch(B164,""e(.*)$""),regexextract(B164,""e(.*)$""),"""")"),"22")</f>
        <v>22</v>
      </c>
    </row>
    <row r="165">
      <c r="A165" s="17" t="s">
        <v>2193</v>
      </c>
      <c r="B165" s="17" t="s">
        <v>3152</v>
      </c>
      <c r="C165" s="17" t="s">
        <v>1501</v>
      </c>
      <c r="D165" s="17" t="s">
        <v>98</v>
      </c>
      <c r="E165" s="60" t="str">
        <f>VLOOKUP($A165,nist_names_ids!A:B,2,false)</f>
        <v>jkg</v>
      </c>
      <c r="F165" s="61">
        <f>countif(Constants!A:A,E165)</f>
        <v>1</v>
      </c>
      <c r="G165" s="62" t="str">
        <f t="shared" si="1"/>
        <v>1.112650056e-17</v>
      </c>
      <c r="H165" s="62">
        <f t="shared" si="2"/>
        <v>0</v>
      </c>
      <c r="I165" s="62" t="str">
        <f t="shared" si="3"/>
        <v>(exact)</v>
      </c>
      <c r="J165" s="62" t="str">
        <f t="shared" si="4"/>
        <v/>
      </c>
      <c r="K165" s="62" t="b">
        <f t="shared" si="5"/>
        <v>1</v>
      </c>
      <c r="L165" s="62" t="b">
        <f t="shared" si="6"/>
        <v>1</v>
      </c>
      <c r="M165" s="60" t="str">
        <f>IFERROR(__xludf.DUMMYFUNCTION("if(regexmatch(B165,""e(.*)$""),regexextract(B165,""e(.*)$""),"""")"),"-17")</f>
        <v>-17</v>
      </c>
    </row>
    <row r="166">
      <c r="A166" s="17" t="s">
        <v>2196</v>
      </c>
      <c r="B166" s="17" t="s">
        <v>3667</v>
      </c>
      <c r="C166" s="17" t="s">
        <v>3668</v>
      </c>
      <c r="D166" s="17" t="s">
        <v>249</v>
      </c>
      <c r="E166" s="60" t="str">
        <f>VLOOKUP($A166,nist_names_ids!A:B,2,false)</f>
        <v>ku</v>
      </c>
      <c r="F166" s="61">
        <f>countif(Constants!A:A,E166)</f>
        <v>1</v>
      </c>
      <c r="G166" s="62" t="str">
        <f t="shared" si="1"/>
        <v>9.2510842e-14</v>
      </c>
      <c r="H166" s="62">
        <f t="shared" si="2"/>
        <v>0</v>
      </c>
      <c r="I166" s="62" t="str">
        <f t="shared" si="3"/>
        <v>0.0000053e-14</v>
      </c>
      <c r="J166" s="62">
        <f t="shared" si="4"/>
        <v>0</v>
      </c>
      <c r="K166" s="62" t="b">
        <f t="shared" si="5"/>
        <v>0</v>
      </c>
      <c r="L166" s="62" t="b">
        <f t="shared" si="6"/>
        <v>0</v>
      </c>
      <c r="M166" s="60" t="str">
        <f>IFERROR(__xludf.DUMMYFUNCTION("if(regexmatch(B166,""e(.*)$""),regexextract(B166,""e(.*)$""),"""")"),"-14")</f>
        <v>-14</v>
      </c>
    </row>
    <row r="167">
      <c r="A167" s="17" t="s">
        <v>2200</v>
      </c>
      <c r="B167" s="17" t="s">
        <v>3259</v>
      </c>
      <c r="C167" s="17" t="s">
        <v>3260</v>
      </c>
      <c r="D167" s="17" t="s">
        <v>181</v>
      </c>
      <c r="E167" s="60" t="str">
        <f>VLOOKUP($A167,nist_names_ids!A:B,2,false)</f>
        <v>kev</v>
      </c>
      <c r="F167" s="61">
        <f>countif(Constants!A:A,E167)</f>
        <v>1</v>
      </c>
      <c r="G167" s="62" t="str">
        <f t="shared" si="1"/>
        <v>8.6173303e-5</v>
      </c>
      <c r="H167" s="62">
        <f t="shared" si="2"/>
        <v>0.000086173303</v>
      </c>
      <c r="I167" s="62" t="str">
        <f t="shared" si="3"/>
        <v>0.0000050e-5</v>
      </c>
      <c r="J167" s="62">
        <f t="shared" si="4"/>
        <v>0</v>
      </c>
      <c r="K167" s="62" t="b">
        <f t="shared" si="5"/>
        <v>0</v>
      </c>
      <c r="L167" s="62" t="b">
        <f t="shared" si="6"/>
        <v>0</v>
      </c>
      <c r="M167" s="60" t="str">
        <f>IFERROR(__xludf.DUMMYFUNCTION("if(regexmatch(B167,""e(.*)$""),regexextract(B167,""e(.*)$""),"""")"),"-5")</f>
        <v>-5</v>
      </c>
    </row>
    <row r="168">
      <c r="A168" s="17" t="s">
        <v>2204</v>
      </c>
      <c r="B168" s="17" t="s">
        <v>3671</v>
      </c>
      <c r="C168" s="17" t="s">
        <v>3672</v>
      </c>
      <c r="D168" s="17" t="s">
        <v>170</v>
      </c>
      <c r="E168" s="60" t="str">
        <f>VLOOKUP($A168,nist_names_ids!A:B,2,false)</f>
        <v>khr</v>
      </c>
      <c r="F168" s="61">
        <f>countif(Constants!A:A,E168)</f>
        <v>1</v>
      </c>
      <c r="G168" s="62" t="str">
        <f t="shared" si="1"/>
        <v>3.1668105e-6</v>
      </c>
      <c r="H168" s="62">
        <f t="shared" si="2"/>
        <v>0.0000031668105</v>
      </c>
      <c r="I168" s="62" t="str">
        <f t="shared" si="3"/>
        <v>0.0000018e-6</v>
      </c>
      <c r="J168" s="62">
        <f t="shared" si="4"/>
        <v>0</v>
      </c>
      <c r="K168" s="62" t="b">
        <f t="shared" si="5"/>
        <v>0</v>
      </c>
      <c r="L168" s="62" t="b">
        <f t="shared" si="6"/>
        <v>0</v>
      </c>
      <c r="M168" s="60" t="str">
        <f>IFERROR(__xludf.DUMMYFUNCTION("if(regexmatch(B168,""e(.*)$""),regexextract(B168,""e(.*)$""),"""")"),"-6")</f>
        <v>-6</v>
      </c>
    </row>
    <row r="169">
      <c r="A169" s="17" t="s">
        <v>2208</v>
      </c>
      <c r="B169" s="17" t="s">
        <v>3262</v>
      </c>
      <c r="C169" s="17" t="s">
        <v>3263</v>
      </c>
      <c r="D169" s="17" t="s">
        <v>257</v>
      </c>
      <c r="E169" s="60" t="str">
        <f>VLOOKUP($A169,nist_names_ids!A:B,2,false)</f>
        <v>khz</v>
      </c>
      <c r="F169" s="61">
        <f>countif(Constants!A:A,E169)</f>
        <v>1</v>
      </c>
      <c r="G169" s="62" t="str">
        <f t="shared" si="1"/>
        <v>2.0836612e10</v>
      </c>
      <c r="H169" s="62">
        <f t="shared" si="2"/>
        <v>20836612000</v>
      </c>
      <c r="I169" s="62" t="str">
        <f t="shared" si="3"/>
        <v>0.0000012e10</v>
      </c>
      <c r="J169" s="62">
        <f t="shared" si="4"/>
        <v>12000</v>
      </c>
      <c r="K169" s="62" t="b">
        <f t="shared" si="5"/>
        <v>0</v>
      </c>
      <c r="L169" s="62" t="b">
        <f t="shared" si="6"/>
        <v>0</v>
      </c>
      <c r="M169" s="60" t="str">
        <f>IFERROR(__xludf.DUMMYFUNCTION("if(regexmatch(B169,""e(.*)$""),regexextract(B169,""e(.*)$""),"""")"),"10")</f>
        <v>10</v>
      </c>
    </row>
    <row r="170">
      <c r="A170" s="17" t="s">
        <v>2217</v>
      </c>
      <c r="B170" s="17" t="s">
        <v>3267</v>
      </c>
      <c r="C170" s="17" t="s">
        <v>3268</v>
      </c>
      <c r="D170" s="17" t="s">
        <v>561</v>
      </c>
      <c r="E170" s="60" t="str">
        <f>VLOOKUP($A170,nist_names_ids!A:B,2,false)</f>
        <v>kminv</v>
      </c>
      <c r="F170" s="61">
        <f>countif(Constants!A:A,E170)</f>
        <v>1</v>
      </c>
      <c r="G170" s="62" t="str">
        <f t="shared" si="1"/>
        <v>69.503457</v>
      </c>
      <c r="H170" s="62">
        <f t="shared" si="2"/>
        <v>69.503457</v>
      </c>
      <c r="I170" s="62" t="str">
        <f t="shared" si="3"/>
        <v>0.000040</v>
      </c>
      <c r="J170" s="62">
        <f t="shared" si="4"/>
        <v>0.00004</v>
      </c>
      <c r="K170" s="62" t="b">
        <f t="shared" si="5"/>
        <v>0</v>
      </c>
      <c r="L170" s="62" t="b">
        <f t="shared" si="6"/>
        <v>0</v>
      </c>
      <c r="M170" s="60" t="str">
        <f>IFERROR(__xludf.DUMMYFUNCTION("if(regexmatch(B170,""e(.*)$""),regexextract(B170,""e(.*)$""),"""")"),"")</f>
        <v/>
      </c>
    </row>
    <row r="171">
      <c r="A171" s="17" t="s">
        <v>2219</v>
      </c>
      <c r="B171" s="17" t="s">
        <v>3256</v>
      </c>
      <c r="C171" s="17" t="s">
        <v>3257</v>
      </c>
      <c r="D171" s="17" t="s">
        <v>173</v>
      </c>
      <c r="E171" s="60" t="str">
        <f>VLOOKUP($A171,nist_names_ids!A:B,2,false)</f>
        <v>kj</v>
      </c>
      <c r="F171" s="61">
        <f>countif(Constants!A:A,E171)</f>
        <v>1</v>
      </c>
      <c r="G171" s="62" t="str">
        <f t="shared" si="1"/>
        <v>1.38064852e-23</v>
      </c>
      <c r="H171" s="62">
        <f t="shared" si="2"/>
        <v>0</v>
      </c>
      <c r="I171" s="62" t="str">
        <f t="shared" si="3"/>
        <v>0.00000079e-23</v>
      </c>
      <c r="J171" s="62">
        <f t="shared" si="4"/>
        <v>0</v>
      </c>
      <c r="K171" s="62" t="b">
        <f t="shared" si="5"/>
        <v>0</v>
      </c>
      <c r="L171" s="62" t="b">
        <f t="shared" si="6"/>
        <v>0</v>
      </c>
      <c r="M171" s="60" t="str">
        <f>IFERROR(__xludf.DUMMYFUNCTION("if(regexmatch(B171,""e(.*)$""),regexextract(B171,""e(.*)$""),"""")"),"-23")</f>
        <v>-23</v>
      </c>
    </row>
    <row r="172">
      <c r="A172" s="17" t="s">
        <v>2222</v>
      </c>
      <c r="B172" s="17" t="s">
        <v>3682</v>
      </c>
      <c r="C172" s="17" t="s">
        <v>3683</v>
      </c>
      <c r="D172" s="17" t="s">
        <v>98</v>
      </c>
      <c r="E172" s="60" t="str">
        <f>VLOOKUP($A172,nist_names_ids!A:B,2,false)</f>
        <v>kkg</v>
      </c>
      <c r="F172" s="61">
        <f>countif(Constants!A:A,E172)</f>
        <v>1</v>
      </c>
      <c r="G172" s="62" t="str">
        <f t="shared" si="1"/>
        <v>1.53617865e-40</v>
      </c>
      <c r="H172" s="62">
        <f t="shared" si="2"/>
        <v>0</v>
      </c>
      <c r="I172" s="62" t="str">
        <f t="shared" si="3"/>
        <v>0.00000088e-40</v>
      </c>
      <c r="J172" s="62">
        <f t="shared" si="4"/>
        <v>0</v>
      </c>
      <c r="K172" s="62" t="b">
        <f t="shared" si="5"/>
        <v>0</v>
      </c>
      <c r="L172" s="62" t="b">
        <f t="shared" si="6"/>
        <v>0</v>
      </c>
      <c r="M172" s="60" t="str">
        <f>IFERROR(__xludf.DUMMYFUNCTION("if(regexmatch(B172,""e(.*)$""),regexextract(B172,""e(.*)$""),"""")"),"-40")</f>
        <v>-40</v>
      </c>
    </row>
    <row r="173">
      <c r="A173" s="17" t="s">
        <v>2226</v>
      </c>
      <c r="B173" s="17" t="s">
        <v>3688</v>
      </c>
      <c r="C173" s="17" t="s">
        <v>3689</v>
      </c>
      <c r="D173" s="17" t="s">
        <v>249</v>
      </c>
      <c r="E173" s="60" t="str">
        <f>VLOOKUP($A173,nist_names_ids!A:B,2,false)</f>
        <v>kgu</v>
      </c>
      <c r="F173" s="61">
        <f>countif(Constants!A:A,E173)</f>
        <v>1</v>
      </c>
      <c r="G173" s="62" t="str">
        <f t="shared" si="1"/>
        <v>6.022140857e26</v>
      </c>
      <c r="H173" s="62">
        <f t="shared" si="2"/>
        <v>6.02214E+26</v>
      </c>
      <c r="I173" s="62" t="str">
        <f t="shared" si="3"/>
        <v>0.000000074e26</v>
      </c>
      <c r="J173" s="62">
        <f t="shared" si="4"/>
        <v>7.4E+18</v>
      </c>
      <c r="K173" s="62" t="b">
        <f t="shared" si="5"/>
        <v>0</v>
      </c>
      <c r="L173" s="62" t="b">
        <f t="shared" si="6"/>
        <v>0</v>
      </c>
      <c r="M173" s="60" t="str">
        <f>IFERROR(__xludf.DUMMYFUNCTION("if(regexmatch(B173,""e(.*)$""),regexextract(B173,""e(.*)$""),"""")"),"26")</f>
        <v>26</v>
      </c>
    </row>
    <row r="174">
      <c r="A174" s="17" t="s">
        <v>2232</v>
      </c>
      <c r="B174" s="17" t="s">
        <v>3691</v>
      </c>
      <c r="C174" s="17" t="s">
        <v>3692</v>
      </c>
      <c r="D174" s="17" t="s">
        <v>181</v>
      </c>
      <c r="E174" s="60" t="str">
        <f>VLOOKUP($A174,nist_names_ids!A:B,2,false)</f>
        <v>kgev</v>
      </c>
      <c r="F174" s="61">
        <f>countif(Constants!A:A,E174)</f>
        <v>1</v>
      </c>
      <c r="G174" s="62" t="str">
        <f t="shared" si="1"/>
        <v>5.609588650e35</v>
      </c>
      <c r="H174" s="62">
        <f t="shared" si="2"/>
        <v>5.60959E+35</v>
      </c>
      <c r="I174" s="62" t="str">
        <f t="shared" si="3"/>
        <v>0.000000034e35</v>
      </c>
      <c r="J174" s="62">
        <f t="shared" si="4"/>
        <v>3.4E+27</v>
      </c>
      <c r="K174" s="62" t="b">
        <f t="shared" si="5"/>
        <v>0</v>
      </c>
      <c r="L174" s="62" t="b">
        <f t="shared" si="6"/>
        <v>0</v>
      </c>
      <c r="M174" s="60" t="str">
        <f>IFERROR(__xludf.DUMMYFUNCTION("if(regexmatch(B174,""e(.*)$""),regexextract(B174,""e(.*)$""),"""")"),"35")</f>
        <v>35</v>
      </c>
    </row>
    <row r="175">
      <c r="A175" s="17" t="s">
        <v>2236</v>
      </c>
      <c r="B175" s="17" t="s">
        <v>3695</v>
      </c>
      <c r="C175" s="17" t="s">
        <v>3696</v>
      </c>
      <c r="D175" s="17" t="s">
        <v>170</v>
      </c>
      <c r="E175" s="60" t="str">
        <f>VLOOKUP($A175,nist_names_ids!A:B,2,false)</f>
        <v>kghr</v>
      </c>
      <c r="F175" s="61">
        <f>countif(Constants!A:A,E175)</f>
        <v>1</v>
      </c>
      <c r="G175" s="62" t="str">
        <f t="shared" si="1"/>
        <v>2.061485823e34</v>
      </c>
      <c r="H175" s="62">
        <f t="shared" si="2"/>
        <v>2.06149E+34</v>
      </c>
      <c r="I175" s="62" t="str">
        <f t="shared" si="3"/>
        <v>0.000000025e34</v>
      </c>
      <c r="J175" s="62">
        <f t="shared" si="4"/>
        <v>2.5E+26</v>
      </c>
      <c r="K175" s="62" t="b">
        <f t="shared" si="5"/>
        <v>0</v>
      </c>
      <c r="L175" s="62" t="b">
        <f t="shared" si="6"/>
        <v>0</v>
      </c>
      <c r="M175" s="60" t="str">
        <f>IFERROR(__xludf.DUMMYFUNCTION("if(regexmatch(B175,""e(.*)$""),regexextract(B175,""e(.*)$""),"""")"),"34")</f>
        <v>34</v>
      </c>
    </row>
    <row r="176">
      <c r="A176" s="17" t="s">
        <v>2243</v>
      </c>
      <c r="B176" s="17" t="s">
        <v>3701</v>
      </c>
      <c r="C176" s="17" t="s">
        <v>3702</v>
      </c>
      <c r="D176" s="17" t="s">
        <v>257</v>
      </c>
      <c r="E176" s="60" t="str">
        <f>VLOOKUP($A176,nist_names_ids!A:B,2,false)</f>
        <v>kghz</v>
      </c>
      <c r="F176" s="61">
        <f>countif(Constants!A:A,E176)</f>
        <v>1</v>
      </c>
      <c r="G176" s="62" t="str">
        <f t="shared" si="1"/>
        <v>1.356392512e50</v>
      </c>
      <c r="H176" s="62">
        <f t="shared" si="2"/>
        <v>1.35639E+50</v>
      </c>
      <c r="I176" s="62" t="str">
        <f t="shared" si="3"/>
        <v>0.000000017e50</v>
      </c>
      <c r="J176" s="62">
        <f t="shared" si="4"/>
        <v>1.7E+42</v>
      </c>
      <c r="K176" s="62" t="b">
        <f t="shared" si="5"/>
        <v>0</v>
      </c>
      <c r="L176" s="62" t="b">
        <f t="shared" si="6"/>
        <v>0</v>
      </c>
      <c r="M176" s="60" t="str">
        <f>IFERROR(__xludf.DUMMYFUNCTION("if(regexmatch(B176,""e(.*)$""),regexextract(B176,""e(.*)$""),"""")"),"50")</f>
        <v>50</v>
      </c>
    </row>
    <row r="177">
      <c r="A177" s="17" t="s">
        <v>2247</v>
      </c>
      <c r="B177" s="17" t="s">
        <v>3706</v>
      </c>
      <c r="C177" s="17" t="s">
        <v>3707</v>
      </c>
      <c r="D177" s="17" t="s">
        <v>561</v>
      </c>
      <c r="E177" s="60" t="str">
        <f>VLOOKUP($A177,nist_names_ids!A:B,2,false)</f>
        <v>kgminv</v>
      </c>
      <c r="F177" s="61">
        <f>countif(Constants!A:A,E177)</f>
        <v>1</v>
      </c>
      <c r="G177" s="62" t="str">
        <f t="shared" si="1"/>
        <v>4.524438411e41</v>
      </c>
      <c r="H177" s="62">
        <f t="shared" si="2"/>
        <v>4.52444E+41</v>
      </c>
      <c r="I177" s="62" t="str">
        <f t="shared" si="3"/>
        <v>0.000000056e41</v>
      </c>
      <c r="J177" s="62">
        <f t="shared" si="4"/>
        <v>5.6E+33</v>
      </c>
      <c r="K177" s="62" t="b">
        <f t="shared" si="5"/>
        <v>0</v>
      </c>
      <c r="L177" s="62" t="b">
        <f t="shared" si="6"/>
        <v>0</v>
      </c>
      <c r="M177" s="60" t="str">
        <f>IFERROR(__xludf.DUMMYFUNCTION("if(regexmatch(B177,""e(.*)$""),regexextract(B177,""e(.*)$""),"""")"),"41")</f>
        <v>41</v>
      </c>
    </row>
    <row r="178">
      <c r="A178" s="17" t="s">
        <v>2253</v>
      </c>
      <c r="B178" s="17" t="s">
        <v>3186</v>
      </c>
      <c r="C178" s="17" t="s">
        <v>1501</v>
      </c>
      <c r="D178" s="17" t="s">
        <v>173</v>
      </c>
      <c r="E178" s="60" t="str">
        <f>VLOOKUP($A178,nist_names_ids!A:B,2,false)</f>
        <v>kgj</v>
      </c>
      <c r="F178" s="61">
        <f>countif(Constants!A:A,E178)</f>
        <v>1</v>
      </c>
      <c r="G178" s="62" t="str">
        <f t="shared" si="1"/>
        <v>8.987551787e16</v>
      </c>
      <c r="H178" s="62">
        <f t="shared" si="2"/>
        <v>8.98755E+16</v>
      </c>
      <c r="I178" s="62" t="str">
        <f t="shared" si="3"/>
        <v>(exact)</v>
      </c>
      <c r="J178" s="62" t="str">
        <f t="shared" si="4"/>
        <v/>
      </c>
      <c r="K178" s="62" t="b">
        <f t="shared" si="5"/>
        <v>1</v>
      </c>
      <c r="L178" s="62" t="b">
        <f t="shared" si="6"/>
        <v>1</v>
      </c>
      <c r="M178" s="60" t="str">
        <f>IFERROR(__xludf.DUMMYFUNCTION("if(regexmatch(B178,""e(.*)$""),regexextract(B178,""e(.*)$""),"""")"),"16")</f>
        <v>16</v>
      </c>
    </row>
    <row r="179">
      <c r="A179" s="17" t="s">
        <v>2257</v>
      </c>
      <c r="B179" s="17" t="s">
        <v>3713</v>
      </c>
      <c r="C179" s="17" t="s">
        <v>3714</v>
      </c>
      <c r="D179" s="17" t="s">
        <v>345</v>
      </c>
      <c r="E179" s="60" t="str">
        <f>VLOOKUP($A179,nist_names_ids!A:B,2,false)</f>
        <v>kgk</v>
      </c>
      <c r="F179" s="61">
        <f>countif(Constants!A:A,E179)</f>
        <v>1</v>
      </c>
      <c r="G179" s="62" t="str">
        <f t="shared" si="1"/>
        <v>6.5096595e39</v>
      </c>
      <c r="H179" s="62">
        <f t="shared" si="2"/>
        <v>6.50966E+39</v>
      </c>
      <c r="I179" s="62" t="str">
        <f t="shared" si="3"/>
        <v>0.0000037e39</v>
      </c>
      <c r="J179" s="62">
        <f t="shared" si="4"/>
        <v>3.7E+33</v>
      </c>
      <c r="K179" s="62" t="b">
        <f t="shared" si="5"/>
        <v>0</v>
      </c>
      <c r="L179" s="62" t="b">
        <f t="shared" si="6"/>
        <v>0</v>
      </c>
      <c r="M179" s="60" t="str">
        <f>IFERROR(__xludf.DUMMYFUNCTION("if(regexmatch(B179,""e(.*)$""),regexextract(B179,""e(.*)$""),"""")"),"39")</f>
        <v>39</v>
      </c>
    </row>
    <row r="180">
      <c r="A180" s="17" t="s">
        <v>2260</v>
      </c>
      <c r="B180" s="17" t="s">
        <v>3717</v>
      </c>
      <c r="C180" s="17" t="s">
        <v>3718</v>
      </c>
      <c r="D180" s="17" t="s">
        <v>381</v>
      </c>
      <c r="E180" s="60" t="str">
        <f>VLOOKUP($A180,nist_names_ids!A:B,2,false)</f>
        <v>asil</v>
      </c>
      <c r="F180" s="61">
        <f>countif(Constants!A:A,E180)</f>
        <v>1</v>
      </c>
      <c r="G180" s="62" t="str">
        <f t="shared" si="1"/>
        <v>543.1020504e-12</v>
      </c>
      <c r="H180" s="62">
        <f t="shared" si="2"/>
        <v>0.0000000005431020504</v>
      </c>
      <c r="I180" s="62" t="str">
        <f t="shared" si="3"/>
        <v>0.0000089e-12</v>
      </c>
      <c r="J180" s="62">
        <f t="shared" si="4"/>
        <v>0</v>
      </c>
      <c r="K180" s="62" t="b">
        <f t="shared" si="5"/>
        <v>0</v>
      </c>
      <c r="L180" s="62" t="b">
        <f t="shared" si="6"/>
        <v>0</v>
      </c>
      <c r="M180" s="60" t="str">
        <f>IFERROR(__xludf.DUMMYFUNCTION("if(regexmatch(B180,""e(.*)$""),regexextract(B180,""e(.*)$""),"""")"),"-12")</f>
        <v>-12</v>
      </c>
    </row>
    <row r="181">
      <c r="A181" s="17" t="s">
        <v>2267</v>
      </c>
      <c r="B181" s="17" t="s">
        <v>3721</v>
      </c>
      <c r="C181" s="17" t="s">
        <v>3722</v>
      </c>
      <c r="D181" s="17" t="s">
        <v>2269</v>
      </c>
      <c r="E181" s="60" t="str">
        <f>VLOOKUP($A181,nist_names_ids!A:B,2,false)</f>
        <v>n0</v>
      </c>
      <c r="F181" s="61">
        <f>countif(Constants!A:A,E181)</f>
        <v>1</v>
      </c>
      <c r="G181" s="62" t="str">
        <f t="shared" si="1"/>
        <v>2.6516467e25</v>
      </c>
      <c r="H181" s="62">
        <f t="shared" si="2"/>
        <v>2.65165E+25</v>
      </c>
      <c r="I181" s="62" t="str">
        <f t="shared" si="3"/>
        <v>0.0000015e25</v>
      </c>
      <c r="J181" s="62">
        <f t="shared" si="4"/>
        <v>1.5E+19</v>
      </c>
      <c r="K181" s="62" t="b">
        <f t="shared" si="5"/>
        <v>0</v>
      </c>
      <c r="L181" s="62" t="b">
        <f t="shared" si="6"/>
        <v>0</v>
      </c>
      <c r="M181" s="60" t="str">
        <f>IFERROR(__xludf.DUMMYFUNCTION("if(regexmatch(B181,""e(.*)$""),regexextract(B181,""e(.*)$""),"""")"),"25")</f>
        <v>25</v>
      </c>
    </row>
    <row r="182">
      <c r="A182" s="17" t="s">
        <v>2273</v>
      </c>
      <c r="B182" s="17" t="s">
        <v>3726</v>
      </c>
      <c r="C182" s="17" t="s">
        <v>3722</v>
      </c>
      <c r="D182" s="17" t="s">
        <v>2269</v>
      </c>
      <c r="E182" s="60" t="str">
        <f>VLOOKUP($A182,nist_names_ids!A:B,2,false)</f>
        <v>n0std</v>
      </c>
      <c r="F182" s="61">
        <f>countif(Constants!A:A,E182)</f>
        <v>1</v>
      </c>
      <c r="G182" s="62" t="str">
        <f t="shared" si="1"/>
        <v>2.6867811e25</v>
      </c>
      <c r="H182" s="62">
        <f t="shared" si="2"/>
        <v>2.68678E+25</v>
      </c>
      <c r="I182" s="62" t="str">
        <f t="shared" si="3"/>
        <v>0.0000015e25</v>
      </c>
      <c r="J182" s="62">
        <f t="shared" si="4"/>
        <v>1.5E+19</v>
      </c>
      <c r="K182" s="62" t="b">
        <f t="shared" si="5"/>
        <v>0</v>
      </c>
      <c r="L182" s="62" t="b">
        <f t="shared" si="6"/>
        <v>0</v>
      </c>
      <c r="M182" s="60" t="str">
        <f>IFERROR(__xludf.DUMMYFUNCTION("if(regexmatch(B182,""e(.*)$""),regexextract(B182,""e(.*)$""),"""")"),"25")</f>
        <v>25</v>
      </c>
    </row>
    <row r="183">
      <c r="A183" s="17" t="s">
        <v>3300</v>
      </c>
      <c r="B183" s="17" t="s">
        <v>3728</v>
      </c>
      <c r="C183" s="17" t="s">
        <v>1501</v>
      </c>
      <c r="D183" s="17" t="s">
        <v>3011</v>
      </c>
      <c r="E183" s="60" t="str">
        <f>VLOOKUP($A183,nist_names_ids!A:B,2,false)</f>
        <v>mu0</v>
      </c>
      <c r="F183" s="61">
        <f>countif(Constants!A:A,E183)</f>
        <v>1</v>
      </c>
      <c r="G183" s="62" t="str">
        <f t="shared" si="1"/>
        <v>12.566370614e-7</v>
      </c>
      <c r="H183" s="62">
        <f t="shared" si="2"/>
        <v>0.000001256637061</v>
      </c>
      <c r="I183" s="62" t="str">
        <f t="shared" si="3"/>
        <v>(exact)</v>
      </c>
      <c r="J183" s="62" t="str">
        <f t="shared" si="4"/>
        <v/>
      </c>
      <c r="K183" s="62" t="b">
        <f t="shared" si="5"/>
        <v>1</v>
      </c>
      <c r="L183" s="62" t="b">
        <f t="shared" si="6"/>
        <v>1</v>
      </c>
      <c r="M183" s="60" t="str">
        <f>IFERROR(__xludf.DUMMYFUNCTION("if(regexmatch(B183,""e(.*)$""),regexextract(B183,""e(.*)$""),"""")"),"-7")</f>
        <v>-7</v>
      </c>
    </row>
    <row r="184">
      <c r="A184" s="17" t="s">
        <v>2280</v>
      </c>
      <c r="B184" s="17" t="s">
        <v>3732</v>
      </c>
      <c r="C184" s="17" t="s">
        <v>3733</v>
      </c>
      <c r="D184" s="17" t="s">
        <v>622</v>
      </c>
      <c r="E184" s="60" t="str">
        <f>VLOOKUP($A184,nist_names_ids!A:B,2,false)</f>
        <v>flxquhs2e</v>
      </c>
      <c r="F184" s="61">
        <f>countif(Constants!A:A,E184)</f>
        <v>1</v>
      </c>
      <c r="G184" s="62" t="str">
        <f t="shared" si="1"/>
        <v>2.067833831e-15</v>
      </c>
      <c r="H184" s="62">
        <f t="shared" si="2"/>
        <v>0</v>
      </c>
      <c r="I184" s="62" t="str">
        <f t="shared" si="3"/>
        <v>0.000000013e-15</v>
      </c>
      <c r="J184" s="62">
        <f t="shared" si="4"/>
        <v>0</v>
      </c>
      <c r="K184" s="62" t="b">
        <f t="shared" si="5"/>
        <v>0</v>
      </c>
      <c r="L184" s="62" t="b">
        <f t="shared" si="6"/>
        <v>0</v>
      </c>
      <c r="M184" s="60" t="str">
        <f>IFERROR(__xludf.DUMMYFUNCTION("if(regexmatch(B184,""e(.*)$""),regexextract(B184,""e(.*)$""),"""")"),"-15")</f>
        <v>-15</v>
      </c>
    </row>
    <row r="185">
      <c r="A185" s="17" t="s">
        <v>2284</v>
      </c>
      <c r="B185" s="17" t="s">
        <v>3734</v>
      </c>
      <c r="C185" s="17" t="s">
        <v>3735</v>
      </c>
      <c r="D185" s="17" t="s">
        <v>2286</v>
      </c>
      <c r="E185" s="60" t="str">
        <f>VLOOKUP($A185,nist_names_ids!A:B,2,false)</f>
        <v>r</v>
      </c>
      <c r="F185" s="61">
        <f>countif(Constants!A:A,E185)</f>
        <v>1</v>
      </c>
      <c r="G185" s="62" t="str">
        <f t="shared" si="1"/>
        <v>8.3144598</v>
      </c>
      <c r="H185" s="62">
        <f t="shared" si="2"/>
        <v>8.3144598</v>
      </c>
      <c r="I185" s="62" t="str">
        <f t="shared" si="3"/>
        <v>0.0000048</v>
      </c>
      <c r="J185" s="62">
        <f t="shared" si="4"/>
        <v>0.0000048</v>
      </c>
      <c r="K185" s="62" t="b">
        <f t="shared" si="5"/>
        <v>0</v>
      </c>
      <c r="L185" s="62" t="b">
        <f t="shared" si="6"/>
        <v>0</v>
      </c>
      <c r="M185" s="60" t="str">
        <f>IFERROR(__xludf.DUMMYFUNCTION("if(regexmatch(B185,""e(.*)$""),regexextract(B185,""e(.*)$""),"""")"),"")</f>
        <v/>
      </c>
    </row>
    <row r="186">
      <c r="A186" s="17" t="s">
        <v>2287</v>
      </c>
      <c r="B186" s="64" t="s">
        <v>3739</v>
      </c>
      <c r="C186" s="17" t="s">
        <v>1501</v>
      </c>
      <c r="D186" s="17" t="s">
        <v>286</v>
      </c>
      <c r="E186" s="60" t="str">
        <f>VLOOKUP($A186,nist_names_ids!A:B,2,false)</f>
        <v>mu</v>
      </c>
      <c r="F186" s="61">
        <f>countif(Constants!A:A,E186)</f>
        <v>1</v>
      </c>
      <c r="G186" s="62" t="str">
        <f t="shared" si="1"/>
        <v>1e-3</v>
      </c>
      <c r="H186" s="62">
        <f t="shared" si="2"/>
        <v>0.001</v>
      </c>
      <c r="I186" s="62" t="str">
        <f t="shared" si="3"/>
        <v>(exact)</v>
      </c>
      <c r="J186" s="62" t="str">
        <f t="shared" si="4"/>
        <v/>
      </c>
      <c r="K186" s="62" t="b">
        <f t="shared" si="5"/>
        <v>1</v>
      </c>
      <c r="L186" s="62" t="b">
        <f t="shared" si="6"/>
        <v>0</v>
      </c>
      <c r="M186" s="60" t="str">
        <f>IFERROR(__xludf.DUMMYFUNCTION("if(regexmatch(B186,""e(.*)$""),regexextract(B186,""e(.*)$""),"""")"),"-3")</f>
        <v>-3</v>
      </c>
    </row>
    <row r="187">
      <c r="A187" s="17" t="s">
        <v>2290</v>
      </c>
      <c r="B187" s="64" t="s">
        <v>3744</v>
      </c>
      <c r="C187" s="17" t="s">
        <v>1501</v>
      </c>
      <c r="D187" s="17" t="s">
        <v>286</v>
      </c>
      <c r="E187" s="60" t="str">
        <f>VLOOKUP($A187,nist_names_ids!A:B,2,false)</f>
        <v>mm12c</v>
      </c>
      <c r="F187" s="61">
        <f>countif(Constants!A:A,E187)</f>
        <v>1</v>
      </c>
      <c r="G187" s="62" t="str">
        <f t="shared" si="1"/>
        <v>12e-3</v>
      </c>
      <c r="H187" s="62">
        <f t="shared" si="2"/>
        <v>0.012</v>
      </c>
      <c r="I187" s="62" t="str">
        <f t="shared" si="3"/>
        <v>(exact)</v>
      </c>
      <c r="J187" s="62" t="str">
        <f t="shared" si="4"/>
        <v/>
      </c>
      <c r="K187" s="62" t="b">
        <f t="shared" si="5"/>
        <v>1</v>
      </c>
      <c r="L187" s="62" t="b">
        <f t="shared" si="6"/>
        <v>0</v>
      </c>
      <c r="M187" s="60" t="str">
        <f>IFERROR(__xludf.DUMMYFUNCTION("if(regexmatch(B187,""e(.*)$""),regexextract(B187,""e(.*)$""),"""")"),"-3")</f>
        <v>-3</v>
      </c>
    </row>
    <row r="188">
      <c r="A188" s="17" t="s">
        <v>2295</v>
      </c>
      <c r="B188" s="17" t="s">
        <v>3747</v>
      </c>
      <c r="C188" s="17" t="s">
        <v>2317</v>
      </c>
      <c r="D188" s="17" t="s">
        <v>3748</v>
      </c>
      <c r="E188" s="60" t="str">
        <f>VLOOKUP($A188,nist_names_ids!A:B,2,false)</f>
        <v>nah</v>
      </c>
      <c r="F188" s="61">
        <f>countif(Constants!A:A,E188)</f>
        <v>1</v>
      </c>
      <c r="G188" s="62" t="str">
        <f t="shared" si="1"/>
        <v>3.9903127110e-10</v>
      </c>
      <c r="H188" s="62">
        <f t="shared" si="2"/>
        <v>0.0000000003990312711</v>
      </c>
      <c r="I188" s="62" t="str">
        <f t="shared" si="3"/>
        <v>0.0000000018e-10</v>
      </c>
      <c r="J188" s="62">
        <f t="shared" si="4"/>
        <v>0</v>
      </c>
      <c r="K188" s="62" t="b">
        <f t="shared" si="5"/>
        <v>0</v>
      </c>
      <c r="L188" s="62" t="b">
        <f t="shared" si="6"/>
        <v>0</v>
      </c>
      <c r="M188" s="60" t="str">
        <f>IFERROR(__xludf.DUMMYFUNCTION("if(regexmatch(B188,""e(.*)$""),regexextract(B188,""e(.*)$""),"""")"),"-10")</f>
        <v>-10</v>
      </c>
    </row>
    <row r="189">
      <c r="A189" s="17" t="s">
        <v>3311</v>
      </c>
      <c r="B189" s="17" t="s">
        <v>3751</v>
      </c>
      <c r="C189" s="17" t="s">
        <v>3752</v>
      </c>
      <c r="D189" s="17" t="s">
        <v>3314</v>
      </c>
      <c r="E189" s="60" t="str">
        <f>VLOOKUP($A189,nist_names_ids!A:B,2,false)</f>
        <v>nahc</v>
      </c>
      <c r="F189" s="61">
        <f>countif(Constants!A:A,E189)</f>
        <v>1</v>
      </c>
      <c r="G189" s="62" t="str">
        <f t="shared" si="1"/>
        <v>0.119626565582</v>
      </c>
      <c r="H189" s="62">
        <f t="shared" si="2"/>
        <v>0.1196265656</v>
      </c>
      <c r="I189" s="62" t="str">
        <f t="shared" si="3"/>
        <v>0.000000000054</v>
      </c>
      <c r="J189" s="62">
        <f t="shared" si="4"/>
        <v>0</v>
      </c>
      <c r="K189" s="62" t="b">
        <f t="shared" si="5"/>
        <v>0</v>
      </c>
      <c r="L189" s="62" t="b">
        <f t="shared" si="6"/>
        <v>0</v>
      </c>
      <c r="M189" s="60" t="str">
        <f>IFERROR(__xludf.DUMMYFUNCTION("if(regexmatch(B189,""e(.*)$""),regexextract(B189,""e(.*)$""),"""")"),"")</f>
        <v/>
      </c>
    </row>
    <row r="190">
      <c r="A190" s="17" t="s">
        <v>2300</v>
      </c>
      <c r="B190" s="17" t="s">
        <v>3755</v>
      </c>
      <c r="C190" s="17" t="s">
        <v>3756</v>
      </c>
      <c r="D190" s="17" t="s">
        <v>2302</v>
      </c>
      <c r="E190" s="60" t="str">
        <f>VLOOKUP($A190,nist_names_ids!A:B,2,false)</f>
        <v>mvol</v>
      </c>
      <c r="F190" s="61">
        <f>countif(Constants!A:A,E190)</f>
        <v>1</v>
      </c>
      <c r="G190" s="62" t="str">
        <f t="shared" si="1"/>
        <v>22.710947e-3</v>
      </c>
      <c r="H190" s="62">
        <f t="shared" si="2"/>
        <v>0.022710947</v>
      </c>
      <c r="I190" s="62" t="str">
        <f t="shared" si="3"/>
        <v>0.000013e-3</v>
      </c>
      <c r="J190" s="62">
        <f t="shared" si="4"/>
        <v>0.000000013</v>
      </c>
      <c r="K190" s="62" t="b">
        <f t="shared" si="5"/>
        <v>0</v>
      </c>
      <c r="L190" s="62" t="b">
        <f t="shared" si="6"/>
        <v>0</v>
      </c>
      <c r="M190" s="60" t="str">
        <f>IFERROR(__xludf.DUMMYFUNCTION("if(regexmatch(B190,""e(.*)$""),regexextract(B190,""e(.*)$""),"""")"),"-3")</f>
        <v>-3</v>
      </c>
    </row>
    <row r="191">
      <c r="A191" s="17" t="s">
        <v>2303</v>
      </c>
      <c r="B191" s="17" t="s">
        <v>3759</v>
      </c>
      <c r="C191" s="17" t="s">
        <v>3756</v>
      </c>
      <c r="D191" s="17" t="s">
        <v>2302</v>
      </c>
      <c r="E191" s="60" t="str">
        <f>VLOOKUP($A191,nist_names_ids!A:B,2,false)</f>
        <v>mvolstd</v>
      </c>
      <c r="F191" s="61">
        <f>countif(Constants!A:A,E191)</f>
        <v>1</v>
      </c>
      <c r="G191" s="62" t="str">
        <f t="shared" si="1"/>
        <v>22.413962e-3</v>
      </c>
      <c r="H191" s="62">
        <f t="shared" si="2"/>
        <v>0.022413962</v>
      </c>
      <c r="I191" s="62" t="str">
        <f t="shared" si="3"/>
        <v>0.000013e-3</v>
      </c>
      <c r="J191" s="62">
        <f t="shared" si="4"/>
        <v>0.000000013</v>
      </c>
      <c r="K191" s="62" t="b">
        <f t="shared" si="5"/>
        <v>0</v>
      </c>
      <c r="L191" s="62" t="b">
        <f t="shared" si="6"/>
        <v>0</v>
      </c>
      <c r="M191" s="60" t="str">
        <f>IFERROR(__xludf.DUMMYFUNCTION("if(regexmatch(B191,""e(.*)$""),regexextract(B191,""e(.*)$""),"""")"),"-3")</f>
        <v>-3</v>
      </c>
    </row>
    <row r="192">
      <c r="A192" s="17" t="s">
        <v>2308</v>
      </c>
      <c r="B192" s="17" t="s">
        <v>3761</v>
      </c>
      <c r="C192" s="17" t="s">
        <v>3762</v>
      </c>
      <c r="D192" s="17" t="s">
        <v>2302</v>
      </c>
      <c r="E192" s="60" t="str">
        <f>VLOOKUP($A192,nist_names_ids!A:B,2,false)</f>
        <v>mvolsil</v>
      </c>
      <c r="F192" s="61">
        <f>countif(Constants!A:A,E192)</f>
        <v>1</v>
      </c>
      <c r="G192" s="62" t="str">
        <f t="shared" si="1"/>
        <v>12.05883214e-6</v>
      </c>
      <c r="H192" s="62">
        <f t="shared" si="2"/>
        <v>0.00001205883214</v>
      </c>
      <c r="I192" s="62" t="str">
        <f t="shared" si="3"/>
        <v>0.00000061e-6</v>
      </c>
      <c r="J192" s="62">
        <f t="shared" si="4"/>
        <v>0</v>
      </c>
      <c r="K192" s="62" t="b">
        <f t="shared" si="5"/>
        <v>0</v>
      </c>
      <c r="L192" s="62" t="b">
        <f t="shared" si="6"/>
        <v>0</v>
      </c>
      <c r="M192" s="60" t="str">
        <f>IFERROR(__xludf.DUMMYFUNCTION("if(regexmatch(B192,""e(.*)$""),regexextract(B192,""e(.*)$""),"""")"),"-6")</f>
        <v>-6</v>
      </c>
    </row>
    <row r="193">
      <c r="A193" s="17" t="s">
        <v>3323</v>
      </c>
      <c r="B193" s="17" t="s">
        <v>3231</v>
      </c>
      <c r="C193" s="17" t="s">
        <v>2315</v>
      </c>
      <c r="D193" s="17" t="s">
        <v>381</v>
      </c>
      <c r="E193" s="60" t="str">
        <f>VLOOKUP($A193,nist_names_ids!A:B,2,false)</f>
        <v>xumokalph1</v>
      </c>
      <c r="F193" s="61">
        <f>countif(Constants!A:A,E193)</f>
        <v>1</v>
      </c>
      <c r="G193" s="62" t="str">
        <f t="shared" si="1"/>
        <v>1.00209952e-13</v>
      </c>
      <c r="H193" s="62">
        <f t="shared" si="2"/>
        <v>0</v>
      </c>
      <c r="I193" s="62" t="str">
        <f t="shared" si="3"/>
        <v>0.00000053e-13</v>
      </c>
      <c r="J193" s="62">
        <f t="shared" si="4"/>
        <v>0</v>
      </c>
      <c r="K193" s="62" t="b">
        <f t="shared" si="5"/>
        <v>0</v>
      </c>
      <c r="L193" s="62" t="b">
        <f t="shared" si="6"/>
        <v>0</v>
      </c>
      <c r="M193" s="60" t="str">
        <f>IFERROR(__xludf.DUMMYFUNCTION("if(regexmatch(B193,""e(.*)$""),regexextract(B193,""e(.*)$""),"""")"),"-13")</f>
        <v>-13</v>
      </c>
    </row>
    <row r="194">
      <c r="A194" s="17" t="s">
        <v>2318</v>
      </c>
      <c r="B194" s="17" t="s">
        <v>3765</v>
      </c>
      <c r="C194" s="17" t="s">
        <v>3766</v>
      </c>
      <c r="D194" s="17" t="s">
        <v>381</v>
      </c>
      <c r="E194" s="60" t="str">
        <f>VLOOKUP($A194,nist_names_ids!A:B,2,false)</f>
        <v>mcomwl</v>
      </c>
      <c r="F194" s="61">
        <f>countif(Constants!A:A,E194)</f>
        <v>1</v>
      </c>
      <c r="G194" s="62" t="str">
        <f t="shared" si="1"/>
        <v>11.73444111e-15</v>
      </c>
      <c r="H194" s="62">
        <f t="shared" si="2"/>
        <v>0</v>
      </c>
      <c r="I194" s="62" t="str">
        <f t="shared" si="3"/>
        <v>0.00000026e-15</v>
      </c>
      <c r="J194" s="62">
        <f t="shared" si="4"/>
        <v>0</v>
      </c>
      <c r="K194" s="62" t="b">
        <f t="shared" si="5"/>
        <v>0</v>
      </c>
      <c r="L194" s="62" t="b">
        <f t="shared" si="6"/>
        <v>0</v>
      </c>
      <c r="M194" s="60" t="str">
        <f>IFERROR(__xludf.DUMMYFUNCTION("if(regexmatch(B194,""e(.*)$""),regexextract(B194,""e(.*)$""),"""")"),"-15")</f>
        <v>-15</v>
      </c>
    </row>
    <row r="195">
      <c r="A195" s="17" t="s">
        <v>3398</v>
      </c>
      <c r="B195" s="17" t="s">
        <v>3768</v>
      </c>
      <c r="C195" s="17" t="s">
        <v>2737</v>
      </c>
      <c r="D195" s="17" t="s">
        <v>381</v>
      </c>
      <c r="E195" s="60" t="str">
        <f>VLOOKUP($A195,nist_names_ids!A:B,2,false)</f>
        <v>mcomwlbar</v>
      </c>
      <c r="F195" s="61">
        <f>countif(Constants!A:A,E195)</f>
        <v>1</v>
      </c>
      <c r="G195" s="62" t="str">
        <f t="shared" si="1"/>
        <v>1.867594308e-15</v>
      </c>
      <c r="H195" s="62">
        <f t="shared" si="2"/>
        <v>0</v>
      </c>
      <c r="I195" s="62" t="str">
        <f t="shared" si="3"/>
        <v>0.000000042e-15</v>
      </c>
      <c r="J195" s="62">
        <f t="shared" si="4"/>
        <v>0</v>
      </c>
      <c r="K195" s="62" t="b">
        <f t="shared" si="5"/>
        <v>0</v>
      </c>
      <c r="L195" s="62" t="b">
        <f t="shared" si="6"/>
        <v>0</v>
      </c>
      <c r="M195" s="60" t="str">
        <f>IFERROR(__xludf.DUMMYFUNCTION("if(regexmatch(B195,""e(.*)$""),regexextract(B195,""e(.*)$""),"""")"),"-15")</f>
        <v>-15</v>
      </c>
    </row>
    <row r="196">
      <c r="A196" s="17" t="s">
        <v>2326</v>
      </c>
      <c r="B196" s="17" t="s">
        <v>3769</v>
      </c>
      <c r="C196" s="17" t="s">
        <v>1866</v>
      </c>
      <c r="E196" s="60" t="str">
        <f>VLOOKUP($A196,nist_names_ids!A:B,2,false)</f>
        <v>mmusme</v>
      </c>
      <c r="F196" s="61">
        <f>countif(Constants!A:A,E196)</f>
        <v>1</v>
      </c>
      <c r="G196" s="62" t="str">
        <f t="shared" si="1"/>
        <v>206.7682826</v>
      </c>
      <c r="H196" s="62">
        <f t="shared" si="2"/>
        <v>206.7682826</v>
      </c>
      <c r="I196" s="62" t="str">
        <f t="shared" si="3"/>
        <v>0.0000046</v>
      </c>
      <c r="J196" s="62">
        <f t="shared" si="4"/>
        <v>0.0000046</v>
      </c>
      <c r="K196" s="62" t="b">
        <f t="shared" si="5"/>
        <v>0</v>
      </c>
      <c r="L196" s="62" t="b">
        <f t="shared" si="6"/>
        <v>0</v>
      </c>
      <c r="M196" s="60" t="str">
        <f>IFERROR(__xludf.DUMMYFUNCTION("if(regexmatch(B196,""e(.*)$""),regexextract(B196,""e(.*)$""),"""")"),"")</f>
        <v/>
      </c>
    </row>
    <row r="197">
      <c r="A197" s="17" t="s">
        <v>2330</v>
      </c>
      <c r="B197" s="17" t="s">
        <v>3240</v>
      </c>
      <c r="C197" s="17" t="s">
        <v>3241</v>
      </c>
      <c r="E197" s="60" t="str">
        <f>VLOOKUP($A197,nist_names_ids!A:B,2,false)</f>
        <v>gmum</v>
      </c>
      <c r="F197" s="61">
        <f>countif(Constants!A:A,E197)</f>
        <v>1</v>
      </c>
      <c r="G197" s="62" t="str">
        <f t="shared" si="1"/>
        <v>-2.0023318418</v>
      </c>
      <c r="H197" s="62">
        <f t="shared" si="2"/>
        <v>-2.002331842</v>
      </c>
      <c r="I197" s="62" t="str">
        <f t="shared" si="3"/>
        <v>0.0000000013</v>
      </c>
      <c r="J197" s="62">
        <f t="shared" si="4"/>
        <v>0.0000000013</v>
      </c>
      <c r="K197" s="62" t="b">
        <f t="shared" si="5"/>
        <v>0</v>
      </c>
      <c r="L197" s="62" t="b">
        <f t="shared" si="6"/>
        <v>0</v>
      </c>
      <c r="M197" s="60" t="str">
        <f>IFERROR(__xludf.DUMMYFUNCTION("if(regexmatch(B197,""e(.*)$""),regexextract(B197,""e(.*)$""),"""")"),"")</f>
        <v/>
      </c>
    </row>
    <row r="198">
      <c r="A198" s="17" t="s">
        <v>2333</v>
      </c>
      <c r="B198" s="17" t="s">
        <v>3772</v>
      </c>
      <c r="C198" s="17" t="s">
        <v>2335</v>
      </c>
      <c r="D198" s="17" t="s">
        <v>964</v>
      </c>
      <c r="E198" s="60" t="str">
        <f>VLOOKUP($A198,nist_names_ids!A:B,2,false)</f>
        <v>mumum</v>
      </c>
      <c r="F198" s="61">
        <f>countif(Constants!A:A,E198)</f>
        <v>1</v>
      </c>
      <c r="G198" s="62" t="str">
        <f t="shared" si="1"/>
        <v>-4.49044826e-26</v>
      </c>
      <c r="H198" s="62">
        <f t="shared" si="2"/>
        <v>0</v>
      </c>
      <c r="I198" s="62" t="str">
        <f t="shared" si="3"/>
        <v>0.00000010e-26</v>
      </c>
      <c r="J198" s="62">
        <f t="shared" si="4"/>
        <v>0</v>
      </c>
      <c r="K198" s="62" t="b">
        <f t="shared" si="5"/>
        <v>0</v>
      </c>
      <c r="L198" s="62" t="b">
        <f t="shared" si="6"/>
        <v>0</v>
      </c>
      <c r="M198" s="60" t="str">
        <f>IFERROR(__xludf.DUMMYFUNCTION("if(regexmatch(B198,""e(.*)$""),regexextract(B198,""e(.*)$""),"""")"),"-26")</f>
        <v>-26</v>
      </c>
    </row>
    <row r="199">
      <c r="A199" s="17" t="s">
        <v>2338</v>
      </c>
      <c r="B199" s="17" t="s">
        <v>3246</v>
      </c>
      <c r="C199" s="17" t="s">
        <v>3247</v>
      </c>
      <c r="E199" s="60" t="str">
        <f>VLOOKUP($A199,nist_names_ids!A:B,2,false)</f>
        <v>amu</v>
      </c>
      <c r="F199" s="61">
        <f>countif(Constants!A:A,E199)</f>
        <v>1</v>
      </c>
      <c r="G199" s="62" t="str">
        <f t="shared" si="1"/>
        <v>1.16592089e-3</v>
      </c>
      <c r="H199" s="62">
        <f t="shared" si="2"/>
        <v>0.00116592089</v>
      </c>
      <c r="I199" s="62" t="str">
        <f t="shared" si="3"/>
        <v>0.00000063e-3</v>
      </c>
      <c r="J199" s="62">
        <f t="shared" si="4"/>
        <v>0.00000000063</v>
      </c>
      <c r="K199" s="62" t="b">
        <f t="shared" si="5"/>
        <v>0</v>
      </c>
      <c r="L199" s="62" t="b">
        <f t="shared" si="6"/>
        <v>0</v>
      </c>
      <c r="M199" s="60" t="str">
        <f>IFERROR(__xludf.DUMMYFUNCTION("if(regexmatch(B199,""e(.*)$""),regexextract(B199,""e(.*)$""),"""")"),"-3")</f>
        <v>-3</v>
      </c>
    </row>
    <row r="200">
      <c r="A200" s="17" t="s">
        <v>2344</v>
      </c>
      <c r="B200" s="17" t="s">
        <v>3774</v>
      </c>
      <c r="C200" s="17" t="s">
        <v>1870</v>
      </c>
      <c r="E200" s="60" t="str">
        <f>VLOOKUP($A200,nist_names_ids!A:B,2,false)</f>
        <v>mumumsmub</v>
      </c>
      <c r="F200" s="61">
        <f>countif(Constants!A:A,E200)</f>
        <v>1</v>
      </c>
      <c r="G200" s="62" t="str">
        <f t="shared" si="1"/>
        <v>-4.84197048e-3</v>
      </c>
      <c r="H200" s="62">
        <f t="shared" si="2"/>
        <v>-0.00484197048</v>
      </c>
      <c r="I200" s="62" t="str">
        <f t="shared" si="3"/>
        <v>0.00000011e-3</v>
      </c>
      <c r="J200" s="62">
        <f t="shared" si="4"/>
        <v>0.00000000011</v>
      </c>
      <c r="K200" s="62" t="b">
        <f t="shared" si="5"/>
        <v>0</v>
      </c>
      <c r="L200" s="62" t="b">
        <f t="shared" si="6"/>
        <v>0</v>
      </c>
      <c r="M200" s="60" t="str">
        <f>IFERROR(__xludf.DUMMYFUNCTION("if(regexmatch(B200,""e(.*)$""),regexextract(B200,""e(.*)$""),"""")"),"-3")</f>
        <v>-3</v>
      </c>
    </row>
    <row r="201">
      <c r="A201" s="17" t="s">
        <v>2346</v>
      </c>
      <c r="B201" s="17" t="s">
        <v>3775</v>
      </c>
      <c r="C201" s="17" t="s">
        <v>2348</v>
      </c>
      <c r="E201" s="60" t="str">
        <f>VLOOKUP($A201,nist_names_ids!A:B,2,false)</f>
        <v>mumumsmun</v>
      </c>
      <c r="F201" s="61">
        <f>countif(Constants!A:A,E201)</f>
        <v>1</v>
      </c>
      <c r="G201" s="62" t="str">
        <f t="shared" si="1"/>
        <v>-8.89059705</v>
      </c>
      <c r="H201" s="62">
        <f t="shared" si="2"/>
        <v>-8.89059705</v>
      </c>
      <c r="I201" s="62" t="str">
        <f t="shared" si="3"/>
        <v>0.00000020</v>
      </c>
      <c r="J201" s="62">
        <f t="shared" si="4"/>
        <v>0.0000002</v>
      </c>
      <c r="K201" s="62" t="b">
        <f t="shared" si="5"/>
        <v>0</v>
      </c>
      <c r="L201" s="62" t="b">
        <f t="shared" si="6"/>
        <v>0</v>
      </c>
      <c r="M201" s="60" t="str">
        <f>IFERROR(__xludf.DUMMYFUNCTION("if(regexmatch(B201,""e(.*)$""),regexextract(B201,""e(.*)$""),"""")"),"")</f>
        <v/>
      </c>
    </row>
    <row r="202">
      <c r="A202" s="17" t="s">
        <v>2349</v>
      </c>
      <c r="B202" s="17" t="s">
        <v>3777</v>
      </c>
      <c r="C202" s="17" t="s">
        <v>3778</v>
      </c>
      <c r="D202" s="17" t="s">
        <v>98</v>
      </c>
      <c r="E202" s="60" t="str">
        <f>VLOOKUP($A202,nist_names_ids!A:B,2,false)</f>
        <v>mmu</v>
      </c>
      <c r="F202" s="61">
        <f>countif(Constants!A:A,E202)</f>
        <v>1</v>
      </c>
      <c r="G202" s="62" t="str">
        <f t="shared" si="1"/>
        <v>1.883531594e-28</v>
      </c>
      <c r="H202" s="62">
        <f t="shared" si="2"/>
        <v>0</v>
      </c>
      <c r="I202" s="62" t="str">
        <f t="shared" si="3"/>
        <v>0.000000048e-28</v>
      </c>
      <c r="J202" s="62">
        <f t="shared" si="4"/>
        <v>0</v>
      </c>
      <c r="K202" s="62" t="b">
        <f t="shared" si="5"/>
        <v>0</v>
      </c>
      <c r="L202" s="62" t="b">
        <f t="shared" si="6"/>
        <v>0</v>
      </c>
      <c r="M202" s="60" t="str">
        <f>IFERROR(__xludf.DUMMYFUNCTION("if(regexmatch(B202,""e(.*)$""),regexextract(B202,""e(.*)$""),"""")"),"-28")</f>
        <v>-28</v>
      </c>
    </row>
    <row r="203">
      <c r="A203" s="17" t="s">
        <v>2357</v>
      </c>
      <c r="B203" s="17" t="s">
        <v>3779</v>
      </c>
      <c r="C203" s="17" t="s">
        <v>3780</v>
      </c>
      <c r="D203" s="17" t="s">
        <v>173</v>
      </c>
      <c r="E203" s="60" t="str">
        <f>VLOOKUP($A203,nist_names_ids!A:B,2,false)</f>
        <v>mmuc2</v>
      </c>
      <c r="F203" s="61">
        <f>countif(Constants!A:A,E203)</f>
        <v>1</v>
      </c>
      <c r="G203" s="62" t="str">
        <f t="shared" si="1"/>
        <v>1.692833774e-11</v>
      </c>
      <c r="H203" s="62">
        <f t="shared" si="2"/>
        <v>0</v>
      </c>
      <c r="I203" s="62" t="str">
        <f t="shared" si="3"/>
        <v>0.000000043e-11</v>
      </c>
      <c r="J203" s="62">
        <f t="shared" si="4"/>
        <v>0</v>
      </c>
      <c r="K203" s="62" t="b">
        <f t="shared" si="5"/>
        <v>0</v>
      </c>
      <c r="L203" s="62" t="b">
        <f t="shared" si="6"/>
        <v>0</v>
      </c>
      <c r="M203" s="60" t="str">
        <f>IFERROR(__xludf.DUMMYFUNCTION("if(regexmatch(B203,""e(.*)$""),regexextract(B203,""e(.*)$""),"""")"),"-11")</f>
        <v>-11</v>
      </c>
    </row>
    <row r="204">
      <c r="A204" s="17" t="s">
        <v>2362</v>
      </c>
      <c r="B204" s="17" t="s">
        <v>3784</v>
      </c>
      <c r="C204" s="17" t="s">
        <v>3785</v>
      </c>
      <c r="D204" s="17" t="s">
        <v>224</v>
      </c>
      <c r="E204" s="60" t="str">
        <f>VLOOKUP($A204,nist_names_ids!A:B,2,false)</f>
        <v>mmuc2mev</v>
      </c>
      <c r="F204" s="61">
        <f>countif(Constants!A:A,E204)</f>
        <v>1</v>
      </c>
      <c r="G204" s="62" t="str">
        <f t="shared" si="1"/>
        <v>105.6583745</v>
      </c>
      <c r="H204" s="62">
        <f t="shared" si="2"/>
        <v>105.6583745</v>
      </c>
      <c r="I204" s="62" t="str">
        <f t="shared" si="3"/>
        <v>0.0000024</v>
      </c>
      <c r="J204" s="62">
        <f t="shared" si="4"/>
        <v>0.0000024</v>
      </c>
      <c r="K204" s="62" t="b">
        <f t="shared" si="5"/>
        <v>0</v>
      </c>
      <c r="L204" s="62" t="b">
        <f t="shared" si="6"/>
        <v>0</v>
      </c>
      <c r="M204" s="60" t="str">
        <f>IFERROR(__xludf.DUMMYFUNCTION("if(regexmatch(B204,""e(.*)$""),regexextract(B204,""e(.*)$""),"""")"),"")</f>
        <v/>
      </c>
    </row>
    <row r="205">
      <c r="A205" s="17" t="s">
        <v>2367</v>
      </c>
      <c r="B205" s="17" t="s">
        <v>3786</v>
      </c>
      <c r="C205" s="17" t="s">
        <v>2369</v>
      </c>
      <c r="D205" s="17" t="s">
        <v>249</v>
      </c>
      <c r="E205" s="60" t="str">
        <f>VLOOKUP($A205,nist_names_ids!A:B,2,false)</f>
        <v>mmuu</v>
      </c>
      <c r="F205" s="61">
        <f>countif(Constants!A:A,E205)</f>
        <v>1</v>
      </c>
      <c r="G205" s="62" t="str">
        <f t="shared" si="1"/>
        <v>0.1134289257</v>
      </c>
      <c r="H205" s="62">
        <f t="shared" si="2"/>
        <v>0.1134289257</v>
      </c>
      <c r="I205" s="62" t="str">
        <f t="shared" si="3"/>
        <v>0.0000000025</v>
      </c>
      <c r="J205" s="62">
        <f t="shared" si="4"/>
        <v>0.0000000025</v>
      </c>
      <c r="K205" s="62" t="b">
        <f t="shared" si="5"/>
        <v>0</v>
      </c>
      <c r="L205" s="62" t="b">
        <f t="shared" si="6"/>
        <v>0</v>
      </c>
      <c r="M205" s="60" t="str">
        <f>IFERROR(__xludf.DUMMYFUNCTION("if(regexmatch(B205,""e(.*)$""),regexextract(B205,""e(.*)$""),"""")"),"")</f>
        <v/>
      </c>
    </row>
    <row r="206">
      <c r="A206" s="17" t="s">
        <v>2372</v>
      </c>
      <c r="B206" s="17" t="s">
        <v>3790</v>
      </c>
      <c r="C206" s="17" t="s">
        <v>3791</v>
      </c>
      <c r="D206" s="17" t="s">
        <v>286</v>
      </c>
      <c r="E206" s="60" t="str">
        <f>VLOOKUP($A206,nist_names_ids!A:B,2,false)</f>
        <v>mmmu</v>
      </c>
      <c r="F206" s="61">
        <f>countif(Constants!A:A,E206)</f>
        <v>1</v>
      </c>
      <c r="G206" s="62" t="str">
        <f t="shared" si="1"/>
        <v>0.1134289257e-3</v>
      </c>
      <c r="H206" s="62">
        <f t="shared" si="2"/>
        <v>0.0001134289257</v>
      </c>
      <c r="I206" s="62" t="str">
        <f t="shared" si="3"/>
        <v>0.0000000025e-3</v>
      </c>
      <c r="J206" s="62">
        <f t="shared" si="4"/>
        <v>0</v>
      </c>
      <c r="K206" s="62" t="b">
        <f t="shared" si="5"/>
        <v>0</v>
      </c>
      <c r="L206" s="62" t="b">
        <f t="shared" si="6"/>
        <v>0</v>
      </c>
      <c r="M206" s="60" t="str">
        <f>IFERROR(__xludf.DUMMYFUNCTION("if(regexmatch(B206,""e(.*)$""),regexextract(B206,""e(.*)$""),"""")"),"-3")</f>
        <v>-3</v>
      </c>
    </row>
    <row r="207">
      <c r="A207" s="17" t="s">
        <v>2381</v>
      </c>
      <c r="B207" s="17" t="s">
        <v>3794</v>
      </c>
      <c r="C207" s="17" t="s">
        <v>2369</v>
      </c>
      <c r="E207" s="60" t="str">
        <f>VLOOKUP($A207,nist_names_ids!A:B,2,false)</f>
        <v>mmusmn</v>
      </c>
      <c r="F207" s="61">
        <f>countif(Constants!A:A,E207)</f>
        <v>1</v>
      </c>
      <c r="G207" s="62" t="str">
        <f t="shared" si="1"/>
        <v>0.1124545167</v>
      </c>
      <c r="H207" s="62">
        <f t="shared" si="2"/>
        <v>0.1124545167</v>
      </c>
      <c r="I207" s="62" t="str">
        <f t="shared" si="3"/>
        <v>0.0000000025</v>
      </c>
      <c r="J207" s="62">
        <f t="shared" si="4"/>
        <v>0.0000000025</v>
      </c>
      <c r="K207" s="62" t="b">
        <f t="shared" si="5"/>
        <v>0</v>
      </c>
      <c r="L207" s="62" t="b">
        <f t="shared" si="6"/>
        <v>0</v>
      </c>
      <c r="M207" s="60" t="str">
        <f>IFERROR(__xludf.DUMMYFUNCTION("if(regexmatch(B207,""e(.*)$""),regexextract(B207,""e(.*)$""),"""")"),"")</f>
        <v/>
      </c>
    </row>
    <row r="208">
      <c r="A208" s="17" t="s">
        <v>2385</v>
      </c>
      <c r="B208" s="17" t="s">
        <v>3272</v>
      </c>
      <c r="C208" s="17" t="s">
        <v>2387</v>
      </c>
      <c r="E208" s="60" t="str">
        <f>VLOOKUP($A208,nist_names_ids!A:B,2,false)</f>
        <v>mumumsmup</v>
      </c>
      <c r="F208" s="61">
        <f>countif(Constants!A:A,E208)</f>
        <v>1</v>
      </c>
      <c r="G208" s="62" t="str">
        <f t="shared" si="1"/>
        <v>-3.183345142</v>
      </c>
      <c r="H208" s="62">
        <f t="shared" si="2"/>
        <v>-3.183345142</v>
      </c>
      <c r="I208" s="62" t="str">
        <f t="shared" si="3"/>
        <v>0.000000071</v>
      </c>
      <c r="J208" s="62">
        <f t="shared" si="4"/>
        <v>0.000000071</v>
      </c>
      <c r="K208" s="62" t="b">
        <f t="shared" si="5"/>
        <v>0</v>
      </c>
      <c r="L208" s="62" t="b">
        <f t="shared" si="6"/>
        <v>0</v>
      </c>
      <c r="M208" s="60" t="str">
        <f>IFERROR(__xludf.DUMMYFUNCTION("if(regexmatch(B208,""e(.*)$""),regexextract(B208,""e(.*)$""),"""")"),"")</f>
        <v/>
      </c>
    </row>
    <row r="209">
      <c r="A209" s="17" t="s">
        <v>2388</v>
      </c>
      <c r="B209" s="17" t="s">
        <v>3804</v>
      </c>
      <c r="C209" s="17" t="s">
        <v>2369</v>
      </c>
      <c r="E209" s="60" t="str">
        <f>VLOOKUP($A209,nist_names_ids!A:B,2,false)</f>
        <v>mmusmp</v>
      </c>
      <c r="F209" s="61">
        <f>countif(Constants!A:A,E209)</f>
        <v>1</v>
      </c>
      <c r="G209" s="62" t="str">
        <f t="shared" si="1"/>
        <v>0.1126095262</v>
      </c>
      <c r="H209" s="62">
        <f t="shared" si="2"/>
        <v>0.1126095262</v>
      </c>
      <c r="I209" s="62" t="str">
        <f t="shared" si="3"/>
        <v>0.0000000025</v>
      </c>
      <c r="J209" s="62">
        <f t="shared" si="4"/>
        <v>0.0000000025</v>
      </c>
      <c r="K209" s="62" t="b">
        <f t="shared" si="5"/>
        <v>0</v>
      </c>
      <c r="L209" s="62" t="b">
        <f t="shared" si="6"/>
        <v>0</v>
      </c>
      <c r="M209" s="60" t="str">
        <f>IFERROR(__xludf.DUMMYFUNCTION("if(regexmatch(B209,""e(.*)$""),regexextract(B209,""e(.*)$""),"""")"),"")</f>
        <v/>
      </c>
    </row>
    <row r="210">
      <c r="A210" s="17" t="s">
        <v>2392</v>
      </c>
      <c r="B210" s="17" t="s">
        <v>3807</v>
      </c>
      <c r="C210" s="17" t="s">
        <v>3808</v>
      </c>
      <c r="E210" s="60" t="str">
        <f>VLOOKUP($A210,nist_names_ids!A:B,2,false)</f>
        <v>mmusmtau</v>
      </c>
      <c r="F210" s="61">
        <f>countif(Constants!A:A,E210)</f>
        <v>1</v>
      </c>
      <c r="G210" s="62" t="str">
        <f t="shared" si="1"/>
        <v>5.94649e-2</v>
      </c>
      <c r="H210" s="62">
        <f t="shared" si="2"/>
        <v>0.0594649</v>
      </c>
      <c r="I210" s="62" t="str">
        <f t="shared" si="3"/>
        <v>0.00054e-2</v>
      </c>
      <c r="J210" s="62">
        <f t="shared" si="4"/>
        <v>0.0000054</v>
      </c>
      <c r="K210" s="62" t="b">
        <f t="shared" si="5"/>
        <v>0</v>
      </c>
      <c r="L210" s="62" t="b">
        <f t="shared" si="6"/>
        <v>0</v>
      </c>
      <c r="M210" s="60" t="str">
        <f>IFERROR(__xludf.DUMMYFUNCTION("if(regexmatch(B210,""e(.*)$""),regexextract(B210,""e(.*)$""),"""")"),"-2")</f>
        <v>-2</v>
      </c>
    </row>
    <row r="211">
      <c r="A211" s="17" t="s">
        <v>2399</v>
      </c>
      <c r="B211" s="17" t="s">
        <v>3134</v>
      </c>
      <c r="C211" s="17" t="s">
        <v>3135</v>
      </c>
      <c r="D211" s="17" t="s">
        <v>714</v>
      </c>
      <c r="E211" s="60" t="str">
        <f>VLOOKUP($A211,nist_names_ids!A:B,2,false)</f>
        <v>thbar</v>
      </c>
      <c r="F211" s="61">
        <f>countif(Constants!A:A,E211)</f>
        <v>1</v>
      </c>
      <c r="G211" s="62" t="str">
        <f t="shared" si="1"/>
        <v>1.054571800e-34</v>
      </c>
      <c r="H211" s="62">
        <f t="shared" si="2"/>
        <v>0</v>
      </c>
      <c r="I211" s="62" t="str">
        <f t="shared" si="3"/>
        <v>0.000000013e-34</v>
      </c>
      <c r="J211" s="62">
        <f t="shared" si="4"/>
        <v>0</v>
      </c>
      <c r="K211" s="62" t="b">
        <f t="shared" si="5"/>
        <v>0</v>
      </c>
      <c r="L211" s="62" t="b">
        <f t="shared" si="6"/>
        <v>0</v>
      </c>
      <c r="M211" s="60" t="str">
        <f>IFERROR(__xludf.DUMMYFUNCTION("if(regexmatch(B211,""e(.*)$""),regexextract(B211,""e(.*)$""),"""")"),"-34")</f>
        <v>-34</v>
      </c>
    </row>
    <row r="212">
      <c r="A212" s="17" t="s">
        <v>2400</v>
      </c>
      <c r="B212" s="17" t="s">
        <v>3813</v>
      </c>
      <c r="C212" s="17" t="s">
        <v>3814</v>
      </c>
      <c r="D212" s="17" t="s">
        <v>2402</v>
      </c>
      <c r="E212" s="60" t="str">
        <f>VLOOKUP($A212,nist_names_ids!A:B,2,false)</f>
        <v>thbarev</v>
      </c>
      <c r="F212" s="61">
        <f>countif(Constants!A:A,E212)</f>
        <v>1</v>
      </c>
      <c r="G212" s="62" t="str">
        <f t="shared" si="1"/>
        <v>6.582119514e-16</v>
      </c>
      <c r="H212" s="62">
        <f t="shared" si="2"/>
        <v>0</v>
      </c>
      <c r="I212" s="62" t="str">
        <f t="shared" si="3"/>
        <v>0.000000040e-16</v>
      </c>
      <c r="J212" s="62">
        <f t="shared" si="4"/>
        <v>0</v>
      </c>
      <c r="K212" s="62" t="b">
        <f t="shared" si="5"/>
        <v>0</v>
      </c>
      <c r="L212" s="62" t="b">
        <f t="shared" si="6"/>
        <v>0</v>
      </c>
      <c r="M212" s="60" t="str">
        <f>IFERROR(__xludf.DUMMYFUNCTION("if(regexmatch(B212,""e(.*)$""),regexextract(B212,""e(.*)$""),"""")"),"-16")</f>
        <v>-16</v>
      </c>
    </row>
    <row r="213">
      <c r="A213" s="17" t="s">
        <v>2405</v>
      </c>
      <c r="B213" s="17" t="s">
        <v>3413</v>
      </c>
      <c r="C213" s="17" t="s">
        <v>3414</v>
      </c>
      <c r="D213" s="17" t="s">
        <v>173</v>
      </c>
      <c r="E213" s="60" t="str">
        <f>VLOOKUP($A213,nist_names_ids!A:B,2,false)</f>
        <v>tmec2</v>
      </c>
      <c r="F213" s="61">
        <f>countif(Constants!A:A,E213)</f>
        <v>1</v>
      </c>
      <c r="G213" s="62" t="str">
        <f t="shared" si="1"/>
        <v>8.18710565e-14</v>
      </c>
      <c r="H213" s="62">
        <f t="shared" si="2"/>
        <v>0</v>
      </c>
      <c r="I213" s="62" t="str">
        <f t="shared" si="3"/>
        <v>0.00000010e-14</v>
      </c>
      <c r="J213" s="62">
        <f t="shared" si="4"/>
        <v>0</v>
      </c>
      <c r="K213" s="62" t="b">
        <f t="shared" si="5"/>
        <v>0</v>
      </c>
      <c r="L213" s="62" t="b">
        <f t="shared" si="6"/>
        <v>0</v>
      </c>
      <c r="M213" s="60" t="str">
        <f>IFERROR(__xludf.DUMMYFUNCTION("if(regexmatch(B213,""e(.*)$""),regexextract(B213,""e(.*)$""),"""")"),"-14")</f>
        <v>-14</v>
      </c>
    </row>
    <row r="214">
      <c r="A214" s="17" t="s">
        <v>2409</v>
      </c>
      <c r="B214" s="17" t="s">
        <v>3418</v>
      </c>
      <c r="C214" s="17" t="s">
        <v>2840</v>
      </c>
      <c r="D214" s="17" t="s">
        <v>224</v>
      </c>
      <c r="E214" s="60" t="str">
        <f>VLOOKUP($A214,nist_names_ids!A:B,2,false)</f>
        <v>tmec2mev</v>
      </c>
      <c r="F214" s="61">
        <f>countif(Constants!A:A,E214)</f>
        <v>1</v>
      </c>
      <c r="G214" s="62" t="str">
        <f t="shared" si="1"/>
        <v>0.5109989461</v>
      </c>
      <c r="H214" s="62">
        <f t="shared" si="2"/>
        <v>0.5109989461</v>
      </c>
      <c r="I214" s="62" t="str">
        <f t="shared" si="3"/>
        <v>0.0000000031</v>
      </c>
      <c r="J214" s="62">
        <f t="shared" si="4"/>
        <v>0.0000000031</v>
      </c>
      <c r="K214" s="62" t="b">
        <f t="shared" si="5"/>
        <v>0</v>
      </c>
      <c r="L214" s="62" t="b">
        <f t="shared" si="6"/>
        <v>0</v>
      </c>
      <c r="M214" s="60" t="str">
        <f>IFERROR(__xludf.DUMMYFUNCTION("if(regexmatch(B214,""e(.*)$""),regexextract(B214,""e(.*)$""),"""")"),"")</f>
        <v/>
      </c>
    </row>
    <row r="215">
      <c r="A215" s="17" t="s">
        <v>2410</v>
      </c>
      <c r="B215" s="17" t="s">
        <v>3283</v>
      </c>
      <c r="C215" s="17" t="s">
        <v>3284</v>
      </c>
      <c r="D215" s="17" t="s">
        <v>381</v>
      </c>
      <c r="E215" s="60" t="str">
        <f>VLOOKUP($A215,nist_names_ids!A:B,2,false)</f>
        <v>tecomwlbar</v>
      </c>
      <c r="F215" s="61">
        <f>countif(Constants!A:A,E215)</f>
        <v>1</v>
      </c>
      <c r="G215" s="62" t="str">
        <f t="shared" si="1"/>
        <v>386.15926764e-15</v>
      </c>
      <c r="H215" s="62">
        <f t="shared" si="2"/>
        <v>0</v>
      </c>
      <c r="I215" s="62" t="str">
        <f t="shared" si="3"/>
        <v>0.00000018e-15</v>
      </c>
      <c r="J215" s="62">
        <f t="shared" si="4"/>
        <v>0</v>
      </c>
      <c r="K215" s="62" t="b">
        <f t="shared" si="5"/>
        <v>0</v>
      </c>
      <c r="L215" s="62" t="b">
        <f t="shared" si="6"/>
        <v>0</v>
      </c>
      <c r="M215" s="60" t="str">
        <f>IFERROR(__xludf.DUMMYFUNCTION("if(regexmatch(B215,""e(.*)$""),regexextract(B215,""e(.*)$""),"""")"),"-15")</f>
        <v>-15</v>
      </c>
    </row>
    <row r="216">
      <c r="A216" s="17" t="s">
        <v>2414</v>
      </c>
      <c r="B216" s="17" t="s">
        <v>3204</v>
      </c>
      <c r="C216" s="17" t="s">
        <v>3205</v>
      </c>
      <c r="D216" s="17" t="s">
        <v>98</v>
      </c>
      <c r="E216" s="60" t="str">
        <f>VLOOKUP($A216,nist_names_ids!A:B,2,false)</f>
        <v>tme</v>
      </c>
      <c r="F216" s="61">
        <f>countif(Constants!A:A,E216)</f>
        <v>1</v>
      </c>
      <c r="G216" s="62" t="str">
        <f t="shared" si="1"/>
        <v>9.10938356e-31</v>
      </c>
      <c r="H216" s="62">
        <f t="shared" si="2"/>
        <v>0</v>
      </c>
      <c r="I216" s="62" t="str">
        <f t="shared" si="3"/>
        <v>0.00000011e-31</v>
      </c>
      <c r="J216" s="62">
        <f t="shared" si="4"/>
        <v>0</v>
      </c>
      <c r="K216" s="62" t="b">
        <f t="shared" si="5"/>
        <v>0</v>
      </c>
      <c r="L216" s="62" t="b">
        <f t="shared" si="6"/>
        <v>0</v>
      </c>
      <c r="M216" s="60" t="str">
        <f>IFERROR(__xludf.DUMMYFUNCTION("if(regexmatch(B216,""e(.*)$""),regexextract(B216,""e(.*)$""),"""")"),"-31")</f>
        <v>-31</v>
      </c>
    </row>
    <row r="217">
      <c r="A217" s="17" t="s">
        <v>3831</v>
      </c>
      <c r="B217" s="17" t="s">
        <v>3832</v>
      </c>
      <c r="C217" s="17" t="s">
        <v>3833</v>
      </c>
      <c r="D217" s="17" t="s">
        <v>1058</v>
      </c>
      <c r="E217" s="60" t="str">
        <f>VLOOKUP($A217,nist_names_ids!A:B,2,false)</f>
        <v>mec</v>
      </c>
      <c r="F217" s="61">
        <f>countif(Constants!A:A,E217)</f>
        <v>1</v>
      </c>
      <c r="G217" s="62" t="str">
        <f t="shared" si="1"/>
        <v>2.730924488e-22</v>
      </c>
      <c r="H217" s="62">
        <f t="shared" si="2"/>
        <v>0</v>
      </c>
      <c r="I217" s="62" t="str">
        <f t="shared" si="3"/>
        <v>0.000000034e-22</v>
      </c>
      <c r="J217" s="62">
        <f t="shared" si="4"/>
        <v>0</v>
      </c>
      <c r="K217" s="62" t="b">
        <f t="shared" si="5"/>
        <v>0</v>
      </c>
      <c r="L217" s="62" t="b">
        <f t="shared" si="6"/>
        <v>0</v>
      </c>
      <c r="M217" s="60" t="str">
        <f>IFERROR(__xludf.DUMMYFUNCTION("if(regexmatch(B217,""e(.*)$""),regexextract(B217,""e(.*)$""),"""")"),"-22")</f>
        <v>-22</v>
      </c>
    </row>
    <row r="218">
      <c r="A218" s="17" t="s">
        <v>3835</v>
      </c>
      <c r="B218" s="17" t="s">
        <v>3418</v>
      </c>
      <c r="C218" s="17" t="s">
        <v>2840</v>
      </c>
      <c r="D218" s="17" t="s">
        <v>2425</v>
      </c>
      <c r="E218" s="60" t="str">
        <f>VLOOKUP($A218,nist_names_ids!A:B,2,false)</f>
        <v>mecmevsc</v>
      </c>
      <c r="F218" s="61">
        <f>countif(Constants!A:A,E218)</f>
        <v>1</v>
      </c>
      <c r="G218" s="62" t="str">
        <f t="shared" si="1"/>
        <v>0.5109989461</v>
      </c>
      <c r="H218" s="62">
        <f t="shared" si="2"/>
        <v>0.5109989461</v>
      </c>
      <c r="I218" s="62" t="str">
        <f t="shared" si="3"/>
        <v>0.0000000031</v>
      </c>
      <c r="J218" s="62">
        <f t="shared" si="4"/>
        <v>0.0000000031</v>
      </c>
      <c r="K218" s="62" t="b">
        <f t="shared" si="5"/>
        <v>0</v>
      </c>
      <c r="L218" s="62" t="b">
        <f t="shared" si="6"/>
        <v>0</v>
      </c>
      <c r="M218" s="60" t="str">
        <f>IFERROR(__xludf.DUMMYFUNCTION("if(regexmatch(B218,""e(.*)$""),regexextract(B218,""e(.*)$""),"""")"),"")</f>
        <v/>
      </c>
    </row>
    <row r="219">
      <c r="A219" s="17" t="s">
        <v>2427</v>
      </c>
      <c r="B219" s="17" t="s">
        <v>3838</v>
      </c>
      <c r="C219" s="17" t="s">
        <v>3839</v>
      </c>
      <c r="D219" s="17" t="s">
        <v>520</v>
      </c>
      <c r="E219" s="60" t="str">
        <f>VLOOKUP($A219,nist_names_ids!A:B,2,false)</f>
        <v>nut</v>
      </c>
      <c r="F219" s="61">
        <f>countif(Constants!A:A,E219)</f>
        <v>1</v>
      </c>
      <c r="G219" s="62" t="str">
        <f t="shared" si="1"/>
        <v>1.28808866712e-21</v>
      </c>
      <c r="H219" s="62">
        <f t="shared" si="2"/>
        <v>0</v>
      </c>
      <c r="I219" s="62" t="str">
        <f t="shared" si="3"/>
        <v>0.00000000058e-21</v>
      </c>
      <c r="J219" s="62">
        <f t="shared" si="4"/>
        <v>0</v>
      </c>
      <c r="K219" s="62" t="b">
        <f t="shared" si="5"/>
        <v>0</v>
      </c>
      <c r="L219" s="62" t="b">
        <f t="shared" si="6"/>
        <v>0</v>
      </c>
      <c r="M219" s="60" t="str">
        <f>IFERROR(__xludf.DUMMYFUNCTION("if(regexmatch(B219,""e(.*)$""),regexextract(B219,""e(.*)$""),"""")"),"-21")</f>
        <v>-21</v>
      </c>
    </row>
    <row r="220">
      <c r="A220" s="17" t="s">
        <v>2433</v>
      </c>
      <c r="B220" s="17" t="s">
        <v>3106</v>
      </c>
      <c r="C220" s="17" t="s">
        <v>1501</v>
      </c>
      <c r="D220" s="17" t="s">
        <v>1109</v>
      </c>
      <c r="E220" s="60" t="str">
        <f>VLOOKUP($A220,nist_names_ids!A:B,2,false)</f>
        <v>tc</v>
      </c>
      <c r="F220" s="61">
        <f>countif(Constants!A:A,E220)</f>
        <v>1</v>
      </c>
      <c r="G220" s="62" t="str">
        <f t="shared" si="1"/>
        <v>299792458</v>
      </c>
      <c r="H220" s="62">
        <f t="shared" si="2"/>
        <v>299792458</v>
      </c>
      <c r="I220" s="62" t="str">
        <f t="shared" si="3"/>
        <v>(exact)</v>
      </c>
      <c r="J220" s="62" t="str">
        <f t="shared" si="4"/>
        <v/>
      </c>
      <c r="K220" s="62" t="b">
        <f t="shared" si="5"/>
        <v>1</v>
      </c>
      <c r="L220" s="62" t="b">
        <f t="shared" si="6"/>
        <v>0</v>
      </c>
      <c r="M220" s="60" t="str">
        <f>IFERROR(__xludf.DUMMYFUNCTION("if(regexmatch(B220,""e(.*)$""),regexextract(B220,""e(.*)$""),"""")"),"")</f>
        <v/>
      </c>
    </row>
    <row r="221">
      <c r="A221" s="17" t="s">
        <v>2439</v>
      </c>
      <c r="B221" s="17" t="s">
        <v>3845</v>
      </c>
      <c r="C221" s="17" t="s">
        <v>3846</v>
      </c>
      <c r="D221" s="17" t="s">
        <v>381</v>
      </c>
      <c r="E221" s="60" t="str">
        <f>VLOOKUP($A221,nist_names_ids!A:B,2,false)</f>
        <v>ncomwl</v>
      </c>
      <c r="F221" s="61">
        <f>countif(Constants!A:A,E221)</f>
        <v>1</v>
      </c>
      <c r="G221" s="62" t="str">
        <f t="shared" si="1"/>
        <v>1.31959090481e-15</v>
      </c>
      <c r="H221" s="62">
        <f t="shared" si="2"/>
        <v>0</v>
      </c>
      <c r="I221" s="62" t="str">
        <f t="shared" si="3"/>
        <v>0.00000000088e-15</v>
      </c>
      <c r="J221" s="62">
        <f t="shared" si="4"/>
        <v>0</v>
      </c>
      <c r="K221" s="62" t="b">
        <f t="shared" si="5"/>
        <v>0</v>
      </c>
      <c r="L221" s="62" t="b">
        <f t="shared" si="6"/>
        <v>0</v>
      </c>
      <c r="M221" s="60" t="str">
        <f>IFERROR(__xludf.DUMMYFUNCTION("if(regexmatch(B221,""e(.*)$""),regexextract(B221,""e(.*)$""),"""")"),"-15")</f>
        <v>-15</v>
      </c>
    </row>
    <row r="222">
      <c r="A222" s="17" t="s">
        <v>3674</v>
      </c>
      <c r="B222" s="17" t="s">
        <v>3850</v>
      </c>
      <c r="C222" s="17" t="s">
        <v>3852</v>
      </c>
      <c r="D222" s="17" t="s">
        <v>381</v>
      </c>
      <c r="E222" s="60" t="str">
        <f>VLOOKUP($A222,nist_names_ids!A:B,2,false)</f>
        <v>ncomwlbar</v>
      </c>
      <c r="F222" s="61">
        <f>countif(Constants!A:A,E222)</f>
        <v>1</v>
      </c>
      <c r="G222" s="62" t="str">
        <f t="shared" si="1"/>
        <v>0.21001941536e-15</v>
      </c>
      <c r="H222" s="62">
        <f t="shared" si="2"/>
        <v>0</v>
      </c>
      <c r="I222" s="62" t="str">
        <f t="shared" si="3"/>
        <v>0.00000000014e-15</v>
      </c>
      <c r="J222" s="62">
        <f t="shared" si="4"/>
        <v>0</v>
      </c>
      <c r="K222" s="62" t="b">
        <f t="shared" si="5"/>
        <v>0</v>
      </c>
      <c r="L222" s="62" t="b">
        <f t="shared" si="6"/>
        <v>0</v>
      </c>
      <c r="M222" s="60" t="str">
        <f>IFERROR(__xludf.DUMMYFUNCTION("if(regexmatch(B222,""e(.*)$""),regexextract(B222,""e(.*)$""),"""")"),"-15")</f>
        <v>-15</v>
      </c>
    </row>
    <row r="223">
      <c r="A223" s="17" t="s">
        <v>2443</v>
      </c>
      <c r="B223" s="17" t="s">
        <v>3302</v>
      </c>
      <c r="C223" s="17" t="s">
        <v>2476</v>
      </c>
      <c r="E223" s="60" t="str">
        <f>VLOOKUP($A223,nist_names_ids!A:B,2,false)</f>
        <v>munsmue</v>
      </c>
      <c r="F223" s="61">
        <f>countif(Constants!A:A,E223)</f>
        <v>1</v>
      </c>
      <c r="G223" s="62" t="str">
        <f t="shared" si="1"/>
        <v>1.04066882e-3</v>
      </c>
      <c r="H223" s="62">
        <f t="shared" si="2"/>
        <v>0.00104066882</v>
      </c>
      <c r="I223" s="62" t="str">
        <f t="shared" si="3"/>
        <v>0.00000025e-3</v>
      </c>
      <c r="J223" s="62">
        <f t="shared" si="4"/>
        <v>0.00000000025</v>
      </c>
      <c r="K223" s="62" t="b">
        <f t="shared" si="5"/>
        <v>0</v>
      </c>
      <c r="L223" s="62" t="b">
        <f t="shared" si="6"/>
        <v>0</v>
      </c>
      <c r="M223" s="60" t="str">
        <f>IFERROR(__xludf.DUMMYFUNCTION("if(regexmatch(B223,""e(.*)$""),regexextract(B223,""e(.*)$""),"""")"),"-3")</f>
        <v>-3</v>
      </c>
    </row>
    <row r="224">
      <c r="A224" s="17" t="s">
        <v>2448</v>
      </c>
      <c r="B224" s="17" t="s">
        <v>3860</v>
      </c>
      <c r="C224" s="17" t="s">
        <v>2456</v>
      </c>
      <c r="E224" s="60" t="str">
        <f>VLOOKUP($A224,nist_names_ids!A:B,2,false)</f>
        <v>mnsme</v>
      </c>
      <c r="F224" s="61">
        <f>countif(Constants!A:A,E224)</f>
        <v>1</v>
      </c>
      <c r="G224" s="62" t="str">
        <f t="shared" si="1"/>
        <v>1838.68366158</v>
      </c>
      <c r="H224" s="62">
        <f t="shared" si="2"/>
        <v>1838.683662</v>
      </c>
      <c r="I224" s="62" t="str">
        <f t="shared" si="3"/>
        <v>0.00000090</v>
      </c>
      <c r="J224" s="62">
        <f t="shared" si="4"/>
        <v>0.0000009</v>
      </c>
      <c r="K224" s="62" t="b">
        <f t="shared" si="5"/>
        <v>0</v>
      </c>
      <c r="L224" s="62" t="b">
        <f t="shared" si="6"/>
        <v>0</v>
      </c>
      <c r="M224" s="60" t="str">
        <f>IFERROR(__xludf.DUMMYFUNCTION("if(regexmatch(B224,""e(.*)$""),regexextract(B224,""e(.*)$""),"""")"),"")</f>
        <v/>
      </c>
    </row>
    <row r="225">
      <c r="A225" s="17" t="s">
        <v>2454</v>
      </c>
      <c r="B225" s="17" t="s">
        <v>3313</v>
      </c>
      <c r="C225" s="17" t="s">
        <v>2456</v>
      </c>
      <c r="E225" s="60" t="str">
        <f>VLOOKUP($A225,nist_names_ids!A:B,2,false)</f>
        <v>gnn</v>
      </c>
      <c r="F225" s="61">
        <f>countif(Constants!A:A,E225)</f>
        <v>1</v>
      </c>
      <c r="G225" s="62" t="str">
        <f t="shared" si="1"/>
        <v>-3.82608545</v>
      </c>
      <c r="H225" s="62">
        <f t="shared" si="2"/>
        <v>-3.82608545</v>
      </c>
      <c r="I225" s="62" t="str">
        <f t="shared" si="3"/>
        <v>0.00000090</v>
      </c>
      <c r="J225" s="62">
        <f t="shared" si="4"/>
        <v>0.0000009</v>
      </c>
      <c r="K225" s="62" t="b">
        <f t="shared" si="5"/>
        <v>0</v>
      </c>
      <c r="L225" s="62" t="b">
        <f t="shared" si="6"/>
        <v>0</v>
      </c>
      <c r="M225" s="60" t="str">
        <f>IFERROR(__xludf.DUMMYFUNCTION("if(regexmatch(B225,""e(.*)$""),regexextract(B225,""e(.*)$""),"""")"),"")</f>
        <v/>
      </c>
    </row>
    <row r="226">
      <c r="A226" s="17" t="s">
        <v>2459</v>
      </c>
      <c r="B226" s="17" t="s">
        <v>3869</v>
      </c>
      <c r="C226" s="17" t="s">
        <v>2461</v>
      </c>
      <c r="D226" s="17" t="s">
        <v>1717</v>
      </c>
      <c r="E226" s="60" t="str">
        <f>VLOOKUP($A226,nist_names_ids!A:B,2,false)</f>
        <v>gamman</v>
      </c>
      <c r="F226" s="61">
        <f>countif(Constants!A:A,E226)</f>
        <v>1</v>
      </c>
      <c r="G226" s="62" t="str">
        <f t="shared" si="1"/>
        <v>1.83247172e8</v>
      </c>
      <c r="H226" s="62">
        <f t="shared" si="2"/>
        <v>183247172</v>
      </c>
      <c r="I226" s="62" t="str">
        <f t="shared" si="3"/>
        <v>0.00000043e8</v>
      </c>
      <c r="J226" s="62">
        <f t="shared" si="4"/>
        <v>43</v>
      </c>
      <c r="K226" s="62" t="b">
        <f t="shared" si="5"/>
        <v>0</v>
      </c>
      <c r="L226" s="62" t="b">
        <f t="shared" si="6"/>
        <v>0</v>
      </c>
      <c r="M226" s="60" t="str">
        <f>IFERROR(__xludf.DUMMYFUNCTION("if(regexmatch(B226,""e(.*)$""),regexextract(B226,""e(.*)$""),"""")"),"8")</f>
        <v>8</v>
      </c>
    </row>
    <row r="227">
      <c r="A227" s="17" t="s">
        <v>3715</v>
      </c>
      <c r="B227" s="17" t="s">
        <v>3872</v>
      </c>
      <c r="C227" s="17" t="s">
        <v>2466</v>
      </c>
      <c r="D227" s="17" t="s">
        <v>1733</v>
      </c>
      <c r="E227" s="60" t="str">
        <f>VLOOKUP($A227,nist_names_ids!A:B,2,false)</f>
        <v>gammanbar</v>
      </c>
      <c r="F227" s="61">
        <f>countif(Constants!A:A,E227)</f>
        <v>1</v>
      </c>
      <c r="G227" s="62" t="str">
        <f t="shared" si="1"/>
        <v>29.1646933</v>
      </c>
      <c r="H227" s="62">
        <f t="shared" si="2"/>
        <v>29.1646933</v>
      </c>
      <c r="I227" s="62" t="str">
        <f t="shared" si="3"/>
        <v>0.0000069</v>
      </c>
      <c r="J227" s="62">
        <f t="shared" si="4"/>
        <v>0.0000069</v>
      </c>
      <c r="K227" s="62" t="b">
        <f t="shared" si="5"/>
        <v>0</v>
      </c>
      <c r="L227" s="62" t="b">
        <f t="shared" si="6"/>
        <v>0</v>
      </c>
      <c r="M227" s="60" t="str">
        <f>IFERROR(__xludf.DUMMYFUNCTION("if(regexmatch(B227,""e(.*)$""),regexextract(B227,""e(.*)$""),"""")"),"")</f>
        <v/>
      </c>
    </row>
    <row r="228">
      <c r="A228" s="17" t="s">
        <v>2469</v>
      </c>
      <c r="B228" s="17" t="s">
        <v>3879</v>
      </c>
      <c r="C228" s="17" t="s">
        <v>3880</v>
      </c>
      <c r="D228" s="17" t="s">
        <v>964</v>
      </c>
      <c r="E228" s="60" t="str">
        <f>VLOOKUP($A228,nist_names_ids!A:B,2,false)</f>
        <v>munn</v>
      </c>
      <c r="F228" s="61">
        <f>countif(Constants!A:A,E228)</f>
        <v>1</v>
      </c>
      <c r="G228" s="62" t="str">
        <f t="shared" si="1"/>
        <v>-0.96623650e-26</v>
      </c>
      <c r="H228" s="62">
        <f t="shared" si="2"/>
        <v>0</v>
      </c>
      <c r="I228" s="62" t="str">
        <f t="shared" si="3"/>
        <v>0.00000023e-26</v>
      </c>
      <c r="J228" s="62">
        <f t="shared" si="4"/>
        <v>0</v>
      </c>
      <c r="K228" s="62" t="b">
        <f t="shared" si="5"/>
        <v>0</v>
      </c>
      <c r="L228" s="62" t="b">
        <f t="shared" si="6"/>
        <v>0</v>
      </c>
      <c r="M228" s="60" t="str">
        <f>IFERROR(__xludf.DUMMYFUNCTION("if(regexmatch(B228,""e(.*)$""),regexextract(B228,""e(.*)$""),"""")"),"-26")</f>
        <v>-26</v>
      </c>
    </row>
    <row r="229">
      <c r="A229" s="17" t="s">
        <v>2473</v>
      </c>
      <c r="B229" s="17" t="s">
        <v>3322</v>
      </c>
      <c r="C229" s="17" t="s">
        <v>2476</v>
      </c>
      <c r="E229" s="60" t="str">
        <f>VLOOKUP($A229,nist_names_ids!A:B,2,false)</f>
        <v>munsmub</v>
      </c>
      <c r="F229" s="61">
        <f>countif(Constants!A:A,E229)</f>
        <v>1</v>
      </c>
      <c r="G229" s="62" t="str">
        <f t="shared" si="1"/>
        <v>-1.04187563e-3</v>
      </c>
      <c r="H229" s="62">
        <f t="shared" si="2"/>
        <v>-0.00104187563</v>
      </c>
      <c r="I229" s="62" t="str">
        <f t="shared" si="3"/>
        <v>0.00000025e-3</v>
      </c>
      <c r="J229" s="62">
        <f t="shared" si="4"/>
        <v>0.00000000025</v>
      </c>
      <c r="K229" s="62" t="b">
        <f t="shared" si="5"/>
        <v>0</v>
      </c>
      <c r="L229" s="62" t="b">
        <f t="shared" si="6"/>
        <v>0</v>
      </c>
      <c r="M229" s="60" t="str">
        <f>IFERROR(__xludf.DUMMYFUNCTION("if(regexmatch(B229,""e(.*)$""),regexextract(B229,""e(.*)$""),"""")"),"-3")</f>
        <v>-3</v>
      </c>
    </row>
    <row r="230">
      <c r="A230" s="17" t="s">
        <v>2478</v>
      </c>
      <c r="B230" s="17" t="s">
        <v>3329</v>
      </c>
      <c r="C230" s="17" t="s">
        <v>2482</v>
      </c>
      <c r="E230" s="60" t="str">
        <f>VLOOKUP($A230,nist_names_ids!A:B,2,false)</f>
        <v>munsmun</v>
      </c>
      <c r="F230" s="61">
        <f>countif(Constants!A:A,E230)</f>
        <v>1</v>
      </c>
      <c r="G230" s="62" t="str">
        <f t="shared" si="1"/>
        <v>-1.91304273</v>
      </c>
      <c r="H230" s="62">
        <f t="shared" si="2"/>
        <v>-1.91304273</v>
      </c>
      <c r="I230" s="62" t="str">
        <f t="shared" si="3"/>
        <v>0.00000045</v>
      </c>
      <c r="J230" s="62">
        <f t="shared" si="4"/>
        <v>0.00000045</v>
      </c>
      <c r="K230" s="62" t="b">
        <f t="shared" si="5"/>
        <v>0</v>
      </c>
      <c r="L230" s="62" t="b">
        <f t="shared" si="6"/>
        <v>0</v>
      </c>
      <c r="M230" s="60" t="str">
        <f>IFERROR(__xludf.DUMMYFUNCTION("if(regexmatch(B230,""e(.*)$""),regexextract(B230,""e(.*)$""),"""")"),"")</f>
        <v/>
      </c>
    </row>
    <row r="231">
      <c r="A231" s="17" t="s">
        <v>2483</v>
      </c>
      <c r="B231" s="17" t="s">
        <v>3891</v>
      </c>
      <c r="C231" s="17" t="s">
        <v>3893</v>
      </c>
      <c r="D231" s="17" t="s">
        <v>98</v>
      </c>
      <c r="E231" s="60" t="str">
        <f>VLOOKUP($A231,nist_names_ids!A:B,2,false)</f>
        <v>mn</v>
      </c>
      <c r="F231" s="61">
        <f>countif(Constants!A:A,E231)</f>
        <v>1</v>
      </c>
      <c r="G231" s="62" t="str">
        <f t="shared" si="1"/>
        <v>1.674927471e-27</v>
      </c>
      <c r="H231" s="62">
        <f t="shared" si="2"/>
        <v>0</v>
      </c>
      <c r="I231" s="62" t="str">
        <f t="shared" si="3"/>
        <v>0.000000021e-27</v>
      </c>
      <c r="J231" s="62">
        <f t="shared" si="4"/>
        <v>0</v>
      </c>
      <c r="K231" s="62" t="b">
        <f t="shared" si="5"/>
        <v>0</v>
      </c>
      <c r="L231" s="62" t="b">
        <f t="shared" si="6"/>
        <v>0</v>
      </c>
      <c r="M231" s="60" t="str">
        <f>IFERROR(__xludf.DUMMYFUNCTION("if(regexmatch(B231,""e(.*)$""),regexextract(B231,""e(.*)$""),"""")"),"-27")</f>
        <v>-27</v>
      </c>
    </row>
    <row r="232">
      <c r="A232" s="17" t="s">
        <v>2490</v>
      </c>
      <c r="B232" s="17" t="s">
        <v>3897</v>
      </c>
      <c r="C232" s="17" t="s">
        <v>3898</v>
      </c>
      <c r="D232" s="17" t="s">
        <v>173</v>
      </c>
      <c r="E232" s="60" t="str">
        <f>VLOOKUP($A232,nist_names_ids!A:B,2,false)</f>
        <v>mnc2</v>
      </c>
      <c r="F232" s="61">
        <f>countif(Constants!A:A,E232)</f>
        <v>1</v>
      </c>
      <c r="G232" s="62" t="str">
        <f t="shared" si="1"/>
        <v>1.505349739e-10</v>
      </c>
      <c r="H232" s="62">
        <f t="shared" si="2"/>
        <v>0.0000000001505349739</v>
      </c>
      <c r="I232" s="62" t="str">
        <f t="shared" si="3"/>
        <v>0.000000019e-10</v>
      </c>
      <c r="J232" s="62">
        <f t="shared" si="4"/>
        <v>0</v>
      </c>
      <c r="K232" s="62" t="b">
        <f t="shared" si="5"/>
        <v>0</v>
      </c>
      <c r="L232" s="62" t="b">
        <f t="shared" si="6"/>
        <v>0</v>
      </c>
      <c r="M232" s="60" t="str">
        <f>IFERROR(__xludf.DUMMYFUNCTION("if(regexmatch(B232,""e(.*)$""),regexextract(B232,""e(.*)$""),"""")"),"-10")</f>
        <v>-10</v>
      </c>
    </row>
    <row r="233">
      <c r="A233" s="17" t="s">
        <v>2495</v>
      </c>
      <c r="B233" s="17" t="s">
        <v>3905</v>
      </c>
      <c r="C233" s="17" t="s">
        <v>3906</v>
      </c>
      <c r="D233" s="17" t="s">
        <v>224</v>
      </c>
      <c r="E233" s="60" t="str">
        <f>VLOOKUP($A233,nist_names_ids!A:B,2,false)</f>
        <v>mnc2mev</v>
      </c>
      <c r="F233" s="61">
        <f>countif(Constants!A:A,E233)</f>
        <v>1</v>
      </c>
      <c r="G233" s="62" t="str">
        <f t="shared" si="1"/>
        <v>939.5654133</v>
      </c>
      <c r="H233" s="62">
        <f t="shared" si="2"/>
        <v>939.5654133</v>
      </c>
      <c r="I233" s="62" t="str">
        <f t="shared" si="3"/>
        <v>0.0000058</v>
      </c>
      <c r="J233" s="62">
        <f t="shared" si="4"/>
        <v>0.0000058</v>
      </c>
      <c r="K233" s="62" t="b">
        <f t="shared" si="5"/>
        <v>0</v>
      </c>
      <c r="L233" s="62" t="b">
        <f t="shared" si="6"/>
        <v>0</v>
      </c>
      <c r="M233" s="60" t="str">
        <f>IFERROR(__xludf.DUMMYFUNCTION("if(regexmatch(B233,""e(.*)$""),regexextract(B233,""e(.*)$""),"""")"),"")</f>
        <v/>
      </c>
    </row>
    <row r="234">
      <c r="A234" s="17" t="s">
        <v>2504</v>
      </c>
      <c r="B234" s="17" t="s">
        <v>3911</v>
      </c>
      <c r="C234" s="17" t="s">
        <v>3338</v>
      </c>
      <c r="D234" s="17" t="s">
        <v>249</v>
      </c>
      <c r="E234" s="60" t="str">
        <f>VLOOKUP($A234,nist_names_ids!A:B,2,false)</f>
        <v>mnu</v>
      </c>
      <c r="F234" s="61">
        <f>countif(Constants!A:A,E234)</f>
        <v>1</v>
      </c>
      <c r="G234" s="62" t="str">
        <f t="shared" si="1"/>
        <v>1.00866491588</v>
      </c>
      <c r="H234" s="62">
        <f t="shared" si="2"/>
        <v>1.008664916</v>
      </c>
      <c r="I234" s="62" t="str">
        <f t="shared" si="3"/>
        <v>0.00000000049</v>
      </c>
      <c r="J234" s="62">
        <f t="shared" si="4"/>
        <v>0.00000000049</v>
      </c>
      <c r="K234" s="62" t="b">
        <f t="shared" si="5"/>
        <v>0</v>
      </c>
      <c r="L234" s="62" t="b">
        <f t="shared" si="6"/>
        <v>0</v>
      </c>
      <c r="M234" s="60" t="str">
        <f>IFERROR(__xludf.DUMMYFUNCTION("if(regexmatch(B234,""e(.*)$""),regexextract(B234,""e(.*)$""),"""")"),"")</f>
        <v/>
      </c>
    </row>
    <row r="235">
      <c r="A235" s="17" t="s">
        <v>2508</v>
      </c>
      <c r="B235" s="17" t="s">
        <v>3915</v>
      </c>
      <c r="C235" s="17" t="s">
        <v>3916</v>
      </c>
      <c r="D235" s="17" t="s">
        <v>286</v>
      </c>
      <c r="E235" s="60" t="str">
        <f>VLOOKUP($A235,nist_names_ids!A:B,2,false)</f>
        <v>mmn</v>
      </c>
      <c r="F235" s="61">
        <f>countif(Constants!A:A,E235)</f>
        <v>1</v>
      </c>
      <c r="G235" s="62" t="str">
        <f t="shared" si="1"/>
        <v>1.00866491588e-3</v>
      </c>
      <c r="H235" s="62">
        <f t="shared" si="2"/>
        <v>0.001008664916</v>
      </c>
      <c r="I235" s="62" t="str">
        <f t="shared" si="3"/>
        <v>0.00000000049e-3</v>
      </c>
      <c r="J235" s="62">
        <f t="shared" si="4"/>
        <v>0</v>
      </c>
      <c r="K235" s="62" t="b">
        <f t="shared" si="5"/>
        <v>0</v>
      </c>
      <c r="L235" s="62" t="b">
        <f t="shared" si="6"/>
        <v>0</v>
      </c>
      <c r="M235" s="60" t="str">
        <f>IFERROR(__xludf.DUMMYFUNCTION("if(regexmatch(B235,""e(.*)$""),regexextract(B235,""e(.*)$""),"""")"),"-3")</f>
        <v>-3</v>
      </c>
    </row>
    <row r="236">
      <c r="A236" s="17" t="s">
        <v>2513</v>
      </c>
      <c r="B236" s="17" t="s">
        <v>3920</v>
      </c>
      <c r="C236" s="17" t="s">
        <v>2348</v>
      </c>
      <c r="E236" s="60" t="str">
        <f>VLOOKUP($A236,nist_names_ids!A:B,2,false)</f>
        <v>mnsmmu</v>
      </c>
      <c r="F236" s="61">
        <f>countif(Constants!A:A,E236)</f>
        <v>1</v>
      </c>
      <c r="G236" s="62" t="str">
        <f t="shared" si="1"/>
        <v>8.89248408</v>
      </c>
      <c r="H236" s="62">
        <f t="shared" si="2"/>
        <v>8.89248408</v>
      </c>
      <c r="I236" s="62" t="str">
        <f t="shared" si="3"/>
        <v>0.00000020</v>
      </c>
      <c r="J236" s="62">
        <f t="shared" si="4"/>
        <v>0.0000002</v>
      </c>
      <c r="K236" s="62" t="b">
        <f t="shared" si="5"/>
        <v>0</v>
      </c>
      <c r="L236" s="62" t="b">
        <f t="shared" si="6"/>
        <v>0</v>
      </c>
      <c r="M236" s="60" t="str">
        <f>IFERROR(__xludf.DUMMYFUNCTION("if(regexmatch(B236,""e(.*)$""),regexextract(B236,""e(.*)$""),"""")"),"")</f>
        <v/>
      </c>
    </row>
    <row r="237">
      <c r="A237" s="17" t="s">
        <v>2516</v>
      </c>
      <c r="B237" s="17" t="s">
        <v>3350</v>
      </c>
      <c r="C237" s="17" t="s">
        <v>2020</v>
      </c>
      <c r="E237" s="60" t="str">
        <f>VLOOKUP($A237,nist_names_ids!A:B,2,false)</f>
        <v>munsmup</v>
      </c>
      <c r="F237" s="61">
        <f>countif(Constants!A:A,E237)</f>
        <v>1</v>
      </c>
      <c r="G237" s="62" t="str">
        <f t="shared" si="1"/>
        <v>-0.68497934</v>
      </c>
      <c r="H237" s="62">
        <f t="shared" si="2"/>
        <v>-0.68497934</v>
      </c>
      <c r="I237" s="62" t="str">
        <f t="shared" si="3"/>
        <v>0.00000016</v>
      </c>
      <c r="J237" s="62">
        <f t="shared" si="4"/>
        <v>0.00000016</v>
      </c>
      <c r="K237" s="62" t="b">
        <f t="shared" si="5"/>
        <v>0</v>
      </c>
      <c r="L237" s="62" t="b">
        <f t="shared" si="6"/>
        <v>0</v>
      </c>
      <c r="M237" s="60" t="str">
        <f>IFERROR(__xludf.DUMMYFUNCTION("if(regexmatch(B237,""e(.*)$""),regexextract(B237,""e(.*)$""),"""")"),"")</f>
        <v/>
      </c>
    </row>
    <row r="238">
      <c r="A238" s="17" t="s">
        <v>2523</v>
      </c>
      <c r="B238" s="17" t="s">
        <v>3928</v>
      </c>
      <c r="C238" s="17" t="s">
        <v>3929</v>
      </c>
      <c r="E238" s="60" t="str">
        <f>VLOOKUP($A238,nist_names_ids!A:B,2,false)</f>
        <v>mnmmp</v>
      </c>
      <c r="F238" s="61">
        <f>countif(Constants!A:A,E238)</f>
        <v>1</v>
      </c>
      <c r="G238" s="62" t="str">
        <f t="shared" si="1"/>
        <v>2.30557377e-30</v>
      </c>
      <c r="H238" s="62">
        <f t="shared" si="2"/>
        <v>0</v>
      </c>
      <c r="I238" s="62" t="str">
        <f t="shared" si="3"/>
        <v>0.00000085e-30</v>
      </c>
      <c r="J238" s="62">
        <f t="shared" si="4"/>
        <v>0</v>
      </c>
      <c r="K238" s="62" t="b">
        <f t="shared" si="5"/>
        <v>0</v>
      </c>
      <c r="L238" s="62" t="b">
        <f t="shared" si="6"/>
        <v>0</v>
      </c>
      <c r="M238" s="60" t="str">
        <f>IFERROR(__xludf.DUMMYFUNCTION("if(regexmatch(B238,""e(.*)$""),regexextract(B238,""e(.*)$""),"""")"),"-30")</f>
        <v>-30</v>
      </c>
    </row>
    <row r="239">
      <c r="A239" s="17" t="s">
        <v>2528</v>
      </c>
      <c r="B239" s="17" t="s">
        <v>3933</v>
      </c>
      <c r="C239" s="17" t="s">
        <v>3935</v>
      </c>
      <c r="E239" s="60" t="str">
        <f>VLOOKUP($A239,nist_names_ids!A:B,2,false)</f>
        <v>mnmmpc2</v>
      </c>
      <c r="F239" s="61">
        <f>countif(Constants!A:A,E239)</f>
        <v>1</v>
      </c>
      <c r="G239" s="62" t="str">
        <f t="shared" si="1"/>
        <v>2.07214637e-13</v>
      </c>
      <c r="H239" s="62">
        <f t="shared" si="2"/>
        <v>0</v>
      </c>
      <c r="I239" s="62" t="str">
        <f t="shared" si="3"/>
        <v>0.00000076e-13</v>
      </c>
      <c r="J239" s="62">
        <f t="shared" si="4"/>
        <v>0</v>
      </c>
      <c r="K239" s="62" t="b">
        <f t="shared" si="5"/>
        <v>0</v>
      </c>
      <c r="L239" s="62" t="b">
        <f t="shared" si="6"/>
        <v>0</v>
      </c>
      <c r="M239" s="60" t="str">
        <f>IFERROR(__xludf.DUMMYFUNCTION("if(regexmatch(B239,""e(.*)$""),regexextract(B239,""e(.*)$""),"""")"),"-13")</f>
        <v>-13</v>
      </c>
    </row>
    <row r="240">
      <c r="A240" s="17" t="s">
        <v>2532</v>
      </c>
      <c r="B240" s="17" t="s">
        <v>3940</v>
      </c>
      <c r="C240" s="17" t="s">
        <v>2497</v>
      </c>
      <c r="E240" s="60" t="str">
        <f>VLOOKUP($A240,nist_names_ids!A:B,2,false)</f>
        <v>mnmmpc2mev</v>
      </c>
      <c r="F240" s="61">
        <f>countif(Constants!A:A,E240)</f>
        <v>1</v>
      </c>
      <c r="G240" s="62" t="str">
        <f t="shared" si="1"/>
        <v>1.29333205</v>
      </c>
      <c r="H240" s="62">
        <f t="shared" si="2"/>
        <v>1.29333205</v>
      </c>
      <c r="I240" s="62" t="str">
        <f t="shared" si="3"/>
        <v>0.00000048</v>
      </c>
      <c r="J240" s="62">
        <f t="shared" si="4"/>
        <v>0.00000048</v>
      </c>
      <c r="K240" s="62" t="b">
        <f t="shared" si="5"/>
        <v>0</v>
      </c>
      <c r="L240" s="62" t="b">
        <f t="shared" si="6"/>
        <v>0</v>
      </c>
      <c r="M240" s="60" t="str">
        <f>IFERROR(__xludf.DUMMYFUNCTION("if(regexmatch(B240,""e(.*)$""),regexextract(B240,""e(.*)$""),"""")"),"")</f>
        <v/>
      </c>
    </row>
    <row r="241">
      <c r="A241" s="17" t="s">
        <v>2538</v>
      </c>
      <c r="B241" s="17" t="s">
        <v>3944</v>
      </c>
      <c r="C241" s="17" t="s">
        <v>3945</v>
      </c>
      <c r="E241" s="60" t="str">
        <f>VLOOKUP($A241,nist_names_ids!A:B,2,false)</f>
        <v>mnmmpu</v>
      </c>
      <c r="F241" s="61">
        <f>countif(Constants!A:A,E241)</f>
        <v>1</v>
      </c>
      <c r="G241" s="62" t="str">
        <f t="shared" si="1"/>
        <v>0.00138844900</v>
      </c>
      <c r="H241" s="62">
        <f t="shared" si="2"/>
        <v>0.001388449</v>
      </c>
      <c r="I241" s="62" t="str">
        <f t="shared" si="3"/>
        <v>0.00000000051</v>
      </c>
      <c r="J241" s="62">
        <f t="shared" si="4"/>
        <v>0.00000000051</v>
      </c>
      <c r="K241" s="62" t="b">
        <f t="shared" si="5"/>
        <v>0</v>
      </c>
      <c r="L241" s="62" t="b">
        <f t="shared" si="6"/>
        <v>0</v>
      </c>
      <c r="M241" s="60" t="str">
        <f>IFERROR(__xludf.DUMMYFUNCTION("if(regexmatch(B241,""e(.*)$""),regexextract(B241,""e(.*)$""),"""")"),"")</f>
        <v/>
      </c>
    </row>
    <row r="242">
      <c r="A242" s="17" t="s">
        <v>2544</v>
      </c>
      <c r="B242" s="17" t="s">
        <v>3949</v>
      </c>
      <c r="C242" s="17" t="s">
        <v>3945</v>
      </c>
      <c r="E242" s="60" t="str">
        <f>VLOOKUP($A242,nist_names_ids!A:B,2,false)</f>
        <v>mnsmp</v>
      </c>
      <c r="F242" s="61">
        <f>countif(Constants!A:A,E242)</f>
        <v>1</v>
      </c>
      <c r="G242" s="62" t="str">
        <f t="shared" si="1"/>
        <v>1.00137841898</v>
      </c>
      <c r="H242" s="62">
        <f t="shared" si="2"/>
        <v>1.001378419</v>
      </c>
      <c r="I242" s="62" t="str">
        <f t="shared" si="3"/>
        <v>0.00000000051</v>
      </c>
      <c r="J242" s="62">
        <f t="shared" si="4"/>
        <v>0.00000000051</v>
      </c>
      <c r="K242" s="62" t="b">
        <f t="shared" si="5"/>
        <v>0</v>
      </c>
      <c r="L242" s="62" t="b">
        <f t="shared" si="6"/>
        <v>0</v>
      </c>
      <c r="M242" s="60" t="str">
        <f>IFERROR(__xludf.DUMMYFUNCTION("if(regexmatch(B242,""e(.*)$""),regexextract(B242,""e(.*)$""),"""")"),"")</f>
        <v/>
      </c>
    </row>
    <row r="243">
      <c r="A243" s="17" t="s">
        <v>2551</v>
      </c>
      <c r="B243" s="17" t="s">
        <v>3954</v>
      </c>
      <c r="C243" s="17" t="s">
        <v>3955</v>
      </c>
      <c r="E243" s="60" t="str">
        <f>VLOOKUP($A243,nist_names_ids!A:B,2,false)</f>
        <v>mnsmtau</v>
      </c>
      <c r="F243" s="61">
        <f>countif(Constants!A:A,E243)</f>
        <v>1</v>
      </c>
      <c r="G243" s="62" t="str">
        <f t="shared" si="1"/>
        <v>0.528790</v>
      </c>
      <c r="H243" s="62">
        <f t="shared" si="2"/>
        <v>0.52879</v>
      </c>
      <c r="I243" s="62" t="str">
        <f t="shared" si="3"/>
        <v>0.000048</v>
      </c>
      <c r="J243" s="62">
        <f t="shared" si="4"/>
        <v>0.000048</v>
      </c>
      <c r="K243" s="62" t="b">
        <f t="shared" si="5"/>
        <v>0</v>
      </c>
      <c r="L243" s="62" t="b">
        <f t="shared" si="6"/>
        <v>0</v>
      </c>
      <c r="M243" s="60" t="str">
        <f>IFERROR(__xludf.DUMMYFUNCTION("if(regexmatch(B243,""e(.*)$""),regexextract(B243,""e(.*)$""),"""")"),"")</f>
        <v/>
      </c>
    </row>
    <row r="244">
      <c r="A244" s="17" t="s">
        <v>2556</v>
      </c>
      <c r="B244" s="17" t="s">
        <v>3378</v>
      </c>
      <c r="C244" s="17" t="s">
        <v>2020</v>
      </c>
      <c r="E244" s="60" t="str">
        <f>VLOOKUP($A244,nist_names_ids!A:B,2,false)</f>
        <v>munsmupp</v>
      </c>
      <c r="F244" s="61">
        <f>countif(Constants!A:A,E244)</f>
        <v>1</v>
      </c>
      <c r="G244" s="62" t="str">
        <f t="shared" si="1"/>
        <v>-0.68499694</v>
      </c>
      <c r="H244" s="62">
        <f t="shared" si="2"/>
        <v>-0.68499694</v>
      </c>
      <c r="I244" s="62" t="str">
        <f t="shared" si="3"/>
        <v>0.00000016</v>
      </c>
      <c r="J244" s="62">
        <f t="shared" si="4"/>
        <v>0.00000016</v>
      </c>
      <c r="K244" s="62" t="b">
        <f t="shared" si="5"/>
        <v>0</v>
      </c>
      <c r="L244" s="62" t="b">
        <f t="shared" si="6"/>
        <v>0</v>
      </c>
      <c r="M244" s="60" t="str">
        <f>IFERROR(__xludf.DUMMYFUNCTION("if(regexmatch(B244,""e(.*)$""),regexextract(B244,""e(.*)$""),"""")"),"")</f>
        <v/>
      </c>
    </row>
    <row r="245">
      <c r="A245" s="17" t="s">
        <v>2558</v>
      </c>
      <c r="B245" s="17" t="s">
        <v>3965</v>
      </c>
      <c r="C245" s="17" t="s">
        <v>3966</v>
      </c>
      <c r="D245" s="17" t="s">
        <v>2561</v>
      </c>
      <c r="E245" s="60" t="str">
        <f>VLOOKUP($A245,nist_names_ids!A:B,2,false)</f>
        <v>bg</v>
      </c>
      <c r="F245" s="61">
        <f>countif(Constants!A:A,E245)</f>
        <v>1</v>
      </c>
      <c r="G245" s="62" t="str">
        <f t="shared" si="1"/>
        <v>6.67408e-11</v>
      </c>
      <c r="H245" s="62">
        <f t="shared" si="2"/>
        <v>0</v>
      </c>
      <c r="I245" s="62" t="str">
        <f t="shared" si="3"/>
        <v>0.00031e-11</v>
      </c>
      <c r="J245" s="62">
        <f t="shared" si="4"/>
        <v>0</v>
      </c>
      <c r="K245" s="62" t="b">
        <f t="shared" si="5"/>
        <v>0</v>
      </c>
      <c r="L245" s="62" t="b">
        <f t="shared" si="6"/>
        <v>0</v>
      </c>
      <c r="M245" s="60" t="str">
        <f>IFERROR(__xludf.DUMMYFUNCTION("if(regexmatch(B245,""e(.*)$""),regexextract(B245,""e(.*)$""),"""")"),"-11")</f>
        <v>-11</v>
      </c>
    </row>
    <row r="246">
      <c r="A246" s="17" t="s">
        <v>2566</v>
      </c>
      <c r="B246" s="17" t="s">
        <v>3971</v>
      </c>
      <c r="C246" s="17" t="s">
        <v>3972</v>
      </c>
      <c r="D246" s="17" t="s">
        <v>2569</v>
      </c>
      <c r="E246" s="60" t="str">
        <f>VLOOKUP($A246,nist_names_ids!A:B,2,false)</f>
        <v>bgspu</v>
      </c>
      <c r="F246" s="61">
        <f>countif(Constants!A:A,E246)</f>
        <v>1</v>
      </c>
      <c r="G246" s="62" t="str">
        <f t="shared" si="1"/>
        <v>6.70861e-39</v>
      </c>
      <c r="H246" s="62">
        <f t="shared" si="2"/>
        <v>0</v>
      </c>
      <c r="I246" s="62" t="str">
        <f t="shared" si="3"/>
        <v>0.00031e-39</v>
      </c>
      <c r="J246" s="62">
        <f t="shared" si="4"/>
        <v>0</v>
      </c>
      <c r="K246" s="62" t="b">
        <f t="shared" si="5"/>
        <v>0</v>
      </c>
      <c r="L246" s="62" t="b">
        <f t="shared" si="6"/>
        <v>0</v>
      </c>
      <c r="M246" s="60" t="str">
        <f>IFERROR(__xludf.DUMMYFUNCTION("if(regexmatch(B246,""e(.*)$""),regexextract(B246,""e(.*)$""),"""")"),"-39")</f>
        <v>-39</v>
      </c>
    </row>
    <row r="247">
      <c r="A247" s="17" t="s">
        <v>2572</v>
      </c>
      <c r="B247" s="17" t="s">
        <v>3975</v>
      </c>
      <c r="C247" s="17" t="s">
        <v>3976</v>
      </c>
      <c r="D247" s="17" t="s">
        <v>964</v>
      </c>
      <c r="E247" s="60" t="str">
        <f>VLOOKUP($A247,nist_names_ids!A:B,2,false)</f>
        <v>mun</v>
      </c>
      <c r="F247" s="61">
        <f>countif(Constants!A:A,E247)</f>
        <v>1</v>
      </c>
      <c r="G247" s="62" t="str">
        <f t="shared" si="1"/>
        <v>5.050783699e-27</v>
      </c>
      <c r="H247" s="62">
        <f t="shared" si="2"/>
        <v>0</v>
      </c>
      <c r="I247" s="62" t="str">
        <f t="shared" si="3"/>
        <v>0.000000031e-27</v>
      </c>
      <c r="J247" s="62">
        <f t="shared" si="4"/>
        <v>0</v>
      </c>
      <c r="K247" s="62" t="b">
        <f t="shared" si="5"/>
        <v>0</v>
      </c>
      <c r="L247" s="62" t="b">
        <f t="shared" si="6"/>
        <v>0</v>
      </c>
      <c r="M247" s="60" t="str">
        <f>IFERROR(__xludf.DUMMYFUNCTION("if(regexmatch(B247,""e(.*)$""),regexextract(B247,""e(.*)$""),"""")"),"-27")</f>
        <v>-27</v>
      </c>
    </row>
    <row r="248">
      <c r="A248" s="17" t="s">
        <v>2578</v>
      </c>
      <c r="B248" s="17" t="s">
        <v>3980</v>
      </c>
      <c r="C248" s="17" t="s">
        <v>3981</v>
      </c>
      <c r="D248" s="17" t="s">
        <v>1165</v>
      </c>
      <c r="E248" s="60" t="str">
        <f>VLOOKUP($A248,nist_names_ids!A:B,2,false)</f>
        <v>munev</v>
      </c>
      <c r="F248" s="61">
        <f>countif(Constants!A:A,E248)</f>
        <v>1</v>
      </c>
      <c r="G248" s="62" t="str">
        <f t="shared" si="1"/>
        <v>3.1524512550e-8</v>
      </c>
      <c r="H248" s="62">
        <f t="shared" si="2"/>
        <v>0.00000003152451255</v>
      </c>
      <c r="I248" s="62" t="str">
        <f t="shared" si="3"/>
        <v>0.0000000015e-8</v>
      </c>
      <c r="J248" s="62">
        <f t="shared" si="4"/>
        <v>0</v>
      </c>
      <c r="K248" s="62" t="b">
        <f t="shared" si="5"/>
        <v>0</v>
      </c>
      <c r="L248" s="62" t="b">
        <f t="shared" si="6"/>
        <v>0</v>
      </c>
      <c r="M248" s="60" t="str">
        <f>IFERROR(__xludf.DUMMYFUNCTION("if(regexmatch(B248,""e(.*)$""),regexextract(B248,""e(.*)$""),"""")"),"-8")</f>
        <v>-8</v>
      </c>
    </row>
    <row r="249">
      <c r="A249" s="17" t="s">
        <v>3969</v>
      </c>
      <c r="B249" s="17" t="s">
        <v>3982</v>
      </c>
      <c r="C249" s="17" t="s">
        <v>3983</v>
      </c>
      <c r="D249" s="17" t="s">
        <v>1205</v>
      </c>
      <c r="E249" s="60" t="str">
        <f>VLOOKUP($A249,nist_names_ids!A:B,2,false)</f>
        <v>munshcminv</v>
      </c>
      <c r="F249" s="61">
        <f>countif(Constants!A:A,E249)</f>
        <v>1</v>
      </c>
      <c r="G249" s="62" t="str">
        <f t="shared" si="1"/>
        <v>2.542623432e-2</v>
      </c>
      <c r="H249" s="62">
        <f t="shared" si="2"/>
        <v>0.02542623432</v>
      </c>
      <c r="I249" s="62" t="str">
        <f t="shared" si="3"/>
        <v>0.000000016e-2</v>
      </c>
      <c r="J249" s="62">
        <f t="shared" si="4"/>
        <v>0.00000000016</v>
      </c>
      <c r="K249" s="62" t="b">
        <f t="shared" si="5"/>
        <v>0</v>
      </c>
      <c r="L249" s="62" t="b">
        <f t="shared" si="6"/>
        <v>0</v>
      </c>
      <c r="M249" s="60" t="str">
        <f>IFERROR(__xludf.DUMMYFUNCTION("if(regexmatch(B249,""e(.*)$""),regexextract(B249,""e(.*)$""),"""")"),"-2")</f>
        <v>-2</v>
      </c>
    </row>
    <row r="250">
      <c r="A250" s="17" t="s">
        <v>2586</v>
      </c>
      <c r="B250" s="17" t="s">
        <v>3992</v>
      </c>
      <c r="C250" s="17" t="s">
        <v>3993</v>
      </c>
      <c r="D250" s="17" t="s">
        <v>1226</v>
      </c>
      <c r="E250" s="60" t="str">
        <f>VLOOKUP($A250,nist_names_ids!A:B,2,false)</f>
        <v>munskk</v>
      </c>
      <c r="F250" s="61">
        <f>countif(Constants!A:A,E250)</f>
        <v>1</v>
      </c>
      <c r="G250" s="62" t="str">
        <f t="shared" si="1"/>
        <v>3.6582690e-4</v>
      </c>
      <c r="H250" s="62">
        <f t="shared" si="2"/>
        <v>0.0003658269</v>
      </c>
      <c r="I250" s="62" t="str">
        <f t="shared" si="3"/>
        <v>0.0000021e-4</v>
      </c>
      <c r="J250" s="62">
        <f t="shared" si="4"/>
        <v>0.00000000021</v>
      </c>
      <c r="K250" s="62" t="b">
        <f t="shared" si="5"/>
        <v>0</v>
      </c>
      <c r="L250" s="62" t="b">
        <f t="shared" si="6"/>
        <v>0</v>
      </c>
      <c r="M250" s="60" t="str">
        <f>IFERROR(__xludf.DUMMYFUNCTION("if(regexmatch(B250,""e(.*)$""),regexextract(B250,""e(.*)$""),"""")"),"-4")</f>
        <v>-4</v>
      </c>
    </row>
    <row r="251">
      <c r="A251" s="17" t="s">
        <v>2589</v>
      </c>
      <c r="B251" s="17" t="s">
        <v>3994</v>
      </c>
      <c r="C251" s="17" t="s">
        <v>3995</v>
      </c>
      <c r="D251" s="17" t="s">
        <v>1733</v>
      </c>
      <c r="E251" s="60" t="str">
        <f>VLOOKUP($A251,nist_names_ids!A:B,2,false)</f>
        <v>munshhz</v>
      </c>
      <c r="F251" s="61">
        <f>countif(Constants!A:A,E251)</f>
        <v>1</v>
      </c>
      <c r="G251" s="62" t="str">
        <f t="shared" si="1"/>
        <v>7.622593285</v>
      </c>
      <c r="H251" s="62">
        <f t="shared" si="2"/>
        <v>7.622593285</v>
      </c>
      <c r="I251" s="62" t="str">
        <f t="shared" si="3"/>
        <v>0.000000047</v>
      </c>
      <c r="J251" s="62">
        <f t="shared" si="4"/>
        <v>0.000000047</v>
      </c>
      <c r="K251" s="62" t="b">
        <f t="shared" si="5"/>
        <v>0</v>
      </c>
      <c r="L251" s="62" t="b">
        <f t="shared" si="6"/>
        <v>0</v>
      </c>
      <c r="M251" s="60" t="str">
        <f>IFERROR(__xludf.DUMMYFUNCTION("if(regexmatch(B251,""e(.*)$""),regexextract(B251,""e(.*)$""),"""")"),"")</f>
        <v/>
      </c>
    </row>
    <row r="252">
      <c r="A252" s="17" t="s">
        <v>2595</v>
      </c>
      <c r="B252" s="17" t="s">
        <v>3590</v>
      </c>
      <c r="C252" s="17" t="s">
        <v>3591</v>
      </c>
      <c r="D252" s="17" t="s">
        <v>714</v>
      </c>
      <c r="E252" s="60" t="str">
        <f>VLOOKUP($A252,nist_names_ids!A:B,2,false)</f>
        <v>h</v>
      </c>
      <c r="F252" s="61">
        <f>countif(Constants!A:A,E252)</f>
        <v>1</v>
      </c>
      <c r="G252" s="62" t="str">
        <f t="shared" si="1"/>
        <v>6.626070040e-34</v>
      </c>
      <c r="H252" s="62">
        <f t="shared" si="2"/>
        <v>0</v>
      </c>
      <c r="I252" s="62" t="str">
        <f t="shared" si="3"/>
        <v>0.000000081e-34</v>
      </c>
      <c r="J252" s="62">
        <f t="shared" si="4"/>
        <v>0</v>
      </c>
      <c r="K252" s="62" t="b">
        <f t="shared" si="5"/>
        <v>0</v>
      </c>
      <c r="L252" s="62" t="b">
        <f t="shared" si="6"/>
        <v>0</v>
      </c>
      <c r="M252" s="60" t="str">
        <f>IFERROR(__xludf.DUMMYFUNCTION("if(regexmatch(B252,""e(.*)$""),regexextract(B252,""e(.*)$""),"""")"),"-34")</f>
        <v>-34</v>
      </c>
    </row>
    <row r="253">
      <c r="A253" s="17" t="s">
        <v>3997</v>
      </c>
      <c r="B253" s="17" t="s">
        <v>3582</v>
      </c>
      <c r="C253" s="17" t="s">
        <v>3583</v>
      </c>
      <c r="D253" s="17" t="s">
        <v>2402</v>
      </c>
      <c r="E253" s="60" t="str">
        <f>VLOOKUP($A253,nist_names_ids!A:B,2,false)</f>
        <v>hev</v>
      </c>
      <c r="F253" s="61">
        <f>countif(Constants!A:A,E253)</f>
        <v>1</v>
      </c>
      <c r="G253" s="62" t="str">
        <f t="shared" si="1"/>
        <v>4.135667662e-15</v>
      </c>
      <c r="H253" s="62">
        <f t="shared" si="2"/>
        <v>0</v>
      </c>
      <c r="I253" s="62" t="str">
        <f t="shared" si="3"/>
        <v>0.000000025e-15</v>
      </c>
      <c r="J253" s="62">
        <f t="shared" si="4"/>
        <v>0</v>
      </c>
      <c r="K253" s="62" t="b">
        <f t="shared" si="5"/>
        <v>0</v>
      </c>
      <c r="L253" s="62" t="b">
        <f t="shared" si="6"/>
        <v>0</v>
      </c>
      <c r="M253" s="60" t="str">
        <f>IFERROR(__xludf.DUMMYFUNCTION("if(regexmatch(B253,""e(.*)$""),regexextract(B253,""e(.*)$""),"""")"),"-15")</f>
        <v>-15</v>
      </c>
    </row>
    <row r="254">
      <c r="A254" s="17" t="s">
        <v>3998</v>
      </c>
      <c r="B254" s="17" t="s">
        <v>3134</v>
      </c>
      <c r="C254" s="17" t="s">
        <v>3135</v>
      </c>
      <c r="D254" s="17" t="s">
        <v>714</v>
      </c>
      <c r="E254" s="60" t="str">
        <f>VLOOKUP($A254,nist_names_ids!A:B,2,false)</f>
        <v>hbar</v>
      </c>
      <c r="F254" s="61">
        <f>countif(Constants!A:A,E254)</f>
        <v>1</v>
      </c>
      <c r="G254" s="62" t="str">
        <f t="shared" si="1"/>
        <v>1.054571800e-34</v>
      </c>
      <c r="H254" s="62">
        <f t="shared" si="2"/>
        <v>0</v>
      </c>
      <c r="I254" s="62" t="str">
        <f t="shared" si="3"/>
        <v>0.000000013e-34</v>
      </c>
      <c r="J254" s="62">
        <f t="shared" si="4"/>
        <v>0</v>
      </c>
      <c r="K254" s="62" t="b">
        <f t="shared" si="5"/>
        <v>0</v>
      </c>
      <c r="L254" s="62" t="b">
        <f t="shared" si="6"/>
        <v>0</v>
      </c>
      <c r="M254" s="60" t="str">
        <f>IFERROR(__xludf.DUMMYFUNCTION("if(regexmatch(B254,""e(.*)$""),regexextract(B254,""e(.*)$""),"""")"),"-34")</f>
        <v>-34</v>
      </c>
    </row>
    <row r="255">
      <c r="A255" s="17" t="s">
        <v>3999</v>
      </c>
      <c r="B255" s="17" t="s">
        <v>3813</v>
      </c>
      <c r="C255" s="17" t="s">
        <v>3814</v>
      </c>
      <c r="D255" s="17" t="s">
        <v>2402</v>
      </c>
      <c r="E255" s="60" t="str">
        <f>VLOOKUP($A255,nist_names_ids!A:B,2,false)</f>
        <v>hbarev</v>
      </c>
      <c r="F255" s="61">
        <f>countif(Constants!A:A,E255)</f>
        <v>1</v>
      </c>
      <c r="G255" s="62" t="str">
        <f t="shared" si="1"/>
        <v>6.582119514e-16</v>
      </c>
      <c r="H255" s="62">
        <f t="shared" si="2"/>
        <v>0</v>
      </c>
      <c r="I255" s="62" t="str">
        <f t="shared" si="3"/>
        <v>0.000000040e-16</v>
      </c>
      <c r="J255" s="62">
        <f t="shared" si="4"/>
        <v>0</v>
      </c>
      <c r="K255" s="62" t="b">
        <f t="shared" si="5"/>
        <v>0</v>
      </c>
      <c r="L255" s="62" t="b">
        <f t="shared" si="6"/>
        <v>0</v>
      </c>
      <c r="M255" s="60" t="str">
        <f>IFERROR(__xludf.DUMMYFUNCTION("if(regexmatch(B255,""e(.*)$""),regexextract(B255,""e(.*)$""),"""")"),"-16")</f>
        <v>-16</v>
      </c>
    </row>
    <row r="256">
      <c r="A256" s="17" t="s">
        <v>4001</v>
      </c>
      <c r="B256" s="17" t="s">
        <v>4003</v>
      </c>
      <c r="C256" s="17" t="s">
        <v>1434</v>
      </c>
      <c r="D256" s="17" t="s">
        <v>2754</v>
      </c>
      <c r="E256" s="60" t="str">
        <f>VLOOKUP($A256,nist_names_ids!A:B,2,false)</f>
        <v>hbcmevf</v>
      </c>
      <c r="F256" s="61">
        <f>countif(Constants!A:A,E256)</f>
        <v>1</v>
      </c>
      <c r="G256" s="62" t="str">
        <f t="shared" si="1"/>
        <v>197.3269788</v>
      </c>
      <c r="H256" s="62">
        <f t="shared" si="2"/>
        <v>197.3269788</v>
      </c>
      <c r="I256" s="62" t="str">
        <f t="shared" si="3"/>
        <v>0.0000012</v>
      </c>
      <c r="J256" s="62">
        <f t="shared" si="4"/>
        <v>0.0000012</v>
      </c>
      <c r="K256" s="62" t="b">
        <f t="shared" si="5"/>
        <v>0</v>
      </c>
      <c r="L256" s="62" t="b">
        <f t="shared" si="6"/>
        <v>0</v>
      </c>
      <c r="M256" s="60" t="str">
        <f>IFERROR(__xludf.DUMMYFUNCTION("if(regexmatch(B256,""e(.*)$""),regexextract(B256,""e(.*)$""),"""")"),"")</f>
        <v/>
      </c>
    </row>
    <row r="257">
      <c r="A257" s="17" t="s">
        <v>2605</v>
      </c>
      <c r="B257" s="17" t="s">
        <v>4005</v>
      </c>
      <c r="C257" s="17" t="s">
        <v>4006</v>
      </c>
      <c r="D257" s="17" t="s">
        <v>381</v>
      </c>
      <c r="E257" s="60" t="str">
        <f>VLOOKUP($A257,nist_names_ids!A:B,2,false)</f>
        <v>plkl</v>
      </c>
      <c r="F257" s="61">
        <f>countif(Constants!A:A,E257)</f>
        <v>1</v>
      </c>
      <c r="G257" s="62" t="str">
        <f t="shared" si="1"/>
        <v>1.616229e-35</v>
      </c>
      <c r="H257" s="62">
        <f t="shared" si="2"/>
        <v>0</v>
      </c>
      <c r="I257" s="62" t="str">
        <f t="shared" si="3"/>
        <v>0.000038e-35</v>
      </c>
      <c r="J257" s="62">
        <f t="shared" si="4"/>
        <v>0</v>
      </c>
      <c r="K257" s="62" t="b">
        <f t="shared" si="5"/>
        <v>0</v>
      </c>
      <c r="L257" s="62" t="b">
        <f t="shared" si="6"/>
        <v>0</v>
      </c>
      <c r="M257" s="60" t="str">
        <f>IFERROR(__xludf.DUMMYFUNCTION("if(regexmatch(B257,""e(.*)$""),regexextract(B257,""e(.*)$""),"""")"),"-35")</f>
        <v>-35</v>
      </c>
    </row>
    <row r="258">
      <c r="A258" s="17" t="s">
        <v>2608</v>
      </c>
      <c r="B258" s="17" t="s">
        <v>4009</v>
      </c>
      <c r="C258" s="17" t="s">
        <v>4010</v>
      </c>
      <c r="D258" s="17" t="s">
        <v>98</v>
      </c>
      <c r="E258" s="60" t="str">
        <f>VLOOKUP($A258,nist_names_ids!A:B,2,false)</f>
        <v>plkm</v>
      </c>
      <c r="F258" s="61">
        <f>countif(Constants!A:A,E258)</f>
        <v>1</v>
      </c>
      <c r="G258" s="62" t="str">
        <f t="shared" si="1"/>
        <v>2.176470e-8</v>
      </c>
      <c r="H258" s="62">
        <f t="shared" si="2"/>
        <v>0.0000000217647</v>
      </c>
      <c r="I258" s="62" t="str">
        <f t="shared" si="3"/>
        <v>0.000051e-8</v>
      </c>
      <c r="J258" s="62">
        <f t="shared" si="4"/>
        <v>0</v>
      </c>
      <c r="K258" s="62" t="b">
        <f t="shared" si="5"/>
        <v>0</v>
      </c>
      <c r="L258" s="62" t="b">
        <f t="shared" si="6"/>
        <v>0</v>
      </c>
      <c r="M258" s="60" t="str">
        <f>IFERROR(__xludf.DUMMYFUNCTION("if(regexmatch(B258,""e(.*)$""),regexextract(B258,""e(.*)$""),"""")"),"-8")</f>
        <v>-8</v>
      </c>
    </row>
    <row r="259">
      <c r="A259" s="17" t="s">
        <v>2614</v>
      </c>
      <c r="B259" s="17" t="s">
        <v>4013</v>
      </c>
      <c r="C259" s="17" t="s">
        <v>4014</v>
      </c>
      <c r="D259" s="17" t="s">
        <v>234</v>
      </c>
      <c r="E259" s="60" t="str">
        <f>VLOOKUP($A259,nist_names_ids!A:B,2,false)</f>
        <v>plkmc2gev</v>
      </c>
      <c r="F259" s="61">
        <f>countif(Constants!A:A,E259)</f>
        <v>1</v>
      </c>
      <c r="G259" s="62" t="str">
        <f t="shared" si="1"/>
        <v>1.220910e19</v>
      </c>
      <c r="H259" s="62">
        <f t="shared" si="2"/>
        <v>1.22091E+19</v>
      </c>
      <c r="I259" s="62" t="str">
        <f t="shared" si="3"/>
        <v>0.000029e19</v>
      </c>
      <c r="J259" s="62">
        <f t="shared" si="4"/>
        <v>290000000000000</v>
      </c>
      <c r="K259" s="62" t="b">
        <f t="shared" si="5"/>
        <v>0</v>
      </c>
      <c r="L259" s="62" t="b">
        <f t="shared" si="6"/>
        <v>0</v>
      </c>
      <c r="M259" s="60" t="str">
        <f>IFERROR(__xludf.DUMMYFUNCTION("if(regexmatch(B259,""e(.*)$""),regexextract(B259,""e(.*)$""),"""")"),"19")</f>
        <v>19</v>
      </c>
    </row>
    <row r="260">
      <c r="A260" s="17" t="s">
        <v>2619</v>
      </c>
      <c r="B260" s="17" t="s">
        <v>4017</v>
      </c>
      <c r="C260" s="17" t="s">
        <v>4018</v>
      </c>
      <c r="D260" s="17" t="s">
        <v>345</v>
      </c>
      <c r="E260" s="60" t="str">
        <f>VLOOKUP($A260,nist_names_ids!A:B,2,false)</f>
        <v>plktmp</v>
      </c>
      <c r="F260" s="61">
        <f>countif(Constants!A:A,E260)</f>
        <v>1</v>
      </c>
      <c r="G260" s="62" t="str">
        <f t="shared" si="1"/>
        <v>1.416808e32</v>
      </c>
      <c r="H260" s="62">
        <f t="shared" si="2"/>
        <v>1.41681E+32</v>
      </c>
      <c r="I260" s="62" t="str">
        <f t="shared" si="3"/>
        <v>0.000033e32</v>
      </c>
      <c r="J260" s="62">
        <f t="shared" si="4"/>
        <v>3.3E+27</v>
      </c>
      <c r="K260" s="62" t="b">
        <f t="shared" si="5"/>
        <v>0</v>
      </c>
      <c r="L260" s="62" t="b">
        <f t="shared" si="6"/>
        <v>0</v>
      </c>
      <c r="M260" s="60" t="str">
        <f>IFERROR(__xludf.DUMMYFUNCTION("if(regexmatch(B260,""e(.*)$""),regexextract(B260,""e(.*)$""),"""")"),"32")</f>
        <v>32</v>
      </c>
    </row>
    <row r="261">
      <c r="A261" s="17" t="s">
        <v>2623</v>
      </c>
      <c r="B261" s="17" t="s">
        <v>4019</v>
      </c>
      <c r="C261" s="17" t="s">
        <v>4021</v>
      </c>
      <c r="D261" s="17" t="s">
        <v>520</v>
      </c>
      <c r="E261" s="60" t="str">
        <f>VLOOKUP($A261,nist_names_ids!A:B,2,false)</f>
        <v>plkt</v>
      </c>
      <c r="F261" s="61">
        <f>countif(Constants!A:A,E261)</f>
        <v>1</v>
      </c>
      <c r="G261" s="62" t="str">
        <f t="shared" si="1"/>
        <v>5.39116e-44</v>
      </c>
      <c r="H261" s="62">
        <f t="shared" si="2"/>
        <v>0</v>
      </c>
      <c r="I261" s="62" t="str">
        <f t="shared" si="3"/>
        <v>0.00013e-44</v>
      </c>
      <c r="J261" s="62">
        <f t="shared" si="4"/>
        <v>0</v>
      </c>
      <c r="K261" s="62" t="b">
        <f t="shared" si="5"/>
        <v>0</v>
      </c>
      <c r="L261" s="62" t="b">
        <f t="shared" si="6"/>
        <v>0</v>
      </c>
      <c r="M261" s="60" t="str">
        <f>IFERROR(__xludf.DUMMYFUNCTION("if(regexmatch(B261,""e(.*)$""),regexextract(B261,""e(.*)$""),"""")"),"-44")</f>
        <v>-44</v>
      </c>
    </row>
    <row r="262">
      <c r="A262" s="17" t="s">
        <v>2628</v>
      </c>
      <c r="B262" s="17" t="s">
        <v>4024</v>
      </c>
      <c r="C262" s="17" t="s">
        <v>4025</v>
      </c>
      <c r="D262" s="17" t="s">
        <v>1689</v>
      </c>
      <c r="E262" s="60" t="str">
        <f>VLOOKUP($A262,nist_names_ids!A:B,2,false)</f>
        <v>esmp</v>
      </c>
      <c r="F262" s="61">
        <f>countif(Constants!A:A,E262)</f>
        <v>1</v>
      </c>
      <c r="G262" s="62" t="str">
        <f t="shared" si="1"/>
        <v>9.578833226e7</v>
      </c>
      <c r="H262" s="62">
        <f t="shared" si="2"/>
        <v>95788332.26</v>
      </c>
      <c r="I262" s="62" t="str">
        <f t="shared" si="3"/>
        <v>0.000000059e7</v>
      </c>
      <c r="J262" s="62">
        <f t="shared" si="4"/>
        <v>0.59</v>
      </c>
      <c r="K262" s="62" t="b">
        <f t="shared" si="5"/>
        <v>0</v>
      </c>
      <c r="L262" s="62" t="b">
        <f t="shared" si="6"/>
        <v>0</v>
      </c>
      <c r="M262" s="60" t="str">
        <f>IFERROR(__xludf.DUMMYFUNCTION("if(regexmatch(B262,""e(.*)$""),regexextract(B262,""e(.*)$""),"""")"),"7")</f>
        <v>7</v>
      </c>
    </row>
    <row r="263">
      <c r="A263" s="17" t="s">
        <v>2633</v>
      </c>
      <c r="B263" s="17" t="s">
        <v>4029</v>
      </c>
      <c r="C263" s="17" t="s">
        <v>3608</v>
      </c>
      <c r="D263" s="17" t="s">
        <v>381</v>
      </c>
      <c r="E263" s="60" t="str">
        <f>VLOOKUP($A263,nist_names_ids!A:B,2,false)</f>
        <v>pcomwl</v>
      </c>
      <c r="F263" s="61">
        <f>countif(Constants!A:A,E263)</f>
        <v>1</v>
      </c>
      <c r="G263" s="62" t="str">
        <f t="shared" si="1"/>
        <v>1.32140985396e-15</v>
      </c>
      <c r="H263" s="62">
        <f t="shared" si="2"/>
        <v>0</v>
      </c>
      <c r="I263" s="62" t="str">
        <f t="shared" si="3"/>
        <v>0.00000000061e-15</v>
      </c>
      <c r="J263" s="62">
        <f t="shared" si="4"/>
        <v>0</v>
      </c>
      <c r="K263" s="62" t="b">
        <f t="shared" si="5"/>
        <v>0</v>
      </c>
      <c r="L263" s="62" t="b">
        <f t="shared" si="6"/>
        <v>0</v>
      </c>
      <c r="M263" s="60" t="str">
        <f>IFERROR(__xludf.DUMMYFUNCTION("if(regexmatch(B263,""e(.*)$""),regexextract(B263,""e(.*)$""),"""")"),"-15")</f>
        <v>-15</v>
      </c>
    </row>
    <row r="264">
      <c r="A264" s="17" t="s">
        <v>4032</v>
      </c>
      <c r="B264" s="17" t="s">
        <v>4033</v>
      </c>
      <c r="C264" s="17" t="s">
        <v>4034</v>
      </c>
      <c r="D264" s="17" t="s">
        <v>381</v>
      </c>
      <c r="E264" s="60" t="str">
        <f>VLOOKUP($A264,nist_names_ids!A:B,2,false)</f>
        <v>pcomwlbar</v>
      </c>
      <c r="F264" s="61">
        <f>countif(Constants!A:A,E264)</f>
        <v>1</v>
      </c>
      <c r="G264" s="62" t="str">
        <f t="shared" si="1"/>
        <v>0.210308910109e-15</v>
      </c>
      <c r="H264" s="62">
        <f t="shared" si="2"/>
        <v>0</v>
      </c>
      <c r="I264" s="62" t="str">
        <f t="shared" si="3"/>
        <v>0.000000000097e-15</v>
      </c>
      <c r="J264" s="62">
        <f t="shared" si="4"/>
        <v>0</v>
      </c>
      <c r="K264" s="62" t="b">
        <f t="shared" si="5"/>
        <v>0</v>
      </c>
      <c r="L264" s="62" t="b">
        <f t="shared" si="6"/>
        <v>0</v>
      </c>
      <c r="M264" s="60" t="str">
        <f>IFERROR(__xludf.DUMMYFUNCTION("if(regexmatch(B264,""e(.*)$""),regexextract(B264,""e(.*)$""),"""")"),"-15")</f>
        <v>-15</v>
      </c>
    </row>
    <row r="265">
      <c r="A265" s="17" t="s">
        <v>2636</v>
      </c>
      <c r="B265" s="17" t="s">
        <v>4037</v>
      </c>
      <c r="C265" s="17" t="s">
        <v>1419</v>
      </c>
      <c r="E265" s="60" t="str">
        <f>VLOOKUP($A265,nist_names_ids!A:B,2,false)</f>
        <v>mpsme</v>
      </c>
      <c r="F265" s="61">
        <f>countif(Constants!A:A,E265)</f>
        <v>1</v>
      </c>
      <c r="G265" s="62" t="str">
        <f t="shared" si="1"/>
        <v>1836.15267389</v>
      </c>
      <c r="H265" s="62">
        <f t="shared" si="2"/>
        <v>1836.152674</v>
      </c>
      <c r="I265" s="62" t="str">
        <f t="shared" si="3"/>
        <v>0.00000017</v>
      </c>
      <c r="J265" s="62">
        <f t="shared" si="4"/>
        <v>0.00000017</v>
      </c>
      <c r="K265" s="62" t="b">
        <f t="shared" si="5"/>
        <v>0</v>
      </c>
      <c r="L265" s="62" t="b">
        <f t="shared" si="6"/>
        <v>0</v>
      </c>
      <c r="M265" s="60" t="str">
        <f>IFERROR(__xludf.DUMMYFUNCTION("if(regexmatch(B265,""e(.*)$""),regexextract(B265,""e(.*)$""),"""")"),"")</f>
        <v/>
      </c>
    </row>
    <row r="266">
      <c r="A266" s="17" t="s">
        <v>2640</v>
      </c>
      <c r="B266" s="17" t="s">
        <v>4040</v>
      </c>
      <c r="C266" s="17" t="s">
        <v>4041</v>
      </c>
      <c r="E266" s="60" t="str">
        <f>VLOOKUP($A266,nist_names_ids!A:B,2,false)</f>
        <v>gp</v>
      </c>
      <c r="F266" s="61">
        <f>countif(Constants!A:A,E266)</f>
        <v>1</v>
      </c>
      <c r="G266" s="62" t="str">
        <f t="shared" si="1"/>
        <v>5.585694702</v>
      </c>
      <c r="H266" s="62">
        <f t="shared" si="2"/>
        <v>5.585694702</v>
      </c>
      <c r="I266" s="62" t="str">
        <f t="shared" si="3"/>
        <v>0.000000017</v>
      </c>
      <c r="J266" s="62">
        <f t="shared" si="4"/>
        <v>0.000000017</v>
      </c>
      <c r="K266" s="62" t="b">
        <f t="shared" si="5"/>
        <v>0</v>
      </c>
      <c r="L266" s="62" t="b">
        <f t="shared" si="6"/>
        <v>0</v>
      </c>
      <c r="M266" s="60" t="str">
        <f>IFERROR(__xludf.DUMMYFUNCTION("if(regexmatch(B266,""e(.*)$""),regexextract(B266,""e(.*)$""),"""")"),"")</f>
        <v/>
      </c>
    </row>
    <row r="267">
      <c r="A267" s="17" t="s">
        <v>2644</v>
      </c>
      <c r="B267" s="17" t="s">
        <v>4045</v>
      </c>
      <c r="C267" s="17" t="s">
        <v>4046</v>
      </c>
      <c r="D267" s="17" t="s">
        <v>1717</v>
      </c>
      <c r="E267" s="60" t="str">
        <f>VLOOKUP($A267,nist_names_ids!A:B,2,false)</f>
        <v>gammap</v>
      </c>
      <c r="F267" s="61">
        <f>countif(Constants!A:A,E267)</f>
        <v>1</v>
      </c>
      <c r="G267" s="62" t="str">
        <f t="shared" si="1"/>
        <v>2.675221900e8</v>
      </c>
      <c r="H267" s="62">
        <f t="shared" si="2"/>
        <v>267522190</v>
      </c>
      <c r="I267" s="62" t="str">
        <f t="shared" si="3"/>
        <v>0.000000018e8</v>
      </c>
      <c r="J267" s="62">
        <f t="shared" si="4"/>
        <v>1.8</v>
      </c>
      <c r="K267" s="62" t="b">
        <f t="shared" si="5"/>
        <v>0</v>
      </c>
      <c r="L267" s="62" t="b">
        <f t="shared" si="6"/>
        <v>0</v>
      </c>
      <c r="M267" s="60" t="str">
        <f>IFERROR(__xludf.DUMMYFUNCTION("if(regexmatch(B267,""e(.*)$""),regexextract(B267,""e(.*)$""),"""")"),"8")</f>
        <v>8</v>
      </c>
    </row>
    <row r="268">
      <c r="A268" s="17" t="s">
        <v>4047</v>
      </c>
      <c r="B268" s="17" t="s">
        <v>4048</v>
      </c>
      <c r="C268" s="17" t="s">
        <v>1465</v>
      </c>
      <c r="D268" s="17" t="s">
        <v>1733</v>
      </c>
      <c r="E268" s="60" t="str">
        <f>VLOOKUP($A268,nist_names_ids!A:B,2,false)</f>
        <v>gammapbar</v>
      </c>
      <c r="F268" s="61">
        <f>countif(Constants!A:A,E268)</f>
        <v>1</v>
      </c>
      <c r="G268" s="62" t="str">
        <f t="shared" si="1"/>
        <v>42.57747892</v>
      </c>
      <c r="H268" s="62">
        <f t="shared" si="2"/>
        <v>42.57747892</v>
      </c>
      <c r="I268" s="62" t="str">
        <f t="shared" si="3"/>
        <v>0.00000029</v>
      </c>
      <c r="J268" s="62">
        <f t="shared" si="4"/>
        <v>0.00000029</v>
      </c>
      <c r="K268" s="62" t="b">
        <f t="shared" si="5"/>
        <v>0</v>
      </c>
      <c r="L268" s="62" t="b">
        <f t="shared" si="6"/>
        <v>0</v>
      </c>
      <c r="M268" s="60" t="str">
        <f>IFERROR(__xludf.DUMMYFUNCTION("if(regexmatch(B268,""e(.*)$""),regexextract(B268,""e(.*)$""),"""")"),"")</f>
        <v/>
      </c>
    </row>
    <row r="269">
      <c r="A269" s="17" t="s">
        <v>2653</v>
      </c>
      <c r="B269" s="17" t="s">
        <v>4051</v>
      </c>
      <c r="C269" s="17" t="s">
        <v>4052</v>
      </c>
      <c r="D269" s="17" t="s">
        <v>964</v>
      </c>
      <c r="E269" s="60" t="str">
        <f>VLOOKUP($A269,nist_names_ids!A:B,2,false)</f>
        <v>mup</v>
      </c>
      <c r="F269" s="61">
        <f>countif(Constants!A:A,E269)</f>
        <v>1</v>
      </c>
      <c r="G269" s="62" t="str">
        <f t="shared" si="1"/>
        <v>1.4106067873e-26</v>
      </c>
      <c r="H269" s="62">
        <f t="shared" si="2"/>
        <v>0</v>
      </c>
      <c r="I269" s="62" t="str">
        <f t="shared" si="3"/>
        <v>0.0000000097e-26</v>
      </c>
      <c r="J269" s="62">
        <f t="shared" si="4"/>
        <v>0</v>
      </c>
      <c r="K269" s="62" t="b">
        <f t="shared" si="5"/>
        <v>0</v>
      </c>
      <c r="L269" s="62" t="b">
        <f t="shared" si="6"/>
        <v>0</v>
      </c>
      <c r="M269" s="60" t="str">
        <f>IFERROR(__xludf.DUMMYFUNCTION("if(regexmatch(B269,""e(.*)$""),regexextract(B269,""e(.*)$""),"""")"),"-26")</f>
        <v>-26</v>
      </c>
    </row>
    <row r="270">
      <c r="A270" s="17" t="s">
        <v>2658</v>
      </c>
      <c r="B270" s="17" t="s">
        <v>4056</v>
      </c>
      <c r="C270" s="17" t="s">
        <v>4057</v>
      </c>
      <c r="E270" s="60" t="str">
        <f>VLOOKUP($A270,nist_names_ids!A:B,2,false)</f>
        <v>mupsmub</v>
      </c>
      <c r="F270" s="61">
        <f>countif(Constants!A:A,E270)</f>
        <v>1</v>
      </c>
      <c r="G270" s="62" t="str">
        <f t="shared" si="1"/>
        <v>1.5210322053e-3</v>
      </c>
      <c r="H270" s="62">
        <f t="shared" si="2"/>
        <v>0.001521032205</v>
      </c>
      <c r="I270" s="62" t="str">
        <f t="shared" si="3"/>
        <v>0.0000000046e-3</v>
      </c>
      <c r="J270" s="62">
        <f t="shared" si="4"/>
        <v>0</v>
      </c>
      <c r="K270" s="62" t="b">
        <f t="shared" si="5"/>
        <v>0</v>
      </c>
      <c r="L270" s="62" t="b">
        <f t="shared" si="6"/>
        <v>0</v>
      </c>
      <c r="M270" s="60" t="str">
        <f>IFERROR(__xludf.DUMMYFUNCTION("if(regexmatch(B270,""e(.*)$""),regexextract(B270,""e(.*)$""),"""")"),"-3")</f>
        <v>-3</v>
      </c>
    </row>
    <row r="271">
      <c r="A271" s="17" t="s">
        <v>2662</v>
      </c>
      <c r="B271" s="17" t="s">
        <v>4059</v>
      </c>
      <c r="C271" s="17" t="s">
        <v>4060</v>
      </c>
      <c r="E271" s="60" t="str">
        <f>VLOOKUP($A271,nist_names_ids!A:B,2,false)</f>
        <v>mupsmun</v>
      </c>
      <c r="F271" s="61">
        <f>countif(Constants!A:A,E271)</f>
        <v>1</v>
      </c>
      <c r="G271" s="62" t="str">
        <f t="shared" si="1"/>
        <v>2.7928473508</v>
      </c>
      <c r="H271" s="62">
        <f t="shared" si="2"/>
        <v>2.792847351</v>
      </c>
      <c r="I271" s="62" t="str">
        <f t="shared" si="3"/>
        <v>0.0000000085</v>
      </c>
      <c r="J271" s="62">
        <f t="shared" si="4"/>
        <v>0.0000000085</v>
      </c>
      <c r="K271" s="62" t="b">
        <f t="shared" si="5"/>
        <v>0</v>
      </c>
      <c r="L271" s="62" t="b">
        <f t="shared" si="6"/>
        <v>0</v>
      </c>
      <c r="M271" s="60" t="str">
        <f>IFERROR(__xludf.DUMMYFUNCTION("if(regexmatch(B271,""e(.*)$""),regexextract(B271,""e(.*)$""),"""")"),"")</f>
        <v/>
      </c>
    </row>
    <row r="272">
      <c r="A272" s="17" t="s">
        <v>2669</v>
      </c>
      <c r="B272" s="64" t="s">
        <v>4068</v>
      </c>
      <c r="C272" s="64" t="s">
        <v>4069</v>
      </c>
      <c r="E272" s="60" t="str">
        <f>VLOOKUP($A272,nist_names_ids!A:B,2,false)</f>
        <v>sigmapp</v>
      </c>
      <c r="F272" s="61">
        <f>countif(Constants!A:A,E272)</f>
        <v>1</v>
      </c>
      <c r="G272" s="62" t="str">
        <f t="shared" si="1"/>
        <v>25.691e-6</v>
      </c>
      <c r="H272" s="62">
        <f t="shared" si="2"/>
        <v>0.000025691</v>
      </c>
      <c r="I272" s="62" t="str">
        <f t="shared" si="3"/>
        <v>0.011e-6</v>
      </c>
      <c r="J272" s="62">
        <f t="shared" si="4"/>
        <v>0.000000011</v>
      </c>
      <c r="K272" s="62" t="b">
        <f t="shared" si="5"/>
        <v>0</v>
      </c>
      <c r="L272" s="62" t="b">
        <f t="shared" si="6"/>
        <v>0</v>
      </c>
      <c r="M272" s="60" t="str">
        <f>IFERROR(__xludf.DUMMYFUNCTION("if(regexmatch(B272,""e(.*)$""),regexextract(B272,""e(.*)$""),"""")"),"-6")</f>
        <v>-6</v>
      </c>
    </row>
    <row r="273">
      <c r="A273" s="17" t="s">
        <v>2673</v>
      </c>
      <c r="B273" s="17" t="s">
        <v>4073</v>
      </c>
      <c r="C273" s="17" t="s">
        <v>3893</v>
      </c>
      <c r="D273" s="17" t="s">
        <v>98</v>
      </c>
      <c r="E273" s="60" t="str">
        <f>VLOOKUP($A273,nist_names_ids!A:B,2,false)</f>
        <v>mp</v>
      </c>
      <c r="F273" s="61">
        <f>countif(Constants!A:A,E273)</f>
        <v>1</v>
      </c>
      <c r="G273" s="62" t="str">
        <f t="shared" si="1"/>
        <v>1.672621898e-27</v>
      </c>
      <c r="H273" s="62">
        <f t="shared" si="2"/>
        <v>0</v>
      </c>
      <c r="I273" s="62" t="str">
        <f t="shared" si="3"/>
        <v>0.000000021e-27</v>
      </c>
      <c r="J273" s="62">
        <f t="shared" si="4"/>
        <v>0</v>
      </c>
      <c r="K273" s="62" t="b">
        <f t="shared" si="5"/>
        <v>0</v>
      </c>
      <c r="L273" s="62" t="b">
        <f t="shared" si="6"/>
        <v>0</v>
      </c>
      <c r="M273" s="60" t="str">
        <f>IFERROR(__xludf.DUMMYFUNCTION("if(regexmatch(B273,""e(.*)$""),regexextract(B273,""e(.*)$""),"""")"),"-27")</f>
        <v>-27</v>
      </c>
    </row>
    <row r="274">
      <c r="A274" s="17" t="s">
        <v>2675</v>
      </c>
      <c r="B274" s="17" t="s">
        <v>4078</v>
      </c>
      <c r="C274" s="17" t="s">
        <v>3090</v>
      </c>
      <c r="D274" s="17" t="s">
        <v>173</v>
      </c>
      <c r="E274" s="60" t="str">
        <f>VLOOKUP($A274,nist_names_ids!A:B,2,false)</f>
        <v>mpc2</v>
      </c>
      <c r="F274" s="61">
        <f>countif(Constants!A:A,E274)</f>
        <v>1</v>
      </c>
      <c r="G274" s="62" t="str">
        <f t="shared" si="1"/>
        <v>1.503277593e-10</v>
      </c>
      <c r="H274" s="62">
        <f t="shared" si="2"/>
        <v>0.0000000001503277593</v>
      </c>
      <c r="I274" s="62" t="str">
        <f t="shared" si="3"/>
        <v>0.000000018e-10</v>
      </c>
      <c r="J274" s="62">
        <f t="shared" si="4"/>
        <v>0</v>
      </c>
      <c r="K274" s="62" t="b">
        <f t="shared" si="5"/>
        <v>0</v>
      </c>
      <c r="L274" s="62" t="b">
        <f t="shared" si="6"/>
        <v>0</v>
      </c>
      <c r="M274" s="60" t="str">
        <f>IFERROR(__xludf.DUMMYFUNCTION("if(regexmatch(B274,""e(.*)$""),regexextract(B274,""e(.*)$""),"""")"),"-10")</f>
        <v>-10</v>
      </c>
    </row>
    <row r="275">
      <c r="A275" s="17" t="s">
        <v>2682</v>
      </c>
      <c r="B275" s="17" t="s">
        <v>4079</v>
      </c>
      <c r="C275" s="17" t="s">
        <v>3906</v>
      </c>
      <c r="D275" s="17" t="s">
        <v>224</v>
      </c>
      <c r="E275" s="60" t="str">
        <f>VLOOKUP($A275,nist_names_ids!A:B,2,false)</f>
        <v>mpc2mev</v>
      </c>
      <c r="F275" s="61">
        <f>countif(Constants!A:A,E275)</f>
        <v>1</v>
      </c>
      <c r="G275" s="62" t="str">
        <f t="shared" si="1"/>
        <v>938.2720813</v>
      </c>
      <c r="H275" s="62">
        <f t="shared" si="2"/>
        <v>938.2720813</v>
      </c>
      <c r="I275" s="62" t="str">
        <f t="shared" si="3"/>
        <v>0.0000058</v>
      </c>
      <c r="J275" s="62">
        <f t="shared" si="4"/>
        <v>0.0000058</v>
      </c>
      <c r="K275" s="62" t="b">
        <f t="shared" si="5"/>
        <v>0</v>
      </c>
      <c r="L275" s="62" t="b">
        <f t="shared" si="6"/>
        <v>0</v>
      </c>
      <c r="M275" s="60" t="str">
        <f>IFERROR(__xludf.DUMMYFUNCTION("if(regexmatch(B275,""e(.*)$""),regexextract(B275,""e(.*)$""),"""")"),"")</f>
        <v/>
      </c>
    </row>
    <row r="276">
      <c r="A276" s="17" t="s">
        <v>2689</v>
      </c>
      <c r="B276" s="17" t="s">
        <v>4083</v>
      </c>
      <c r="C276" s="17" t="s">
        <v>4084</v>
      </c>
      <c r="D276" s="17" t="s">
        <v>249</v>
      </c>
      <c r="E276" s="60" t="str">
        <f>VLOOKUP($A276,nist_names_ids!A:B,2,false)</f>
        <v>mpu</v>
      </c>
      <c r="F276" s="61">
        <f>countif(Constants!A:A,E276)</f>
        <v>1</v>
      </c>
      <c r="G276" s="62" t="str">
        <f t="shared" si="1"/>
        <v>1.007276466879</v>
      </c>
      <c r="H276" s="62">
        <f t="shared" si="2"/>
        <v>1.007276467</v>
      </c>
      <c r="I276" s="62" t="str">
        <f t="shared" si="3"/>
        <v>0.000000000091</v>
      </c>
      <c r="J276" s="62">
        <f t="shared" si="4"/>
        <v>0</v>
      </c>
      <c r="K276" s="62" t="b">
        <f t="shared" si="5"/>
        <v>0</v>
      </c>
      <c r="L276" s="62" t="b">
        <f t="shared" si="6"/>
        <v>0</v>
      </c>
      <c r="M276" s="60" t="str">
        <f>IFERROR(__xludf.DUMMYFUNCTION("if(regexmatch(B276,""e(.*)$""),regexextract(B276,""e(.*)$""),"""")"),"")</f>
        <v/>
      </c>
    </row>
    <row r="277">
      <c r="A277" s="17" t="s">
        <v>2695</v>
      </c>
      <c r="B277" s="17" t="s">
        <v>4089</v>
      </c>
      <c r="C277" s="17" t="s">
        <v>4090</v>
      </c>
      <c r="D277" s="17" t="s">
        <v>286</v>
      </c>
      <c r="E277" s="60" t="str">
        <f>VLOOKUP($A277,nist_names_ids!A:B,2,false)</f>
        <v>mmp</v>
      </c>
      <c r="F277" s="61">
        <f>countif(Constants!A:A,E277)</f>
        <v>1</v>
      </c>
      <c r="G277" s="62" t="str">
        <f t="shared" si="1"/>
        <v>1.007276466879e-3</v>
      </c>
      <c r="H277" s="62">
        <f t="shared" si="2"/>
        <v>0.001007276467</v>
      </c>
      <c r="I277" s="62" t="str">
        <f t="shared" si="3"/>
        <v>0.000000000091e-3</v>
      </c>
      <c r="J277" s="62">
        <f t="shared" si="4"/>
        <v>0</v>
      </c>
      <c r="K277" s="62" t="b">
        <f t="shared" si="5"/>
        <v>0</v>
      </c>
      <c r="L277" s="62" t="b">
        <f t="shared" si="6"/>
        <v>0</v>
      </c>
      <c r="M277" s="60" t="str">
        <f>IFERROR(__xludf.DUMMYFUNCTION("if(regexmatch(B277,""e(.*)$""),regexextract(B277,""e(.*)$""),"""")"),"-3")</f>
        <v>-3</v>
      </c>
    </row>
    <row r="278">
      <c r="A278" s="17" t="s">
        <v>2697</v>
      </c>
      <c r="B278" s="17" t="s">
        <v>4093</v>
      </c>
      <c r="C278" s="17" t="s">
        <v>2348</v>
      </c>
      <c r="E278" s="60" t="str">
        <f>VLOOKUP($A278,nist_names_ids!A:B,2,false)</f>
        <v>mpsmmu</v>
      </c>
      <c r="F278" s="61">
        <f>countif(Constants!A:A,E278)</f>
        <v>1</v>
      </c>
      <c r="G278" s="62" t="str">
        <f t="shared" si="1"/>
        <v>8.88024338</v>
      </c>
      <c r="H278" s="62">
        <f t="shared" si="2"/>
        <v>8.88024338</v>
      </c>
      <c r="I278" s="62" t="str">
        <f t="shared" si="3"/>
        <v>0.00000020</v>
      </c>
      <c r="J278" s="62">
        <f t="shared" si="4"/>
        <v>0.0000002</v>
      </c>
      <c r="K278" s="62" t="b">
        <f t="shared" si="5"/>
        <v>0</v>
      </c>
      <c r="L278" s="62" t="b">
        <f t="shared" si="6"/>
        <v>0</v>
      </c>
      <c r="M278" s="60" t="str">
        <f>IFERROR(__xludf.DUMMYFUNCTION("if(regexmatch(B278,""e(.*)$""),regexextract(B278,""e(.*)$""),"""")"),"")</f>
        <v/>
      </c>
    </row>
    <row r="279">
      <c r="A279" s="17" t="s">
        <v>2700</v>
      </c>
      <c r="B279" s="17" t="s">
        <v>3494</v>
      </c>
      <c r="C279" s="17" t="s">
        <v>2702</v>
      </c>
      <c r="E279" s="60" t="str">
        <f>VLOOKUP($A279,nist_names_ids!A:B,2,false)</f>
        <v>mupsmunn</v>
      </c>
      <c r="F279" s="61">
        <f>countif(Constants!A:A,E279)</f>
        <v>1</v>
      </c>
      <c r="G279" s="62" t="str">
        <f t="shared" si="1"/>
        <v>-1.45989805</v>
      </c>
      <c r="H279" s="62">
        <f t="shared" si="2"/>
        <v>-1.45989805</v>
      </c>
      <c r="I279" s="62" t="str">
        <f t="shared" si="3"/>
        <v>0.00000034</v>
      </c>
      <c r="J279" s="62">
        <f t="shared" si="4"/>
        <v>0.00000034</v>
      </c>
      <c r="K279" s="62" t="b">
        <f t="shared" si="5"/>
        <v>0</v>
      </c>
      <c r="L279" s="62" t="b">
        <f t="shared" si="6"/>
        <v>0</v>
      </c>
      <c r="M279" s="60" t="str">
        <f>IFERROR(__xludf.DUMMYFUNCTION("if(regexmatch(B279,""e(.*)$""),regexextract(B279,""e(.*)$""),"""")"),"")</f>
        <v/>
      </c>
    </row>
    <row r="280">
      <c r="A280" s="17" t="s">
        <v>2705</v>
      </c>
      <c r="B280" s="17" t="s">
        <v>4100</v>
      </c>
      <c r="C280" s="17" t="s">
        <v>3945</v>
      </c>
      <c r="E280" s="60" t="str">
        <f>VLOOKUP($A280,nist_names_ids!A:B,2,false)</f>
        <v>mpsmn</v>
      </c>
      <c r="F280" s="61">
        <f>countif(Constants!A:A,E280)</f>
        <v>1</v>
      </c>
      <c r="G280" s="62" t="str">
        <f t="shared" si="1"/>
        <v>0.99862347844</v>
      </c>
      <c r="H280" s="62">
        <f t="shared" si="2"/>
        <v>0.9986234784</v>
      </c>
      <c r="I280" s="62" t="str">
        <f t="shared" si="3"/>
        <v>0.00000000051</v>
      </c>
      <c r="J280" s="62">
        <f t="shared" si="4"/>
        <v>0.00000000051</v>
      </c>
      <c r="K280" s="62" t="b">
        <f t="shared" si="5"/>
        <v>0</v>
      </c>
      <c r="L280" s="62" t="b">
        <f t="shared" si="6"/>
        <v>0</v>
      </c>
      <c r="M280" s="60" t="str">
        <f>IFERROR(__xludf.DUMMYFUNCTION("if(regexmatch(B280,""e(.*)$""),regexextract(B280,""e(.*)$""),"""")"),"")</f>
        <v/>
      </c>
    </row>
    <row r="281">
      <c r="A281" s="17" t="s">
        <v>2711</v>
      </c>
      <c r="B281" s="64" t="s">
        <v>4102</v>
      </c>
      <c r="C281" s="64" t="s">
        <v>4103</v>
      </c>
      <c r="D281" s="17" t="s">
        <v>381</v>
      </c>
      <c r="E281" s="60" t="str">
        <f>VLOOKUP($A281,nist_names_ids!A:B,2,false)</f>
        <v>rp</v>
      </c>
      <c r="F281" s="61">
        <f>countif(Constants!A:A,E281)</f>
        <v>1</v>
      </c>
      <c r="G281" s="62" t="str">
        <f t="shared" si="1"/>
        <v>0.8751e-15</v>
      </c>
      <c r="H281" s="62">
        <f t="shared" si="2"/>
        <v>0</v>
      </c>
      <c r="I281" s="62" t="str">
        <f t="shared" si="3"/>
        <v>0.0061e-15</v>
      </c>
      <c r="J281" s="62">
        <f t="shared" si="4"/>
        <v>0</v>
      </c>
      <c r="K281" s="62" t="b">
        <f t="shared" si="5"/>
        <v>0</v>
      </c>
      <c r="L281" s="62" t="b">
        <f t="shared" si="6"/>
        <v>0</v>
      </c>
      <c r="M281" s="60" t="str">
        <f>IFERROR(__xludf.DUMMYFUNCTION("if(regexmatch(B281,""e(.*)$""),regexextract(B281,""e(.*)$""),"""")"),"-15")</f>
        <v>-15</v>
      </c>
    </row>
    <row r="282">
      <c r="A282" s="17" t="s">
        <v>2715</v>
      </c>
      <c r="B282" s="17" t="s">
        <v>4105</v>
      </c>
      <c r="C282" s="17" t="s">
        <v>3955</v>
      </c>
      <c r="E282" s="60" t="str">
        <f>VLOOKUP($A282,nist_names_ids!A:B,2,false)</f>
        <v>mpsmtau</v>
      </c>
      <c r="F282" s="61">
        <f>countif(Constants!A:A,E282)</f>
        <v>1</v>
      </c>
      <c r="G282" s="62" t="str">
        <f t="shared" si="1"/>
        <v>0.528063</v>
      </c>
      <c r="H282" s="62">
        <f t="shared" si="2"/>
        <v>0.528063</v>
      </c>
      <c r="I282" s="62" t="str">
        <f t="shared" si="3"/>
        <v>0.000048</v>
      </c>
      <c r="J282" s="62">
        <f t="shared" si="4"/>
        <v>0.000048</v>
      </c>
      <c r="K282" s="62" t="b">
        <f t="shared" si="5"/>
        <v>0</v>
      </c>
      <c r="L282" s="62" t="b">
        <f t="shared" si="6"/>
        <v>0</v>
      </c>
      <c r="M282" s="60" t="str">
        <f>IFERROR(__xludf.DUMMYFUNCTION("if(regexmatch(B282,""e(.*)$""),regexextract(B282,""e(.*)$""),"""")"),"")</f>
        <v/>
      </c>
    </row>
    <row r="283">
      <c r="A283" s="17" t="s">
        <v>2719</v>
      </c>
      <c r="B283" s="17" t="s">
        <v>4109</v>
      </c>
      <c r="C283" s="17" t="s">
        <v>4092</v>
      </c>
      <c r="D283" s="17" t="s">
        <v>2721</v>
      </c>
      <c r="E283" s="60" t="str">
        <f>VLOOKUP($A283,nist_names_ids!A:B,2,false)</f>
        <v>qucirchs2me</v>
      </c>
      <c r="F283" s="61">
        <f>countif(Constants!A:A,E283)</f>
        <v>1</v>
      </c>
      <c r="G283" s="62" t="str">
        <f t="shared" si="1"/>
        <v>3.6369475486e-4</v>
      </c>
      <c r="H283" s="62">
        <f t="shared" si="2"/>
        <v>0.0003636947549</v>
      </c>
      <c r="I283" s="62" t="str">
        <f t="shared" si="3"/>
        <v>0.0000000017e-4</v>
      </c>
      <c r="J283" s="62">
        <f t="shared" si="4"/>
        <v>0</v>
      </c>
      <c r="K283" s="62" t="b">
        <f t="shared" si="5"/>
        <v>0</v>
      </c>
      <c r="L283" s="62" t="b">
        <f t="shared" si="6"/>
        <v>0</v>
      </c>
      <c r="M283" s="60" t="str">
        <f>IFERROR(__xludf.DUMMYFUNCTION("if(regexmatch(B283,""e(.*)$""),regexextract(B283,""e(.*)$""),"""")"),"-4")</f>
        <v>-4</v>
      </c>
    </row>
    <row r="284">
      <c r="A284" s="17" t="s">
        <v>2727</v>
      </c>
      <c r="B284" s="17" t="s">
        <v>4112</v>
      </c>
      <c r="C284" s="17" t="s">
        <v>4113</v>
      </c>
      <c r="D284" s="17" t="s">
        <v>2721</v>
      </c>
      <c r="E284" s="60" t="str">
        <f>VLOOKUP($A284,nist_names_ids!A:B,2,false)</f>
        <v>hsme</v>
      </c>
      <c r="F284" s="61">
        <f>countif(Constants!A:A,E284)</f>
        <v>1</v>
      </c>
      <c r="G284" s="62" t="str">
        <f t="shared" si="1"/>
        <v>7.2738950972e-4</v>
      </c>
      <c r="H284" s="62">
        <f t="shared" si="2"/>
        <v>0.0007273895097</v>
      </c>
      <c r="I284" s="62" t="str">
        <f t="shared" si="3"/>
        <v>0.0000000033e-4</v>
      </c>
      <c r="J284" s="62">
        <f t="shared" si="4"/>
        <v>0</v>
      </c>
      <c r="K284" s="62" t="b">
        <f t="shared" si="5"/>
        <v>0</v>
      </c>
      <c r="L284" s="62" t="b">
        <f t="shared" si="6"/>
        <v>0</v>
      </c>
      <c r="M284" s="60" t="str">
        <f>IFERROR(__xludf.DUMMYFUNCTION("if(regexmatch(B284,""e(.*)$""),regexextract(B284,""e(.*)$""),"""")"),"-4")</f>
        <v>-4</v>
      </c>
    </row>
    <row r="285">
      <c r="A285" s="17" t="s">
        <v>2769</v>
      </c>
      <c r="B285" s="17" t="s">
        <v>4117</v>
      </c>
      <c r="C285" s="17" t="s">
        <v>4118</v>
      </c>
      <c r="D285" s="17" t="s">
        <v>561</v>
      </c>
      <c r="E285" s="60" t="str">
        <f>VLOOKUP($A285,nist_names_ids!A:B,2,false)</f>
        <v>ryd</v>
      </c>
      <c r="F285" s="61">
        <f>countif(Constants!A:A,E285)</f>
        <v>1</v>
      </c>
      <c r="G285" s="62" t="str">
        <f t="shared" si="1"/>
        <v>10973731.568508</v>
      </c>
      <c r="H285" s="62">
        <f t="shared" si="2"/>
        <v>10973731.57</v>
      </c>
      <c r="I285" s="62" t="str">
        <f t="shared" si="3"/>
        <v>0.000065</v>
      </c>
      <c r="J285" s="62">
        <f t="shared" si="4"/>
        <v>0.000065</v>
      </c>
      <c r="K285" s="62" t="b">
        <f t="shared" si="5"/>
        <v>0</v>
      </c>
      <c r="L285" s="62" t="b">
        <f t="shared" si="6"/>
        <v>0</v>
      </c>
      <c r="M285" s="60" t="str">
        <f>IFERROR(__xludf.DUMMYFUNCTION("if(regexmatch(B285,""e(.*)$""),regexextract(B285,""e(.*)$""),"""")"),"")</f>
        <v/>
      </c>
    </row>
    <row r="286">
      <c r="A286" s="17" t="s">
        <v>2774</v>
      </c>
      <c r="B286" s="17" t="s">
        <v>4120</v>
      </c>
      <c r="C286" s="17" t="s">
        <v>4121</v>
      </c>
      <c r="D286" s="17" t="s">
        <v>257</v>
      </c>
      <c r="E286" s="60" t="str">
        <f>VLOOKUP($A286,nist_names_ids!A:B,2,false)</f>
        <v>rydchz</v>
      </c>
      <c r="F286" s="61">
        <f>countif(Constants!A:A,E286)</f>
        <v>1</v>
      </c>
      <c r="G286" s="62" t="str">
        <f t="shared" si="1"/>
        <v>3.289841960355e15</v>
      </c>
      <c r="H286" s="62">
        <f t="shared" si="2"/>
        <v>3.28984E+15</v>
      </c>
      <c r="I286" s="62" t="str">
        <f t="shared" si="3"/>
        <v>0.000000000019e15</v>
      </c>
      <c r="J286" s="62">
        <f t="shared" si="4"/>
        <v>19000</v>
      </c>
      <c r="K286" s="62" t="b">
        <f t="shared" si="5"/>
        <v>0</v>
      </c>
      <c r="L286" s="62" t="b">
        <f t="shared" si="6"/>
        <v>0</v>
      </c>
      <c r="M286" s="60" t="str">
        <f>IFERROR(__xludf.DUMMYFUNCTION("if(regexmatch(B286,""e(.*)$""),regexextract(B286,""e(.*)$""),"""")"),"15")</f>
        <v>15</v>
      </c>
    </row>
    <row r="287">
      <c r="A287" s="17" t="s">
        <v>2780</v>
      </c>
      <c r="B287" s="17" t="s">
        <v>4123</v>
      </c>
      <c r="C287" s="17" t="s">
        <v>4124</v>
      </c>
      <c r="D287" s="17" t="s">
        <v>181</v>
      </c>
      <c r="E287" s="60" t="str">
        <f>VLOOKUP($A287,nist_names_ids!A:B,2,false)</f>
        <v>rydhcev</v>
      </c>
      <c r="F287" s="61">
        <f>countif(Constants!A:A,E287)</f>
        <v>1</v>
      </c>
      <c r="G287" s="62" t="str">
        <f t="shared" si="1"/>
        <v>13.605693009</v>
      </c>
      <c r="H287" s="62">
        <f t="shared" si="2"/>
        <v>13.60569301</v>
      </c>
      <c r="I287" s="62" t="str">
        <f t="shared" si="3"/>
        <v>0.000000084</v>
      </c>
      <c r="J287" s="62">
        <f t="shared" si="4"/>
        <v>0.000000084</v>
      </c>
      <c r="K287" s="62" t="b">
        <f t="shared" si="5"/>
        <v>0</v>
      </c>
      <c r="L287" s="62" t="b">
        <f t="shared" si="6"/>
        <v>0</v>
      </c>
      <c r="M287" s="60" t="str">
        <f>IFERROR(__xludf.DUMMYFUNCTION("if(regexmatch(B287,""e(.*)$""),regexextract(B287,""e(.*)$""),"""")"),"")</f>
        <v/>
      </c>
    </row>
    <row r="288">
      <c r="A288" s="17" t="s">
        <v>2784</v>
      </c>
      <c r="B288" s="17" t="s">
        <v>4127</v>
      </c>
      <c r="C288" s="17" t="s">
        <v>4128</v>
      </c>
      <c r="D288" s="17" t="s">
        <v>173</v>
      </c>
      <c r="E288" s="60" t="str">
        <f>VLOOKUP($A288,nist_names_ids!A:B,2,false)</f>
        <v>rydhcj</v>
      </c>
      <c r="F288" s="61">
        <f>countif(Constants!A:A,E288)</f>
        <v>1</v>
      </c>
      <c r="G288" s="62" t="str">
        <f t="shared" si="1"/>
        <v>2.179872325e-18</v>
      </c>
      <c r="H288" s="62">
        <f t="shared" si="2"/>
        <v>0</v>
      </c>
      <c r="I288" s="62" t="str">
        <f t="shared" si="3"/>
        <v>0.000000027e-18</v>
      </c>
      <c r="J288" s="62">
        <f t="shared" si="4"/>
        <v>0</v>
      </c>
      <c r="K288" s="62" t="b">
        <f t="shared" si="5"/>
        <v>0</v>
      </c>
      <c r="L288" s="62" t="b">
        <f t="shared" si="6"/>
        <v>0</v>
      </c>
      <c r="M288" s="60" t="str">
        <f>IFERROR(__xludf.DUMMYFUNCTION("if(regexmatch(B288,""e(.*)$""),regexextract(B288,""e(.*)$""),"""")"),"-18")</f>
        <v>-18</v>
      </c>
    </row>
    <row r="289">
      <c r="A289" s="17" t="s">
        <v>2788</v>
      </c>
      <c r="B289" s="17" t="s">
        <v>4131</v>
      </c>
      <c r="C289" s="17" t="s">
        <v>4132</v>
      </c>
      <c r="E289" s="60" t="str">
        <f>VLOOKUP($A289,nist_names_ids!A:B,2,false)</f>
        <v>s0sr</v>
      </c>
      <c r="F289" s="61">
        <f>countif(Constants!A:A,E289)</f>
        <v>1</v>
      </c>
      <c r="G289" s="62" t="str">
        <f t="shared" si="1"/>
        <v>-1.1517084</v>
      </c>
      <c r="H289" s="62">
        <f t="shared" si="2"/>
        <v>-1.1517084</v>
      </c>
      <c r="I289" s="62" t="str">
        <f t="shared" si="3"/>
        <v>0.0000014</v>
      </c>
      <c r="J289" s="62">
        <f t="shared" si="4"/>
        <v>0.0000014</v>
      </c>
      <c r="K289" s="62" t="b">
        <f t="shared" si="5"/>
        <v>0</v>
      </c>
      <c r="L289" s="62" t="b">
        <f t="shared" si="6"/>
        <v>0</v>
      </c>
      <c r="M289" s="60" t="str">
        <f>IFERROR(__xludf.DUMMYFUNCTION("if(regexmatch(B289,""e(.*)$""),regexextract(B289,""e(.*)$""),"""")"),"")</f>
        <v/>
      </c>
    </row>
    <row r="290">
      <c r="A290" s="17" t="s">
        <v>2795</v>
      </c>
      <c r="B290" s="17" t="s">
        <v>4133</v>
      </c>
      <c r="C290" s="17" t="s">
        <v>4132</v>
      </c>
      <c r="E290" s="60" t="str">
        <f>VLOOKUP($A290,nist_names_ids!A:B,2,false)</f>
        <v>s0srstd</v>
      </c>
      <c r="F290" s="61">
        <f>countif(Constants!A:A,E290)</f>
        <v>1</v>
      </c>
      <c r="G290" s="62" t="str">
        <f t="shared" si="1"/>
        <v>-1.1648714</v>
      </c>
      <c r="H290" s="62">
        <f t="shared" si="2"/>
        <v>-1.1648714</v>
      </c>
      <c r="I290" s="62" t="str">
        <f t="shared" si="3"/>
        <v>0.0000014</v>
      </c>
      <c r="J290" s="62">
        <f t="shared" si="4"/>
        <v>0.0000014</v>
      </c>
      <c r="K290" s="62" t="b">
        <f t="shared" si="5"/>
        <v>0</v>
      </c>
      <c r="L290" s="62" t="b">
        <f t="shared" si="6"/>
        <v>0</v>
      </c>
      <c r="M290" s="60" t="str">
        <f>IFERROR(__xludf.DUMMYFUNCTION("if(regexmatch(B290,""e(.*)$""),regexextract(B290,""e(.*)$""),"""")"),"")</f>
        <v/>
      </c>
    </row>
    <row r="291">
      <c r="A291" s="17" t="s">
        <v>2799</v>
      </c>
      <c r="B291" s="17" t="s">
        <v>3629</v>
      </c>
      <c r="C291" s="17" t="s">
        <v>3630</v>
      </c>
      <c r="D291" s="17" t="s">
        <v>2800</v>
      </c>
      <c r="E291" s="60" t="str">
        <f>VLOOKUP($A291,nist_names_ids!A:B,2,false)</f>
        <v>c22ndrc</v>
      </c>
      <c r="F291" s="61">
        <f>countif(Constants!A:A,E291)</f>
        <v>1</v>
      </c>
      <c r="G291" s="62" t="str">
        <f t="shared" si="1"/>
        <v>1.43877736e-2</v>
      </c>
      <c r="H291" s="62">
        <f t="shared" si="2"/>
        <v>0.0143877736</v>
      </c>
      <c r="I291" s="62" t="str">
        <f t="shared" si="3"/>
        <v>0.00000083e-2</v>
      </c>
      <c r="J291" s="62">
        <f t="shared" si="4"/>
        <v>0.0000000083</v>
      </c>
      <c r="K291" s="62" t="b">
        <f t="shared" si="5"/>
        <v>0</v>
      </c>
      <c r="L291" s="62" t="b">
        <f t="shared" si="6"/>
        <v>0</v>
      </c>
      <c r="M291" s="60" t="str">
        <f>IFERROR(__xludf.DUMMYFUNCTION("if(regexmatch(B291,""e(.*)$""),regexextract(B291,""e(.*)$""),"""")"),"-2")</f>
        <v>-2</v>
      </c>
    </row>
    <row r="292">
      <c r="A292" s="17" t="s">
        <v>2802</v>
      </c>
      <c r="B292" s="17" t="s">
        <v>4138</v>
      </c>
      <c r="C292" s="17" t="s">
        <v>4139</v>
      </c>
      <c r="D292" s="17" t="s">
        <v>1717</v>
      </c>
      <c r="E292" s="60" t="str">
        <f>VLOOKUP($A292,nist_names_ids!A:B,2,false)</f>
        <v>gammahp</v>
      </c>
      <c r="F292" s="61">
        <f>countif(Constants!A:A,E292)</f>
        <v>1</v>
      </c>
      <c r="G292" s="62" t="str">
        <f t="shared" si="1"/>
        <v>2.037894585e8</v>
      </c>
      <c r="H292" s="62">
        <f t="shared" si="2"/>
        <v>203789458.5</v>
      </c>
      <c r="I292" s="62" t="str">
        <f t="shared" si="3"/>
        <v>0.000000027e8</v>
      </c>
      <c r="J292" s="62">
        <f t="shared" si="4"/>
        <v>2.7</v>
      </c>
      <c r="K292" s="62" t="b">
        <f t="shared" si="5"/>
        <v>0</v>
      </c>
      <c r="L292" s="62" t="b">
        <f t="shared" si="6"/>
        <v>0</v>
      </c>
      <c r="M292" s="60" t="str">
        <f>IFERROR(__xludf.DUMMYFUNCTION("if(regexmatch(B292,""e(.*)$""),regexextract(B292,""e(.*)$""),"""")"),"8")</f>
        <v>8</v>
      </c>
    </row>
    <row r="293">
      <c r="A293" s="17" t="s">
        <v>4141</v>
      </c>
      <c r="B293" s="17" t="s">
        <v>4142</v>
      </c>
      <c r="C293" s="17" t="s">
        <v>4143</v>
      </c>
      <c r="D293" s="17" t="s">
        <v>1733</v>
      </c>
      <c r="E293" s="60" t="str">
        <f>VLOOKUP($A293,nist_names_ids!A:B,2,false)</f>
        <v>gammahpbar</v>
      </c>
      <c r="F293" s="61">
        <f>countif(Constants!A:A,E293)</f>
        <v>1</v>
      </c>
      <c r="G293" s="62" t="str">
        <f t="shared" si="1"/>
        <v>32.43409966</v>
      </c>
      <c r="H293" s="62">
        <f t="shared" si="2"/>
        <v>32.43409966</v>
      </c>
      <c r="I293" s="62" t="str">
        <f t="shared" si="3"/>
        <v>0.00000043</v>
      </c>
      <c r="J293" s="62">
        <f t="shared" si="4"/>
        <v>0.00000043</v>
      </c>
      <c r="K293" s="62" t="b">
        <f t="shared" si="5"/>
        <v>0</v>
      </c>
      <c r="L293" s="62" t="b">
        <f t="shared" si="6"/>
        <v>0</v>
      </c>
      <c r="M293" s="60" t="str">
        <f>IFERROR(__xludf.DUMMYFUNCTION("if(regexmatch(B293,""e(.*)$""),regexextract(B293,""e(.*)$""),"""")"),"")</f>
        <v/>
      </c>
    </row>
    <row r="294">
      <c r="A294" s="17" t="s">
        <v>2814</v>
      </c>
      <c r="B294" s="17" t="s">
        <v>4145</v>
      </c>
      <c r="C294" s="17" t="s">
        <v>3539</v>
      </c>
      <c r="D294" s="17" t="s">
        <v>964</v>
      </c>
      <c r="E294" s="60" t="str">
        <f>VLOOKUP($A294,nist_names_ids!A:B,2,false)</f>
        <v>muhp</v>
      </c>
      <c r="F294" s="61">
        <f>countif(Constants!A:A,E294)</f>
        <v>1</v>
      </c>
      <c r="G294" s="62" t="str">
        <f t="shared" si="1"/>
        <v>-1.074553080e-26</v>
      </c>
      <c r="H294" s="62">
        <f t="shared" si="2"/>
        <v>0</v>
      </c>
      <c r="I294" s="62" t="str">
        <f t="shared" si="3"/>
        <v>0.000000014e-26</v>
      </c>
      <c r="J294" s="62">
        <f t="shared" si="4"/>
        <v>0</v>
      </c>
      <c r="K294" s="62" t="b">
        <f t="shared" si="5"/>
        <v>0</v>
      </c>
      <c r="L294" s="62" t="b">
        <f t="shared" si="6"/>
        <v>0</v>
      </c>
      <c r="M294" s="60" t="str">
        <f>IFERROR(__xludf.DUMMYFUNCTION("if(regexmatch(B294,""e(.*)$""),regexextract(B294,""e(.*)$""),"""")"),"-26")</f>
        <v>-26</v>
      </c>
    </row>
    <row r="295">
      <c r="A295" s="17" t="s">
        <v>2817</v>
      </c>
      <c r="B295" s="17" t="s">
        <v>3589</v>
      </c>
      <c r="C295" s="17" t="s">
        <v>3036</v>
      </c>
      <c r="E295" s="60" t="str">
        <f>VLOOKUP($A295,nist_names_ids!A:B,2,false)</f>
        <v>muhpsmub</v>
      </c>
      <c r="F295" s="61">
        <f>countif(Constants!A:A,E295)</f>
        <v>1</v>
      </c>
      <c r="G295" s="62" t="str">
        <f t="shared" si="1"/>
        <v>-1.158671471e-3</v>
      </c>
      <c r="H295" s="62">
        <f t="shared" si="2"/>
        <v>-0.001158671471</v>
      </c>
      <c r="I295" s="62" t="str">
        <f t="shared" si="3"/>
        <v>0.000000014e-3</v>
      </c>
      <c r="J295" s="62">
        <f t="shared" si="4"/>
        <v>0</v>
      </c>
      <c r="K295" s="62" t="b">
        <f t="shared" si="5"/>
        <v>0</v>
      </c>
      <c r="L295" s="62" t="b">
        <f t="shared" si="6"/>
        <v>0</v>
      </c>
      <c r="M295" s="60" t="str">
        <f>IFERROR(__xludf.DUMMYFUNCTION("if(regexmatch(B295,""e(.*)$""),regexextract(B295,""e(.*)$""),"""")"),"-3")</f>
        <v>-3</v>
      </c>
    </row>
    <row r="296">
      <c r="A296" s="17" t="s">
        <v>2823</v>
      </c>
      <c r="B296" s="17" t="s">
        <v>4149</v>
      </c>
      <c r="C296" s="17" t="s">
        <v>3043</v>
      </c>
      <c r="E296" s="60" t="str">
        <f>VLOOKUP($A296,nist_names_ids!A:B,2,false)</f>
        <v>muhpsmun</v>
      </c>
      <c r="F296" s="61">
        <f>countif(Constants!A:A,E296)</f>
        <v>1</v>
      </c>
      <c r="G296" s="62" t="str">
        <f t="shared" si="1"/>
        <v>-2.127497720</v>
      </c>
      <c r="H296" s="62">
        <f t="shared" si="2"/>
        <v>-2.12749772</v>
      </c>
      <c r="I296" s="62" t="str">
        <f t="shared" si="3"/>
        <v>0.000000025</v>
      </c>
      <c r="J296" s="62">
        <f t="shared" si="4"/>
        <v>0.000000025</v>
      </c>
      <c r="K296" s="62" t="b">
        <f t="shared" si="5"/>
        <v>0</v>
      </c>
      <c r="L296" s="62" t="b">
        <f t="shared" si="6"/>
        <v>0</v>
      </c>
      <c r="M296" s="60" t="str">
        <f>IFERROR(__xludf.DUMMYFUNCTION("if(regexmatch(B296,""e(.*)$""),regexextract(B296,""e(.*)$""),"""")"),"")</f>
        <v/>
      </c>
    </row>
    <row r="297">
      <c r="A297" s="17" t="s">
        <v>2834</v>
      </c>
      <c r="B297" s="17" t="s">
        <v>4150</v>
      </c>
      <c r="C297" s="17" t="s">
        <v>4151</v>
      </c>
      <c r="E297" s="60" t="str">
        <f>VLOOKUP($A297,nist_names_ids!A:B,2,false)</f>
        <v>muhpsmup</v>
      </c>
      <c r="F297" s="61">
        <f>countif(Constants!A:A,E297)</f>
        <v>1</v>
      </c>
      <c r="G297" s="62" t="str">
        <f t="shared" si="1"/>
        <v>-0.7617665603</v>
      </c>
      <c r="H297" s="62">
        <f t="shared" si="2"/>
        <v>-0.7617665603</v>
      </c>
      <c r="I297" s="62" t="str">
        <f t="shared" si="3"/>
        <v>0.0000000092</v>
      </c>
      <c r="J297" s="62">
        <f t="shared" si="4"/>
        <v>0.0000000092</v>
      </c>
      <c r="K297" s="62" t="b">
        <f t="shared" si="5"/>
        <v>0</v>
      </c>
      <c r="L297" s="62" t="b">
        <f t="shared" si="6"/>
        <v>0</v>
      </c>
      <c r="M297" s="60" t="str">
        <f>IFERROR(__xludf.DUMMYFUNCTION("if(regexmatch(B297,""e(.*)$""),regexextract(B297,""e(.*)$""),"""")"),"")</f>
        <v/>
      </c>
    </row>
    <row r="298">
      <c r="A298" s="17" t="s">
        <v>2838</v>
      </c>
      <c r="B298" s="17" t="s">
        <v>3601</v>
      </c>
      <c r="C298" s="17" t="s">
        <v>3602</v>
      </c>
      <c r="E298" s="60" t="str">
        <f>VLOOKUP($A298,nist_names_ids!A:B,2,false)</f>
        <v>muhpsmupp</v>
      </c>
      <c r="F298" s="61">
        <f>countif(Constants!A:A,E298)</f>
        <v>1</v>
      </c>
      <c r="G298" s="62" t="str">
        <f t="shared" si="1"/>
        <v>-0.7617861313</v>
      </c>
      <c r="H298" s="62">
        <f t="shared" si="2"/>
        <v>-0.7617861313</v>
      </c>
      <c r="I298" s="62" t="str">
        <f t="shared" si="3"/>
        <v>0.0000000033</v>
      </c>
      <c r="J298" s="62">
        <f t="shared" si="4"/>
        <v>0.0000000033</v>
      </c>
      <c r="K298" s="62" t="b">
        <f t="shared" si="5"/>
        <v>0</v>
      </c>
      <c r="L298" s="62" t="b">
        <f t="shared" si="6"/>
        <v>0</v>
      </c>
      <c r="M298" s="60" t="str">
        <f>IFERROR(__xludf.DUMMYFUNCTION("if(regexmatch(B298,""e(.*)$""),regexextract(B298,""e(.*)$""),"""")"),"")</f>
        <v/>
      </c>
    </row>
    <row r="299">
      <c r="A299" s="17" t="s">
        <v>2845</v>
      </c>
      <c r="B299" s="17" t="s">
        <v>4155</v>
      </c>
      <c r="C299" s="17" t="s">
        <v>4156</v>
      </c>
      <c r="D299" s="17" t="s">
        <v>1717</v>
      </c>
      <c r="E299" s="60" t="str">
        <f>VLOOKUP($A299,nist_names_ids!A:B,2,false)</f>
        <v>gammapp</v>
      </c>
      <c r="F299" s="61">
        <f>countif(Constants!A:A,E299)</f>
        <v>1</v>
      </c>
      <c r="G299" s="62" t="str">
        <f t="shared" si="1"/>
        <v>2.675153171e8</v>
      </c>
      <c r="H299" s="62">
        <f t="shared" si="2"/>
        <v>267515317.1</v>
      </c>
      <c r="I299" s="62" t="str">
        <f t="shared" si="3"/>
        <v>0.000000033e8</v>
      </c>
      <c r="J299" s="62">
        <f t="shared" si="4"/>
        <v>3.3</v>
      </c>
      <c r="K299" s="62" t="b">
        <f t="shared" si="5"/>
        <v>0</v>
      </c>
      <c r="L299" s="62" t="b">
        <f t="shared" si="6"/>
        <v>0</v>
      </c>
      <c r="M299" s="60" t="str">
        <f>IFERROR(__xludf.DUMMYFUNCTION("if(regexmatch(B299,""e(.*)$""),regexextract(B299,""e(.*)$""),"""")"),"8")</f>
        <v>8</v>
      </c>
    </row>
    <row r="300">
      <c r="A300" s="17" t="s">
        <v>4160</v>
      </c>
      <c r="B300" s="17" t="s">
        <v>4161</v>
      </c>
      <c r="C300" s="17" t="s">
        <v>4162</v>
      </c>
      <c r="D300" s="17" t="s">
        <v>1733</v>
      </c>
      <c r="E300" s="60" t="str">
        <f>VLOOKUP($A300,nist_names_ids!A:B,2,false)</f>
        <v>gammappbar</v>
      </c>
      <c r="F300" s="61">
        <f>countif(Constants!A:A,E300)</f>
        <v>1</v>
      </c>
      <c r="G300" s="62" t="str">
        <f t="shared" si="1"/>
        <v>42.57638507</v>
      </c>
      <c r="H300" s="62">
        <f t="shared" si="2"/>
        <v>42.57638507</v>
      </c>
      <c r="I300" s="62" t="str">
        <f t="shared" si="3"/>
        <v>0.00000053</v>
      </c>
      <c r="J300" s="62">
        <f t="shared" si="4"/>
        <v>0.00000053</v>
      </c>
      <c r="K300" s="62" t="b">
        <f t="shared" si="5"/>
        <v>0</v>
      </c>
      <c r="L300" s="62" t="b">
        <f t="shared" si="6"/>
        <v>0</v>
      </c>
      <c r="M300" s="60" t="str">
        <f>IFERROR(__xludf.DUMMYFUNCTION("if(regexmatch(B300,""e(.*)$""),regexextract(B300,""e(.*)$""),"""")"),"")</f>
        <v/>
      </c>
    </row>
    <row r="301">
      <c r="A301" s="17" t="s">
        <v>2853</v>
      </c>
      <c r="B301" s="17" t="s">
        <v>4163</v>
      </c>
      <c r="C301" s="17" t="s">
        <v>4164</v>
      </c>
      <c r="D301" s="17" t="s">
        <v>964</v>
      </c>
      <c r="E301" s="60" t="str">
        <f>VLOOKUP($A301,nist_names_ids!A:B,2,false)</f>
        <v>mupp</v>
      </c>
      <c r="F301" s="61">
        <f>countif(Constants!A:A,E301)</f>
        <v>1</v>
      </c>
      <c r="G301" s="62" t="str">
        <f t="shared" si="1"/>
        <v>1.410570547e-26</v>
      </c>
      <c r="H301" s="62">
        <f t="shared" si="2"/>
        <v>0</v>
      </c>
      <c r="I301" s="62" t="str">
        <f t="shared" si="3"/>
        <v>0.000000018e-26</v>
      </c>
      <c r="J301" s="62">
        <f t="shared" si="4"/>
        <v>0</v>
      </c>
      <c r="K301" s="62" t="b">
        <f t="shared" si="5"/>
        <v>0</v>
      </c>
      <c r="L301" s="62" t="b">
        <f t="shared" si="6"/>
        <v>0</v>
      </c>
      <c r="M301" s="60" t="str">
        <f>IFERROR(__xludf.DUMMYFUNCTION("if(regexmatch(B301,""e(.*)$""),regexextract(B301,""e(.*)$""),"""")"),"-26")</f>
        <v>-26</v>
      </c>
    </row>
    <row r="302">
      <c r="A302" s="17" t="s">
        <v>2858</v>
      </c>
      <c r="B302" s="17" t="s">
        <v>3618</v>
      </c>
      <c r="C302" s="17" t="s">
        <v>3619</v>
      </c>
      <c r="E302" s="60" t="str">
        <f>VLOOKUP($A302,nist_names_ids!A:B,2,false)</f>
        <v>muppsmub</v>
      </c>
      <c r="F302" s="61">
        <f>countif(Constants!A:A,E302)</f>
        <v>1</v>
      </c>
      <c r="G302" s="62" t="str">
        <f t="shared" si="1"/>
        <v>1.520993128e-3</v>
      </c>
      <c r="H302" s="62">
        <f t="shared" si="2"/>
        <v>0.001520993128</v>
      </c>
      <c r="I302" s="62" t="str">
        <f t="shared" si="3"/>
        <v>0.000000017e-3</v>
      </c>
      <c r="J302" s="62">
        <f t="shared" si="4"/>
        <v>0</v>
      </c>
      <c r="K302" s="62" t="b">
        <f t="shared" si="5"/>
        <v>0</v>
      </c>
      <c r="L302" s="62" t="b">
        <f t="shared" si="6"/>
        <v>0</v>
      </c>
      <c r="M302" s="60" t="str">
        <f>IFERROR(__xludf.DUMMYFUNCTION("if(regexmatch(B302,""e(.*)$""),regexextract(B302,""e(.*)$""),"""")"),"-3")</f>
        <v>-3</v>
      </c>
    </row>
    <row r="303">
      <c r="A303" s="17" t="s">
        <v>2863</v>
      </c>
      <c r="B303" s="17" t="s">
        <v>4171</v>
      </c>
      <c r="C303" s="17" t="s">
        <v>3624</v>
      </c>
      <c r="E303" s="60" t="str">
        <f>VLOOKUP($A303,nist_names_ids!A:B,2,false)</f>
        <v>muppsmun</v>
      </c>
      <c r="F303" s="61">
        <f>countif(Constants!A:A,E303)</f>
        <v>1</v>
      </c>
      <c r="G303" s="62" t="str">
        <f t="shared" si="1"/>
        <v>2.792775600</v>
      </c>
      <c r="H303" s="62">
        <f t="shared" si="2"/>
        <v>2.7927756</v>
      </c>
      <c r="I303" s="62" t="str">
        <f t="shared" si="3"/>
        <v>0.000000030</v>
      </c>
      <c r="J303" s="62">
        <f t="shared" si="4"/>
        <v>0.00000003</v>
      </c>
      <c r="K303" s="62" t="b">
        <f t="shared" si="5"/>
        <v>0</v>
      </c>
      <c r="L303" s="62" t="b">
        <f t="shared" si="6"/>
        <v>0</v>
      </c>
      <c r="M303" s="60" t="str">
        <f>IFERROR(__xludf.DUMMYFUNCTION("if(regexmatch(B303,""e(.*)$""),regexextract(B303,""e(.*)$""),"""")"),"")</f>
        <v/>
      </c>
    </row>
    <row r="304">
      <c r="A304" s="17" t="s">
        <v>2877</v>
      </c>
      <c r="B304" s="17" t="s">
        <v>3106</v>
      </c>
      <c r="C304" s="17" t="s">
        <v>1501</v>
      </c>
      <c r="D304" s="17" t="s">
        <v>1109</v>
      </c>
      <c r="E304" s="60" t="str">
        <f>VLOOKUP($A304,nist_names_ids!A:B,2,false)</f>
        <v>c</v>
      </c>
      <c r="F304" s="61">
        <f>countif(Constants!A:A,E304)</f>
        <v>1</v>
      </c>
      <c r="G304" s="62" t="str">
        <f t="shared" si="1"/>
        <v>299792458</v>
      </c>
      <c r="H304" s="62">
        <f t="shared" si="2"/>
        <v>299792458</v>
      </c>
      <c r="I304" s="62" t="str">
        <f t="shared" si="3"/>
        <v>(exact)</v>
      </c>
      <c r="J304" s="62" t="str">
        <f t="shared" si="4"/>
        <v/>
      </c>
      <c r="K304" s="62" t="b">
        <f t="shared" si="5"/>
        <v>1</v>
      </c>
      <c r="L304" s="62" t="b">
        <f t="shared" si="6"/>
        <v>0</v>
      </c>
      <c r="M304" s="60" t="str">
        <f>IFERROR(__xludf.DUMMYFUNCTION("if(regexmatch(B304,""e(.*)$""),regexextract(B304,""e(.*)$""),"""")"),"")</f>
        <v/>
      </c>
    </row>
    <row r="305">
      <c r="A305" s="17" t="s">
        <v>2880</v>
      </c>
      <c r="B305" s="17" t="s">
        <v>3648</v>
      </c>
      <c r="C305" s="17" t="s">
        <v>1501</v>
      </c>
      <c r="D305" s="17" t="s">
        <v>2882</v>
      </c>
      <c r="E305" s="60" t="str">
        <f>VLOOKUP($A305,nist_names_ids!A:B,2,false)</f>
        <v>gn</v>
      </c>
      <c r="F305" s="61">
        <f>countif(Constants!A:A,E305)</f>
        <v>1</v>
      </c>
      <c r="G305" s="62" t="str">
        <f t="shared" si="1"/>
        <v>9.80665</v>
      </c>
      <c r="H305" s="62">
        <f t="shared" si="2"/>
        <v>9.80665</v>
      </c>
      <c r="I305" s="62" t="str">
        <f t="shared" si="3"/>
        <v>(exact)</v>
      </c>
      <c r="J305" s="62" t="str">
        <f t="shared" si="4"/>
        <v/>
      </c>
      <c r="K305" s="62" t="b">
        <f t="shared" si="5"/>
        <v>1</v>
      </c>
      <c r="L305" s="62" t="b">
        <f t="shared" si="6"/>
        <v>0</v>
      </c>
      <c r="M305" s="60" t="str">
        <f>IFERROR(__xludf.DUMMYFUNCTION("if(regexmatch(B305,""e(.*)$""),regexextract(B305,""e(.*)$""),"""")"),"")</f>
        <v/>
      </c>
    </row>
    <row r="306">
      <c r="A306" s="17" t="s">
        <v>2886</v>
      </c>
      <c r="B306" s="17" t="s">
        <v>3651</v>
      </c>
      <c r="C306" s="17" t="s">
        <v>1501</v>
      </c>
      <c r="D306" s="17" t="s">
        <v>512</v>
      </c>
      <c r="E306" s="60" t="str">
        <f>VLOOKUP($A306,nist_names_ids!A:B,2,false)</f>
        <v>stdatm</v>
      </c>
      <c r="F306" s="61">
        <f>countif(Constants!A:A,E306)</f>
        <v>1</v>
      </c>
      <c r="G306" s="62" t="str">
        <f t="shared" si="1"/>
        <v>101325</v>
      </c>
      <c r="H306" s="62">
        <f t="shared" si="2"/>
        <v>101325</v>
      </c>
      <c r="I306" s="62" t="str">
        <f t="shared" si="3"/>
        <v>(exact)</v>
      </c>
      <c r="J306" s="62" t="str">
        <f t="shared" si="4"/>
        <v/>
      </c>
      <c r="K306" s="62" t="b">
        <f t="shared" si="5"/>
        <v>1</v>
      </c>
      <c r="L306" s="62" t="b">
        <f t="shared" si="6"/>
        <v>0</v>
      </c>
      <c r="M306" s="60" t="str">
        <f>IFERROR(__xludf.DUMMYFUNCTION("if(regexmatch(B306,""e(.*)$""),regexextract(B306,""e(.*)$""),"""")"),"")</f>
        <v/>
      </c>
    </row>
    <row r="307">
      <c r="A307" s="17" t="s">
        <v>2888</v>
      </c>
      <c r="B307" s="17" t="s">
        <v>3654</v>
      </c>
      <c r="C307" s="17" t="s">
        <v>1501</v>
      </c>
      <c r="D307" s="17" t="s">
        <v>512</v>
      </c>
      <c r="E307" s="60" t="str">
        <f>VLOOKUP($A307,nist_names_ids!A:B,2,false)</f>
        <v>stdspr</v>
      </c>
      <c r="F307" s="61">
        <f>countif(Constants!A:A,E307)</f>
        <v>1</v>
      </c>
      <c r="G307" s="62" t="str">
        <f t="shared" si="1"/>
        <v>100000</v>
      </c>
      <c r="H307" s="62">
        <f t="shared" si="2"/>
        <v>100000</v>
      </c>
      <c r="I307" s="62" t="str">
        <f t="shared" si="3"/>
        <v>(exact)</v>
      </c>
      <c r="J307" s="62" t="str">
        <f t="shared" si="4"/>
        <v/>
      </c>
      <c r="K307" s="62" t="b">
        <f t="shared" si="5"/>
        <v>1</v>
      </c>
      <c r="L307" s="62" t="b">
        <f t="shared" si="6"/>
        <v>0</v>
      </c>
      <c r="M307" s="60" t="str">
        <f>IFERROR(__xludf.DUMMYFUNCTION("if(regexmatch(B307,""e(.*)$""),regexextract(B307,""e(.*)$""),"""")"),"")</f>
        <v/>
      </c>
    </row>
    <row r="308">
      <c r="A308" s="17" t="s">
        <v>2890</v>
      </c>
      <c r="B308" s="17" t="s">
        <v>4180</v>
      </c>
      <c r="C308" s="17" t="s">
        <v>4181</v>
      </c>
      <c r="D308" s="17" t="s">
        <v>2892</v>
      </c>
      <c r="E308" s="60" t="str">
        <f>VLOOKUP($A308,nist_names_ids!A:B,2,false)</f>
        <v>sigma</v>
      </c>
      <c r="F308" s="61">
        <f>countif(Constants!A:A,E308)</f>
        <v>1</v>
      </c>
      <c r="G308" s="62" t="str">
        <f t="shared" si="1"/>
        <v>5.670367e-8</v>
      </c>
      <c r="H308" s="62">
        <f t="shared" si="2"/>
        <v>0.00000005670367</v>
      </c>
      <c r="I308" s="62" t="str">
        <f t="shared" si="3"/>
        <v>0.000013e-8</v>
      </c>
      <c r="J308" s="62">
        <f t="shared" si="4"/>
        <v>0</v>
      </c>
      <c r="K308" s="62" t="b">
        <f t="shared" si="5"/>
        <v>0</v>
      </c>
      <c r="L308" s="62" t="b">
        <f t="shared" si="6"/>
        <v>0</v>
      </c>
      <c r="M308" s="60" t="str">
        <f>IFERROR(__xludf.DUMMYFUNCTION("if(regexmatch(B308,""e(.*)$""),regexextract(B308,""e(.*)$""),"""")"),"-8")</f>
        <v>-8</v>
      </c>
    </row>
    <row r="309">
      <c r="A309" s="17" t="s">
        <v>2896</v>
      </c>
      <c r="B309" s="17" t="s">
        <v>4183</v>
      </c>
      <c r="C309" s="17" t="s">
        <v>4184</v>
      </c>
      <c r="D309" s="17" t="s">
        <v>381</v>
      </c>
      <c r="E309" s="60" t="str">
        <f>VLOOKUP($A309,nist_names_ids!A:B,2,false)</f>
        <v>tcomwl</v>
      </c>
      <c r="F309" s="61">
        <f>countif(Constants!A:A,E309)</f>
        <v>1</v>
      </c>
      <c r="G309" s="62" t="str">
        <f t="shared" si="1"/>
        <v>0.697787e-15</v>
      </c>
      <c r="H309" s="62">
        <f t="shared" si="2"/>
        <v>0</v>
      </c>
      <c r="I309" s="62" t="str">
        <f t="shared" si="3"/>
        <v>0.000063e-15</v>
      </c>
      <c r="J309" s="62">
        <f t="shared" si="4"/>
        <v>0</v>
      </c>
      <c r="K309" s="62" t="b">
        <f t="shared" si="5"/>
        <v>0</v>
      </c>
      <c r="L309" s="62" t="b">
        <f t="shared" si="6"/>
        <v>0</v>
      </c>
      <c r="M309" s="60" t="str">
        <f>IFERROR(__xludf.DUMMYFUNCTION("if(regexmatch(B309,""e(.*)$""),regexextract(B309,""e(.*)$""),"""")"),"-15")</f>
        <v>-15</v>
      </c>
    </row>
    <row r="310">
      <c r="A310" s="17" t="s">
        <v>4186</v>
      </c>
      <c r="B310" s="17" t="s">
        <v>4187</v>
      </c>
      <c r="C310" s="17" t="s">
        <v>4188</v>
      </c>
      <c r="D310" s="17" t="s">
        <v>381</v>
      </c>
      <c r="E310" s="60" t="str">
        <f>VLOOKUP($A310,nist_names_ids!A:B,2,false)</f>
        <v>tcomwlbar</v>
      </c>
      <c r="F310" s="61">
        <f>countif(Constants!A:A,E310)</f>
        <v>1</v>
      </c>
      <c r="G310" s="62" t="str">
        <f t="shared" si="1"/>
        <v>0.111056e-15</v>
      </c>
      <c r="H310" s="62">
        <f t="shared" si="2"/>
        <v>0</v>
      </c>
      <c r="I310" s="62" t="str">
        <f t="shared" si="3"/>
        <v>0.000010e-15</v>
      </c>
      <c r="J310" s="62">
        <f t="shared" si="4"/>
        <v>0</v>
      </c>
      <c r="K310" s="62" t="b">
        <f t="shared" si="5"/>
        <v>0</v>
      </c>
      <c r="L310" s="62" t="b">
        <f t="shared" si="6"/>
        <v>0</v>
      </c>
      <c r="M310" s="60" t="str">
        <f>IFERROR(__xludf.DUMMYFUNCTION("if(regexmatch(B310,""e(.*)$""),regexextract(B310,""e(.*)$""),"""")"),"-15")</f>
        <v>-15</v>
      </c>
    </row>
    <row r="311">
      <c r="A311" s="17" t="s">
        <v>2901</v>
      </c>
      <c r="B311" s="64" t="s">
        <v>4189</v>
      </c>
      <c r="C311" s="64" t="s">
        <v>4190</v>
      </c>
      <c r="E311" s="60" t="str">
        <f>VLOOKUP($A311,nist_names_ids!A:B,2,false)</f>
        <v>mtausme</v>
      </c>
      <c r="F311" s="61">
        <f>countif(Constants!A:A,E311)</f>
        <v>1</v>
      </c>
      <c r="G311" s="62" t="str">
        <f t="shared" si="1"/>
        <v>3477.15</v>
      </c>
      <c r="H311" s="62">
        <f t="shared" si="2"/>
        <v>3477.15</v>
      </c>
      <c r="I311" s="62" t="str">
        <f t="shared" si="3"/>
        <v>0.31</v>
      </c>
      <c r="J311" s="62">
        <f t="shared" si="4"/>
        <v>0.31</v>
      </c>
      <c r="K311" s="62" t="b">
        <f t="shared" si="5"/>
        <v>0</v>
      </c>
      <c r="L311" s="62" t="b">
        <f t="shared" si="6"/>
        <v>0</v>
      </c>
      <c r="M311" s="60" t="str">
        <f>IFERROR(__xludf.DUMMYFUNCTION("if(regexmatch(B311,""e(.*)$""),regexextract(B311,""e(.*)$""),"""")"),"")</f>
        <v/>
      </c>
    </row>
    <row r="312">
      <c r="A312" s="17" t="s">
        <v>2910</v>
      </c>
      <c r="B312" s="17" t="s">
        <v>4193</v>
      </c>
      <c r="C312" s="17" t="s">
        <v>4194</v>
      </c>
      <c r="D312" s="17" t="s">
        <v>98</v>
      </c>
      <c r="E312" s="60" t="str">
        <f>VLOOKUP($A312,nist_names_ids!A:B,2,false)</f>
        <v>mtau</v>
      </c>
      <c r="F312" s="61">
        <f>countif(Constants!A:A,E312)</f>
        <v>1</v>
      </c>
      <c r="G312" s="62" t="str">
        <f t="shared" si="1"/>
        <v>3.16747e-27</v>
      </c>
      <c r="H312" s="62">
        <f t="shared" si="2"/>
        <v>0</v>
      </c>
      <c r="I312" s="62" t="str">
        <f t="shared" si="3"/>
        <v>0.00029e-27</v>
      </c>
      <c r="J312" s="62">
        <f t="shared" si="4"/>
        <v>0</v>
      </c>
      <c r="K312" s="62" t="b">
        <f t="shared" si="5"/>
        <v>0</v>
      </c>
      <c r="L312" s="62" t="b">
        <f t="shared" si="6"/>
        <v>0</v>
      </c>
      <c r="M312" s="60" t="str">
        <f>IFERROR(__xludf.DUMMYFUNCTION("if(regexmatch(B312,""e(.*)$""),regexextract(B312,""e(.*)$""),"""")"),"-27")</f>
        <v>-27</v>
      </c>
    </row>
    <row r="313">
      <c r="A313" s="17" t="s">
        <v>2915</v>
      </c>
      <c r="B313" s="17" t="s">
        <v>4197</v>
      </c>
      <c r="C313" s="17" t="s">
        <v>4198</v>
      </c>
      <c r="D313" s="17" t="s">
        <v>173</v>
      </c>
      <c r="E313" s="60" t="str">
        <f>VLOOKUP($A313,nist_names_ids!A:B,2,false)</f>
        <v>mtauc2</v>
      </c>
      <c r="F313" s="61">
        <f>countif(Constants!A:A,E313)</f>
        <v>1</v>
      </c>
      <c r="G313" s="62" t="str">
        <f t="shared" si="1"/>
        <v>2.84678e-10</v>
      </c>
      <c r="H313" s="62">
        <f t="shared" si="2"/>
        <v>0.000000000284678</v>
      </c>
      <c r="I313" s="62" t="str">
        <f t="shared" si="3"/>
        <v>0.00026e-10</v>
      </c>
      <c r="J313" s="62">
        <f t="shared" si="4"/>
        <v>0</v>
      </c>
      <c r="K313" s="62" t="b">
        <f t="shared" si="5"/>
        <v>0</v>
      </c>
      <c r="L313" s="62" t="b">
        <f t="shared" si="6"/>
        <v>0</v>
      </c>
      <c r="M313" s="60" t="str">
        <f>IFERROR(__xludf.DUMMYFUNCTION("if(regexmatch(B313,""e(.*)$""),regexextract(B313,""e(.*)$""),"""")"),"-10")</f>
        <v>-10</v>
      </c>
    </row>
    <row r="314">
      <c r="A314" s="17" t="s">
        <v>4201</v>
      </c>
      <c r="B314" s="64" t="s">
        <v>4202</v>
      </c>
      <c r="C314" s="64" t="s">
        <v>4203</v>
      </c>
      <c r="D314" s="17" t="s">
        <v>224</v>
      </c>
      <c r="E314" s="60" t="str">
        <f>VLOOKUP($A314,nist_names_ids!A:B,2,false)</f>
        <v>mtauc2mev</v>
      </c>
      <c r="F314" s="61">
        <f>countif(Constants!A:A,E314)</f>
        <v>1</v>
      </c>
      <c r="G314" s="62" t="str">
        <f t="shared" si="1"/>
        <v>1776.82</v>
      </c>
      <c r="H314" s="62">
        <f t="shared" si="2"/>
        <v>1776.82</v>
      </c>
      <c r="I314" s="62" t="str">
        <f t="shared" si="3"/>
        <v>0.16</v>
      </c>
      <c r="J314" s="62">
        <f t="shared" si="4"/>
        <v>0.16</v>
      </c>
      <c r="K314" s="62" t="b">
        <f t="shared" si="5"/>
        <v>0</v>
      </c>
      <c r="L314" s="62" t="b">
        <f t="shared" si="6"/>
        <v>0</v>
      </c>
      <c r="M314" s="60" t="str">
        <f>IFERROR(__xludf.DUMMYFUNCTION("if(regexmatch(B314,""e(.*)$""),regexextract(B314,""e(.*)$""),"""")"),"")</f>
        <v/>
      </c>
    </row>
    <row r="315">
      <c r="A315" s="17" t="s">
        <v>2920</v>
      </c>
      <c r="B315" s="17" t="s">
        <v>4204</v>
      </c>
      <c r="C315" s="17" t="s">
        <v>3388</v>
      </c>
      <c r="D315" s="17" t="s">
        <v>249</v>
      </c>
      <c r="E315" s="60" t="str">
        <f>VLOOKUP($A315,nist_names_ids!A:B,2,false)</f>
        <v>mtauu</v>
      </c>
      <c r="F315" s="61">
        <f>countif(Constants!A:A,E315)</f>
        <v>1</v>
      </c>
      <c r="G315" s="62" t="str">
        <f t="shared" si="1"/>
        <v>1.90749</v>
      </c>
      <c r="H315" s="62">
        <f t="shared" si="2"/>
        <v>1.90749</v>
      </c>
      <c r="I315" s="62" t="str">
        <f t="shared" si="3"/>
        <v>0.00017</v>
      </c>
      <c r="J315" s="62">
        <f t="shared" si="4"/>
        <v>0.00017</v>
      </c>
      <c r="K315" s="62" t="b">
        <f t="shared" si="5"/>
        <v>0</v>
      </c>
      <c r="L315" s="62" t="b">
        <f t="shared" si="6"/>
        <v>0</v>
      </c>
      <c r="M315" s="60" t="str">
        <f>IFERROR(__xludf.DUMMYFUNCTION("if(regexmatch(B315,""e(.*)$""),regexextract(B315,""e(.*)$""),"""")"),"")</f>
        <v/>
      </c>
    </row>
    <row r="316">
      <c r="A316" s="17" t="s">
        <v>2928</v>
      </c>
      <c r="B316" s="17" t="s">
        <v>4207</v>
      </c>
      <c r="C316" s="17" t="s">
        <v>4208</v>
      </c>
      <c r="D316" s="17" t="s">
        <v>286</v>
      </c>
      <c r="E316" s="60" t="str">
        <f>VLOOKUP($A316,nist_names_ids!A:B,2,false)</f>
        <v>mmtau</v>
      </c>
      <c r="F316" s="61">
        <f>countif(Constants!A:A,E316)</f>
        <v>1</v>
      </c>
      <c r="G316" s="62" t="str">
        <f t="shared" si="1"/>
        <v>1.90749e-3</v>
      </c>
      <c r="H316" s="62">
        <f t="shared" si="2"/>
        <v>0.00190749</v>
      </c>
      <c r="I316" s="62" t="str">
        <f t="shared" si="3"/>
        <v>0.00017e-3</v>
      </c>
      <c r="J316" s="62">
        <f t="shared" si="4"/>
        <v>0.00000017</v>
      </c>
      <c r="K316" s="62" t="b">
        <f t="shared" si="5"/>
        <v>0</v>
      </c>
      <c r="L316" s="62" t="b">
        <f t="shared" si="6"/>
        <v>0</v>
      </c>
      <c r="M316" s="60" t="str">
        <f>IFERROR(__xludf.DUMMYFUNCTION("if(regexmatch(B316,""e(.*)$""),regexextract(B316,""e(.*)$""),"""")"),"-3")</f>
        <v>-3</v>
      </c>
    </row>
    <row r="317">
      <c r="A317" s="17" t="s">
        <v>2931</v>
      </c>
      <c r="B317" s="64" t="s">
        <v>4209</v>
      </c>
      <c r="C317" s="64" t="s">
        <v>4210</v>
      </c>
      <c r="E317" s="60" t="str">
        <f>VLOOKUP($A317,nist_names_ids!A:B,2,false)</f>
        <v>mtausmmu</v>
      </c>
      <c r="F317" s="61">
        <f>countif(Constants!A:A,E317)</f>
        <v>1</v>
      </c>
      <c r="G317" s="62" t="str">
        <f t="shared" si="1"/>
        <v>16.8167</v>
      </c>
      <c r="H317" s="62">
        <f t="shared" si="2"/>
        <v>16.8167</v>
      </c>
      <c r="I317" s="62" t="str">
        <f t="shared" si="3"/>
        <v>0.0015</v>
      </c>
      <c r="J317" s="62">
        <f t="shared" si="4"/>
        <v>0.0015</v>
      </c>
      <c r="K317" s="62" t="b">
        <f t="shared" si="5"/>
        <v>0</v>
      </c>
      <c r="L317" s="62" t="b">
        <f t="shared" si="6"/>
        <v>0</v>
      </c>
      <c r="M317" s="60" t="str">
        <f>IFERROR(__xludf.DUMMYFUNCTION("if(regexmatch(B317,""e(.*)$""),regexextract(B317,""e(.*)$""),"""")"),"")</f>
        <v/>
      </c>
    </row>
    <row r="318">
      <c r="A318" s="17" t="s">
        <v>2935</v>
      </c>
      <c r="B318" s="17" t="s">
        <v>4213</v>
      </c>
      <c r="C318" s="17" t="s">
        <v>3388</v>
      </c>
      <c r="E318" s="60" t="str">
        <f>VLOOKUP($A318,nist_names_ids!A:B,2,false)</f>
        <v>mtausmn</v>
      </c>
      <c r="F318" s="61">
        <f>countif(Constants!A:A,E318)</f>
        <v>1</v>
      </c>
      <c r="G318" s="62" t="str">
        <f t="shared" si="1"/>
        <v>1.89111</v>
      </c>
      <c r="H318" s="62">
        <f t="shared" si="2"/>
        <v>1.89111</v>
      </c>
      <c r="I318" s="62" t="str">
        <f t="shared" si="3"/>
        <v>0.00017</v>
      </c>
      <c r="J318" s="62">
        <f t="shared" si="4"/>
        <v>0.00017</v>
      </c>
      <c r="K318" s="62" t="b">
        <f t="shared" si="5"/>
        <v>0</v>
      </c>
      <c r="L318" s="62" t="b">
        <f t="shared" si="6"/>
        <v>0</v>
      </c>
      <c r="M318" s="60" t="str">
        <f>IFERROR(__xludf.DUMMYFUNCTION("if(regexmatch(B318,""e(.*)$""),regexextract(B318,""e(.*)$""),"""")"),"")</f>
        <v/>
      </c>
    </row>
    <row r="319">
      <c r="A319" s="17" t="s">
        <v>2941</v>
      </c>
      <c r="B319" s="17" t="s">
        <v>4216</v>
      </c>
      <c r="C319" s="17" t="s">
        <v>3388</v>
      </c>
      <c r="E319" s="60" t="str">
        <f>VLOOKUP($A319,nist_names_ids!A:B,2,false)</f>
        <v>mtausmp</v>
      </c>
      <c r="F319" s="61">
        <f>countif(Constants!A:A,E319)</f>
        <v>1</v>
      </c>
      <c r="G319" s="62" t="str">
        <f t="shared" si="1"/>
        <v>1.89372</v>
      </c>
      <c r="H319" s="62">
        <f t="shared" si="2"/>
        <v>1.89372</v>
      </c>
      <c r="I319" s="62" t="str">
        <f t="shared" si="3"/>
        <v>0.00017</v>
      </c>
      <c r="J319" s="62">
        <f t="shared" si="4"/>
        <v>0.00017</v>
      </c>
      <c r="K319" s="62" t="b">
        <f t="shared" si="5"/>
        <v>0</v>
      </c>
      <c r="L319" s="62" t="b">
        <f t="shared" si="6"/>
        <v>0</v>
      </c>
      <c r="M319" s="60" t="str">
        <f>IFERROR(__xludf.DUMMYFUNCTION("if(regexmatch(B319,""e(.*)$""),regexextract(B319,""e(.*)$""),"""")"),"")</f>
        <v/>
      </c>
    </row>
    <row r="320">
      <c r="A320" s="17" t="s">
        <v>2943</v>
      </c>
      <c r="B320" s="17" t="s">
        <v>4217</v>
      </c>
      <c r="C320" s="17" t="s">
        <v>4218</v>
      </c>
      <c r="D320" s="17" t="s">
        <v>2946</v>
      </c>
      <c r="E320" s="60" t="str">
        <f>VLOOKUP($A320,nist_names_ids!A:B,2,false)</f>
        <v>sigmae</v>
      </c>
      <c r="F320" s="61">
        <f>countif(Constants!A:A,E320)</f>
        <v>1</v>
      </c>
      <c r="G320" s="62" t="str">
        <f t="shared" si="1"/>
        <v>0.66524587158e-28</v>
      </c>
      <c r="H320" s="62">
        <f t="shared" si="2"/>
        <v>0</v>
      </c>
      <c r="I320" s="62" t="str">
        <f t="shared" si="3"/>
        <v>0.00000000091e-28</v>
      </c>
      <c r="J320" s="62">
        <f t="shared" si="4"/>
        <v>0</v>
      </c>
      <c r="K320" s="62" t="b">
        <f t="shared" si="5"/>
        <v>0</v>
      </c>
      <c r="L320" s="62" t="b">
        <f t="shared" si="6"/>
        <v>0</v>
      </c>
      <c r="M320" s="60" t="str">
        <f>IFERROR(__xludf.DUMMYFUNCTION("if(regexmatch(B320,""e(.*)$""),regexextract(B320,""e(.*)$""),"""")"),"-28")</f>
        <v>-28</v>
      </c>
    </row>
    <row r="321">
      <c r="A321" s="17" t="s">
        <v>2951</v>
      </c>
      <c r="B321" s="17" t="s">
        <v>4219</v>
      </c>
      <c r="C321" s="17" t="s">
        <v>4220</v>
      </c>
      <c r="E321" s="60" t="str">
        <f>VLOOKUP($A321,nist_names_ids!A:B,2,false)</f>
        <v>mtsme</v>
      </c>
      <c r="F321" s="61">
        <f>countif(Constants!A:A,E321)</f>
        <v>1</v>
      </c>
      <c r="G321" s="62" t="str">
        <f t="shared" si="1"/>
        <v>5496.92153588</v>
      </c>
      <c r="H321" s="62">
        <f t="shared" si="2"/>
        <v>5496.921536</v>
      </c>
      <c r="I321" s="62" t="str">
        <f t="shared" si="3"/>
        <v>0.00000026</v>
      </c>
      <c r="J321" s="62">
        <f t="shared" si="4"/>
        <v>0.00000026</v>
      </c>
      <c r="K321" s="62" t="b">
        <f t="shared" si="5"/>
        <v>0</v>
      </c>
      <c r="L321" s="62" t="b">
        <f t="shared" si="6"/>
        <v>0</v>
      </c>
      <c r="M321" s="60" t="str">
        <f>IFERROR(__xludf.DUMMYFUNCTION("if(regexmatch(B321,""e(.*)$""),regexextract(B321,""e(.*)$""),"""")"),"")</f>
        <v/>
      </c>
    </row>
    <row r="322">
      <c r="A322" s="17" t="s">
        <v>2955</v>
      </c>
      <c r="B322" s="17" t="s">
        <v>4223</v>
      </c>
      <c r="C322" s="17" t="s">
        <v>2812</v>
      </c>
      <c r="E322" s="60" t="str">
        <f>VLOOKUP($A322,nist_names_ids!A:B,2,false)</f>
        <v>gtn</v>
      </c>
      <c r="F322" s="61">
        <f>countif(Constants!A:A,E322)</f>
        <v>1</v>
      </c>
      <c r="G322" s="62" t="str">
        <f t="shared" si="1"/>
        <v>5.957924920</v>
      </c>
      <c r="H322" s="62">
        <f t="shared" si="2"/>
        <v>5.95792492</v>
      </c>
      <c r="I322" s="62" t="str">
        <f t="shared" si="3"/>
        <v>0.000000028</v>
      </c>
      <c r="J322" s="62">
        <f t="shared" si="4"/>
        <v>0.000000028</v>
      </c>
      <c r="K322" s="62" t="b">
        <f t="shared" si="5"/>
        <v>0</v>
      </c>
      <c r="L322" s="62" t="b">
        <f t="shared" si="6"/>
        <v>0</v>
      </c>
      <c r="M322" s="60" t="str">
        <f>IFERROR(__xludf.DUMMYFUNCTION("if(regexmatch(B322,""e(.*)$""),regexextract(B322,""e(.*)$""),"""")"),"")</f>
        <v/>
      </c>
    </row>
    <row r="323">
      <c r="A323" s="17" t="s">
        <v>2958</v>
      </c>
      <c r="B323" s="17" t="s">
        <v>4226</v>
      </c>
      <c r="C323" s="17" t="s">
        <v>4227</v>
      </c>
      <c r="D323" s="17" t="s">
        <v>964</v>
      </c>
      <c r="E323" s="60" t="str">
        <f>VLOOKUP($A323,nist_names_ids!A:B,2,false)</f>
        <v>mut</v>
      </c>
      <c r="F323" s="61">
        <f>countif(Constants!A:A,E323)</f>
        <v>1</v>
      </c>
      <c r="G323" s="62" t="str">
        <f t="shared" si="1"/>
        <v>1.504609503e-26</v>
      </c>
      <c r="H323" s="62">
        <f t="shared" si="2"/>
        <v>0</v>
      </c>
      <c r="I323" s="62" t="str">
        <f t="shared" si="3"/>
        <v>0.000000012e-26</v>
      </c>
      <c r="J323" s="62">
        <f t="shared" si="4"/>
        <v>0</v>
      </c>
      <c r="K323" s="62" t="b">
        <f t="shared" si="5"/>
        <v>0</v>
      </c>
      <c r="L323" s="62" t="b">
        <f t="shared" si="6"/>
        <v>0</v>
      </c>
      <c r="M323" s="60" t="str">
        <f>IFERROR(__xludf.DUMMYFUNCTION("if(regexmatch(B323,""e(.*)$""),regexextract(B323,""e(.*)$""),"""")"),"-26")</f>
        <v>-26</v>
      </c>
    </row>
    <row r="324">
      <c r="A324" s="17" t="s">
        <v>2965</v>
      </c>
      <c r="B324" s="17" t="s">
        <v>4231</v>
      </c>
      <c r="C324" s="17" t="s">
        <v>4232</v>
      </c>
      <c r="E324" s="60" t="str">
        <f>VLOOKUP($A324,nist_names_ids!A:B,2,false)</f>
        <v>mutsmub</v>
      </c>
      <c r="F324" s="61">
        <f>countif(Constants!A:A,E324)</f>
        <v>1</v>
      </c>
      <c r="G324" s="62" t="str">
        <f t="shared" si="1"/>
        <v>1.6223936616e-3</v>
      </c>
      <c r="H324" s="62">
        <f t="shared" si="2"/>
        <v>0.001622393662</v>
      </c>
      <c r="I324" s="62" t="str">
        <f t="shared" si="3"/>
        <v>0.0000000076e-3</v>
      </c>
      <c r="J324" s="62">
        <f t="shared" si="4"/>
        <v>0</v>
      </c>
      <c r="K324" s="62" t="b">
        <f t="shared" si="5"/>
        <v>0</v>
      </c>
      <c r="L324" s="62" t="b">
        <f t="shared" si="6"/>
        <v>0</v>
      </c>
      <c r="M324" s="60" t="str">
        <f>IFERROR(__xludf.DUMMYFUNCTION("if(regexmatch(B324,""e(.*)$""),regexextract(B324,""e(.*)$""),"""")"),"-3")</f>
        <v>-3</v>
      </c>
    </row>
    <row r="325">
      <c r="A325" s="17" t="s">
        <v>2968</v>
      </c>
      <c r="B325" s="17" t="s">
        <v>4235</v>
      </c>
      <c r="C325" s="17" t="s">
        <v>2563</v>
      </c>
      <c r="E325" s="60" t="str">
        <f>VLOOKUP($A325,nist_names_ids!A:B,2,false)</f>
        <v>mutsmun</v>
      </c>
      <c r="F325" s="61">
        <f>countif(Constants!A:A,E325)</f>
        <v>1</v>
      </c>
      <c r="G325" s="62" t="str">
        <f t="shared" si="1"/>
        <v>2.978962460</v>
      </c>
      <c r="H325" s="62">
        <f t="shared" si="2"/>
        <v>2.97896246</v>
      </c>
      <c r="I325" s="62" t="str">
        <f t="shared" si="3"/>
        <v>0.000000014</v>
      </c>
      <c r="J325" s="62">
        <f t="shared" si="4"/>
        <v>0.000000014</v>
      </c>
      <c r="K325" s="62" t="b">
        <f t="shared" si="5"/>
        <v>0</v>
      </c>
      <c r="L325" s="62" t="b">
        <f t="shared" si="6"/>
        <v>0</v>
      </c>
      <c r="M325" s="60" t="str">
        <f>IFERROR(__xludf.DUMMYFUNCTION("if(regexmatch(B325,""e(.*)$""),regexextract(B325,""e(.*)$""),"""")"),"")</f>
        <v/>
      </c>
    </row>
    <row r="326">
      <c r="A326" s="17" t="s">
        <v>2972</v>
      </c>
      <c r="B326" s="17" t="s">
        <v>4238</v>
      </c>
      <c r="C326" s="17" t="s">
        <v>3551</v>
      </c>
      <c r="D326" s="17" t="s">
        <v>98</v>
      </c>
      <c r="E326" s="60" t="str">
        <f>VLOOKUP($A326,nist_names_ids!A:B,2,false)</f>
        <v>mt</v>
      </c>
      <c r="F326" s="61">
        <f>countif(Constants!A:A,E326)</f>
        <v>1</v>
      </c>
      <c r="G326" s="62" t="str">
        <f t="shared" si="1"/>
        <v>5.007356665e-27</v>
      </c>
      <c r="H326" s="62">
        <f t="shared" si="2"/>
        <v>0</v>
      </c>
      <c r="I326" s="62" t="str">
        <f t="shared" si="3"/>
        <v>0.000000062e-27</v>
      </c>
      <c r="J326" s="62">
        <f t="shared" si="4"/>
        <v>0</v>
      </c>
      <c r="K326" s="62" t="b">
        <f t="shared" si="5"/>
        <v>0</v>
      </c>
      <c r="L326" s="62" t="b">
        <f t="shared" si="6"/>
        <v>0</v>
      </c>
      <c r="M326" s="60" t="str">
        <f>IFERROR(__xludf.DUMMYFUNCTION("if(regexmatch(B326,""e(.*)$""),regexextract(B326,""e(.*)$""),"""")"),"-27")</f>
        <v>-27</v>
      </c>
    </row>
    <row r="327">
      <c r="A327" s="17" t="s">
        <v>2977</v>
      </c>
      <c r="B327" s="17" t="s">
        <v>4241</v>
      </c>
      <c r="C327" s="17" t="s">
        <v>3559</v>
      </c>
      <c r="D327" s="17" t="s">
        <v>173</v>
      </c>
      <c r="E327" s="60" t="str">
        <f>VLOOKUP($A327,nist_names_ids!A:B,2,false)</f>
        <v>mtc2</v>
      </c>
      <c r="F327" s="61">
        <f>countif(Constants!A:A,E327)</f>
        <v>1</v>
      </c>
      <c r="G327" s="62" t="str">
        <f t="shared" si="1"/>
        <v>4.500387735e-10</v>
      </c>
      <c r="H327" s="62">
        <f t="shared" si="2"/>
        <v>0.0000000004500387735</v>
      </c>
      <c r="I327" s="62" t="str">
        <f t="shared" si="3"/>
        <v>0.000000055e-10</v>
      </c>
      <c r="J327" s="62">
        <f t="shared" si="4"/>
        <v>0</v>
      </c>
      <c r="K327" s="62" t="b">
        <f t="shared" si="5"/>
        <v>0</v>
      </c>
      <c r="L327" s="62" t="b">
        <f t="shared" si="6"/>
        <v>0</v>
      </c>
      <c r="M327" s="60" t="str">
        <f>IFERROR(__xludf.DUMMYFUNCTION("if(regexmatch(B327,""e(.*)$""),regexextract(B327,""e(.*)$""),"""")"),"-10")</f>
        <v>-10</v>
      </c>
    </row>
    <row r="328">
      <c r="A328" s="17" t="s">
        <v>2980</v>
      </c>
      <c r="B328" s="17" t="s">
        <v>4245</v>
      </c>
      <c r="C328" s="17" t="s">
        <v>3561</v>
      </c>
      <c r="D328" s="17" t="s">
        <v>224</v>
      </c>
      <c r="E328" s="60" t="str">
        <f>VLOOKUP($A328,nist_names_ids!A:B,2,false)</f>
        <v>mtc2mev</v>
      </c>
      <c r="F328" s="61">
        <f>countif(Constants!A:A,E328)</f>
        <v>1</v>
      </c>
      <c r="G328" s="62" t="str">
        <f t="shared" si="1"/>
        <v>2808.921112</v>
      </c>
      <c r="H328" s="62">
        <f t="shared" si="2"/>
        <v>2808.921112</v>
      </c>
      <c r="I328" s="62" t="str">
        <f t="shared" si="3"/>
        <v>0.000017</v>
      </c>
      <c r="J328" s="62">
        <f t="shared" si="4"/>
        <v>0.000017</v>
      </c>
      <c r="K328" s="62" t="b">
        <f t="shared" si="5"/>
        <v>0</v>
      </c>
      <c r="L328" s="62" t="b">
        <f t="shared" si="6"/>
        <v>0</v>
      </c>
      <c r="M328" s="60" t="str">
        <f>IFERROR(__xludf.DUMMYFUNCTION("if(regexmatch(B328,""e(.*)$""),regexextract(B328,""e(.*)$""),"""")"),"")</f>
        <v/>
      </c>
    </row>
    <row r="329">
      <c r="A329" s="17" t="s">
        <v>2983</v>
      </c>
      <c r="B329" s="17" t="s">
        <v>4246</v>
      </c>
      <c r="C329" s="17" t="s">
        <v>2748</v>
      </c>
      <c r="D329" s="17" t="s">
        <v>249</v>
      </c>
      <c r="E329" s="60" t="str">
        <f>VLOOKUP($A329,nist_names_ids!A:B,2,false)</f>
        <v>mtu</v>
      </c>
      <c r="F329" s="61">
        <f>countif(Constants!A:A,E329)</f>
        <v>1</v>
      </c>
      <c r="G329" s="62" t="str">
        <f t="shared" si="1"/>
        <v>3.01550071632</v>
      </c>
      <c r="H329" s="62">
        <f t="shared" si="2"/>
        <v>3.015500716</v>
      </c>
      <c r="I329" s="62" t="str">
        <f t="shared" si="3"/>
        <v>0.00000000011</v>
      </c>
      <c r="J329" s="62">
        <f t="shared" si="4"/>
        <v>0.00000000011</v>
      </c>
      <c r="K329" s="62" t="b">
        <f t="shared" si="5"/>
        <v>0</v>
      </c>
      <c r="L329" s="62" t="b">
        <f t="shared" si="6"/>
        <v>0</v>
      </c>
      <c r="M329" s="60" t="str">
        <f>IFERROR(__xludf.DUMMYFUNCTION("if(regexmatch(B329,""e(.*)$""),regexextract(B329,""e(.*)$""),"""")"),"")</f>
        <v/>
      </c>
    </row>
    <row r="330">
      <c r="A330" s="17" t="s">
        <v>2989</v>
      </c>
      <c r="B330" s="17" t="s">
        <v>4248</v>
      </c>
      <c r="C330" s="17" t="s">
        <v>4249</v>
      </c>
      <c r="D330" s="17" t="s">
        <v>286</v>
      </c>
      <c r="E330" s="60" t="str">
        <f>VLOOKUP($A330,nist_names_ids!A:B,2,false)</f>
        <v>mmt</v>
      </c>
      <c r="F330" s="61">
        <f>countif(Constants!A:A,E330)</f>
        <v>1</v>
      </c>
      <c r="G330" s="62" t="str">
        <f t="shared" si="1"/>
        <v>3.01550071632e-3</v>
      </c>
      <c r="H330" s="62">
        <f t="shared" si="2"/>
        <v>0.003015500716</v>
      </c>
      <c r="I330" s="62" t="str">
        <f t="shared" si="3"/>
        <v>0.00000000011e-3</v>
      </c>
      <c r="J330" s="62">
        <f t="shared" si="4"/>
        <v>0</v>
      </c>
      <c r="K330" s="62" t="b">
        <f t="shared" si="5"/>
        <v>0</v>
      </c>
      <c r="L330" s="62" t="b">
        <f t="shared" si="6"/>
        <v>0</v>
      </c>
      <c r="M330" s="60" t="str">
        <f>IFERROR(__xludf.DUMMYFUNCTION("if(regexmatch(B330,""e(.*)$""),regexextract(B330,""e(.*)$""),"""")"),"-3")</f>
        <v>-3</v>
      </c>
    </row>
    <row r="331">
      <c r="A331" s="17" t="s">
        <v>2993</v>
      </c>
      <c r="B331" s="17" t="s">
        <v>4253</v>
      </c>
      <c r="C331" s="17" t="s">
        <v>2343</v>
      </c>
      <c r="E331" s="60" t="str">
        <f>VLOOKUP($A331,nist_names_ids!A:B,2,false)</f>
        <v>mtsmp</v>
      </c>
      <c r="F331" s="61">
        <f>countif(Constants!A:A,E331)</f>
        <v>1</v>
      </c>
      <c r="G331" s="62" t="str">
        <f t="shared" si="1"/>
        <v>2.99371703348</v>
      </c>
      <c r="H331" s="62">
        <f t="shared" si="2"/>
        <v>2.993717033</v>
      </c>
      <c r="I331" s="62" t="str">
        <f t="shared" si="3"/>
        <v>0.00000000022</v>
      </c>
      <c r="J331" s="62">
        <f t="shared" si="4"/>
        <v>0.00000000022</v>
      </c>
      <c r="K331" s="62" t="b">
        <f t="shared" si="5"/>
        <v>0</v>
      </c>
      <c r="L331" s="62" t="b">
        <f t="shared" si="6"/>
        <v>0</v>
      </c>
      <c r="M331" s="60" t="str">
        <f>IFERROR(__xludf.DUMMYFUNCTION("if(regexmatch(B331,""e(.*)$""),regexextract(B331,""e(.*)$""),"""")"),"")</f>
        <v/>
      </c>
    </row>
    <row r="332">
      <c r="A332" s="17" t="s">
        <v>3004</v>
      </c>
      <c r="B332" s="17" t="s">
        <v>3086</v>
      </c>
      <c r="C332" s="17" t="s">
        <v>3087</v>
      </c>
      <c r="D332" s="17" t="s">
        <v>98</v>
      </c>
      <c r="E332" s="60" t="str">
        <f>VLOOKUP($A332,nist_names_ids!A:B,2,false)</f>
        <v>ukg</v>
      </c>
      <c r="F332" s="61">
        <f>countif(Constants!A:A,E332)</f>
        <v>1</v>
      </c>
      <c r="G332" s="62" t="str">
        <f t="shared" si="1"/>
        <v>1.660539040e-27</v>
      </c>
      <c r="H332" s="62">
        <f t="shared" si="2"/>
        <v>0</v>
      </c>
      <c r="I332" s="62" t="str">
        <f t="shared" si="3"/>
        <v>0.000000020e-27</v>
      </c>
      <c r="J332" s="62">
        <f t="shared" si="4"/>
        <v>0</v>
      </c>
      <c r="K332" s="62" t="b">
        <f t="shared" si="5"/>
        <v>0</v>
      </c>
      <c r="L332" s="62" t="b">
        <f t="shared" si="6"/>
        <v>0</v>
      </c>
      <c r="M332" s="60" t="str">
        <f>IFERROR(__xludf.DUMMYFUNCTION("if(regexmatch(B332,""e(.*)$""),regexextract(B332,""e(.*)$""),"""")"),"-27")</f>
        <v>-27</v>
      </c>
    </row>
    <row r="333">
      <c r="A333" s="17" t="s">
        <v>3012</v>
      </c>
      <c r="B333" s="17" t="s">
        <v>4257</v>
      </c>
      <c r="C333" s="17" t="s">
        <v>4258</v>
      </c>
      <c r="D333" s="17" t="s">
        <v>500</v>
      </c>
      <c r="E333" s="60" t="str">
        <f>VLOOKUP($A333,nist_names_ids!A:B,2,false)</f>
        <v>rk</v>
      </c>
      <c r="F333" s="61">
        <f>countif(Constants!A:A,E333)</f>
        <v>1</v>
      </c>
      <c r="G333" s="62" t="str">
        <f t="shared" si="1"/>
        <v>25812.8074555</v>
      </c>
      <c r="H333" s="62">
        <f t="shared" si="2"/>
        <v>25812.80746</v>
      </c>
      <c r="I333" s="62" t="str">
        <f t="shared" si="3"/>
        <v>0.0000059</v>
      </c>
      <c r="J333" s="62">
        <f t="shared" si="4"/>
        <v>0.0000059</v>
      </c>
      <c r="K333" s="62" t="b">
        <f t="shared" si="5"/>
        <v>0</v>
      </c>
      <c r="L333" s="62" t="b">
        <f t="shared" si="6"/>
        <v>0</v>
      </c>
      <c r="M333" s="60" t="str">
        <f>IFERROR(__xludf.DUMMYFUNCTION("if(regexmatch(B333,""e(.*)$""),regexextract(B333,""e(.*)$""),"""")"),"")</f>
        <v/>
      </c>
    </row>
    <row r="334">
      <c r="A334" s="17" t="s">
        <v>3014</v>
      </c>
      <c r="B334" s="64" t="s">
        <v>4261</v>
      </c>
      <c r="C334" s="64" t="s">
        <v>4222</v>
      </c>
      <c r="E334" s="60" t="str">
        <f>VLOOKUP($A334,nist_names_ids!A:B,2,false)</f>
        <v>sin2th</v>
      </c>
      <c r="F334" s="61">
        <f>countif(Constants!A:A,E334)</f>
        <v>1</v>
      </c>
      <c r="G334" s="62" t="str">
        <f t="shared" si="1"/>
        <v>0.2223</v>
      </c>
      <c r="H334" s="62">
        <f t="shared" si="2"/>
        <v>0.2223</v>
      </c>
      <c r="I334" s="62" t="str">
        <f t="shared" si="3"/>
        <v>0.0021</v>
      </c>
      <c r="J334" s="62">
        <f t="shared" si="4"/>
        <v>0.0021</v>
      </c>
      <c r="K334" s="62" t="b">
        <f t="shared" si="5"/>
        <v>0</v>
      </c>
      <c r="L334" s="62" t="b">
        <f t="shared" si="6"/>
        <v>0</v>
      </c>
      <c r="M334" s="60" t="str">
        <f>IFERROR(__xludf.DUMMYFUNCTION("if(regexmatch(B334,""e(.*)$""),regexextract(B334,""e(.*)$""),"""")"),"")</f>
        <v/>
      </c>
    </row>
    <row r="335">
      <c r="A335" s="17" t="s">
        <v>3018</v>
      </c>
      <c r="B335" s="17" t="s">
        <v>4266</v>
      </c>
      <c r="C335" s="17" t="s">
        <v>4267</v>
      </c>
      <c r="D335" s="17" t="s">
        <v>1303</v>
      </c>
      <c r="E335" s="60" t="str">
        <f>VLOOKUP($A335,nist_names_ids!A:B,2,false)</f>
        <v>bpwien</v>
      </c>
      <c r="F335" s="61">
        <f>countif(Constants!A:A,E335)</f>
        <v>1</v>
      </c>
      <c r="G335" s="62" t="str">
        <f t="shared" si="1"/>
        <v>5.8789238e10</v>
      </c>
      <c r="H335" s="62">
        <f t="shared" si="2"/>
        <v>58789238000</v>
      </c>
      <c r="I335" s="62" t="str">
        <f t="shared" si="3"/>
        <v>0.0000034e10</v>
      </c>
      <c r="J335" s="62">
        <f t="shared" si="4"/>
        <v>34000</v>
      </c>
      <c r="K335" s="62" t="b">
        <f t="shared" si="5"/>
        <v>0</v>
      </c>
      <c r="L335" s="62" t="b">
        <f t="shared" si="6"/>
        <v>0</v>
      </c>
      <c r="M335" s="60" t="str">
        <f>IFERROR(__xludf.DUMMYFUNCTION("if(regexmatch(B335,""e(.*)$""),regexextract(B335,""e(.*)$""),"""")"),"10")</f>
        <v>10</v>
      </c>
    </row>
    <row r="336">
      <c r="A336" s="17" t="s">
        <v>3022</v>
      </c>
      <c r="B336" s="17" t="s">
        <v>4270</v>
      </c>
      <c r="C336" s="17" t="s">
        <v>4271</v>
      </c>
      <c r="D336" s="17" t="s">
        <v>2800</v>
      </c>
      <c r="E336" s="60" t="str">
        <f>VLOOKUP($A336,nist_names_ids!A:B,2,false)</f>
        <v>bwien</v>
      </c>
      <c r="F336" s="61">
        <f>countif(Constants!A:A,E336)</f>
        <v>1</v>
      </c>
      <c r="G336" s="62" t="str">
        <f t="shared" si="1"/>
        <v>2.8977729e-3</v>
      </c>
      <c r="H336" s="62">
        <f t="shared" si="2"/>
        <v>0.0028977729</v>
      </c>
      <c r="I336" s="62" t="str">
        <f t="shared" si="3"/>
        <v>0.0000017e-3</v>
      </c>
      <c r="J336" s="62">
        <f t="shared" si="4"/>
        <v>0.0000000017</v>
      </c>
      <c r="K336" s="62" t="b">
        <f t="shared" si="5"/>
        <v>0</v>
      </c>
      <c r="L336" s="62" t="b">
        <f t="shared" si="6"/>
        <v>0</v>
      </c>
      <c r="M336" s="60" t="str">
        <f>IFERROR(__xludf.DUMMYFUNCTION("if(regexmatch(B336,""e(.*)$""),regexextract(B336,""e(.*)$""),"""")"),"-3")</f>
        <v>-3</v>
      </c>
    </row>
  </sheetData>
  <conditionalFormatting sqref="F1:F336">
    <cfRule type="cellIs" dxfId="3" priority="1" operator="equal">
      <formula>0</formula>
    </cfRule>
  </conditionalFormatting>
  <conditionalFormatting sqref="E1:E336">
    <cfRule type="expression" dxfId="0" priority="2">
      <formula>iserror(E1)</formula>
    </cfRule>
  </conditionalFormatting>
  <conditionalFormatting sqref="E1:E336">
    <cfRule type="expression" dxfId="0" priority="3">
      <formula>countif(E:E,E1)&gt;1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38"/>
    <col customWidth="1" min="2" max="2" width="20.13"/>
    <col customWidth="1" min="3" max="3" width="19.63"/>
    <col customWidth="1" min="4" max="4" width="12.13"/>
    <col customWidth="1" min="5" max="5" width="12.5"/>
    <col customWidth="1" min="6" max="6" width="8.88"/>
    <col customWidth="1" min="7" max="7" width="17.75"/>
    <col customWidth="1" min="8" max="8" width="18.0"/>
    <col customWidth="1" min="9" max="9" width="17.75"/>
    <col customWidth="1" min="10" max="10" width="17.5"/>
    <col customWidth="1" min="11" max="12" width="10.5"/>
    <col customWidth="1" min="13" max="13" width="8.38"/>
  </cols>
  <sheetData>
    <row r="1">
      <c r="A1" s="7" t="s">
        <v>1</v>
      </c>
      <c r="B1" s="7" t="s">
        <v>1406</v>
      </c>
      <c r="C1" s="7" t="s">
        <v>1407</v>
      </c>
      <c r="D1" s="7" t="s">
        <v>1408</v>
      </c>
      <c r="E1" s="58" t="s">
        <v>0</v>
      </c>
      <c r="F1" s="10" t="s">
        <v>1409</v>
      </c>
      <c r="G1" s="58" t="s">
        <v>1410</v>
      </c>
      <c r="H1" s="58" t="s">
        <v>1412</v>
      </c>
      <c r="I1" s="58" t="s">
        <v>1413</v>
      </c>
      <c r="J1" s="58" t="s">
        <v>1414</v>
      </c>
      <c r="K1" s="58" t="s">
        <v>1415</v>
      </c>
      <c r="L1" s="58" t="s">
        <v>1416</v>
      </c>
      <c r="M1" s="58" t="s">
        <v>1417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7" t="s">
        <v>1032</v>
      </c>
      <c r="B2" s="17" t="s">
        <v>3037</v>
      </c>
      <c r="C2" s="17" t="s">
        <v>3038</v>
      </c>
      <c r="D2" s="17" t="s">
        <v>381</v>
      </c>
      <c r="E2" s="60" t="str">
        <f>VLOOKUP($A2,nist_names_ids!A:B,2,false)</f>
        <v>d220sil</v>
      </c>
      <c r="F2" s="61">
        <f>countif(Constants!A:A,E2)</f>
        <v>1</v>
      </c>
      <c r="G2" s="62" t="str">
        <f t="shared" ref="G2:G336" si="1">SUBSTITUTE(SUBSTITUTE(B2," ",""),"...","")</f>
        <v>192.0155714e-12</v>
      </c>
      <c r="H2" s="62">
        <f t="shared" ref="H2:H336" si="2">value(G2)</f>
        <v>0.0000000001920155714</v>
      </c>
      <c r="I2" s="62" t="str">
        <f t="shared" ref="I2:I336" si="3">SUBSTITUTE(C2," ","")</f>
        <v>0.0000032e-12</v>
      </c>
      <c r="J2" s="62">
        <f t="shared" ref="J2:J336" si="4">if(I2="(exact)","",value(I2))</f>
        <v>0</v>
      </c>
      <c r="K2" s="62" t="b">
        <f t="shared" ref="K2:K336" si="5">if(I2="(exact)", TRUE,FALSE)</f>
        <v>0</v>
      </c>
      <c r="L2" s="62" t="b">
        <f t="shared" ref="L2:L336" si="6">ISNUMBER(search("...",B2))</f>
        <v>0</v>
      </c>
      <c r="M2" s="60" t="str">
        <f>IFERROR(__xludf.DUMMYFUNCTION("if(regexmatch(B2,""e(.*)$""),regexextract(B2,""e(.*)$""),"""")"),"-12")</f>
        <v>-12</v>
      </c>
    </row>
    <row r="3">
      <c r="A3" s="17" t="s">
        <v>1153</v>
      </c>
      <c r="B3" s="17" t="s">
        <v>3782</v>
      </c>
      <c r="C3" s="17" t="s">
        <v>3639</v>
      </c>
      <c r="E3" s="60" t="str">
        <f>VLOOKUP($A3,nist_names_ids!A:B,2,false)</f>
        <v>malsme</v>
      </c>
      <c r="F3" s="61">
        <f>countif(Constants!A:A,E3)</f>
        <v>1</v>
      </c>
      <c r="G3" s="62" t="str">
        <f t="shared" si="1"/>
        <v>7294.2995361</v>
      </c>
      <c r="H3" s="62">
        <f t="shared" si="2"/>
        <v>7294.299536</v>
      </c>
      <c r="I3" s="62" t="str">
        <f t="shared" si="3"/>
        <v>0.0000029</v>
      </c>
      <c r="J3" s="62">
        <f t="shared" si="4"/>
        <v>0.0000029</v>
      </c>
      <c r="K3" s="62" t="b">
        <f t="shared" si="5"/>
        <v>0</v>
      </c>
      <c r="L3" s="62" t="b">
        <f t="shared" si="6"/>
        <v>0</v>
      </c>
      <c r="M3" s="60" t="str">
        <f>IFERROR(__xludf.DUMMYFUNCTION("if(regexmatch(B3,""e(.*)$""),regexextract(B3,""e(.*)$""),"""")"),"")</f>
        <v/>
      </c>
    </row>
    <row r="4">
      <c r="A4" s="17" t="s">
        <v>96</v>
      </c>
      <c r="B4" s="17" t="s">
        <v>3787</v>
      </c>
      <c r="C4" s="17" t="s">
        <v>3788</v>
      </c>
      <c r="D4" s="17" t="s">
        <v>98</v>
      </c>
      <c r="E4" s="60" t="str">
        <f>VLOOKUP($A4,nist_names_ids!A:B,2,false)</f>
        <v>mal</v>
      </c>
      <c r="F4" s="61">
        <f>countif(Constants!A:A,E4)</f>
        <v>1</v>
      </c>
      <c r="G4" s="62" t="str">
        <f t="shared" si="1"/>
        <v>6.64465675e-27</v>
      </c>
      <c r="H4" s="62">
        <f t="shared" si="2"/>
        <v>0</v>
      </c>
      <c r="I4" s="62" t="str">
        <f t="shared" si="3"/>
        <v>0.00000029e-27</v>
      </c>
      <c r="J4" s="62">
        <f t="shared" si="4"/>
        <v>0</v>
      </c>
      <c r="K4" s="62" t="b">
        <f t="shared" si="5"/>
        <v>0</v>
      </c>
      <c r="L4" s="62" t="b">
        <f t="shared" si="6"/>
        <v>0</v>
      </c>
      <c r="M4" s="60" t="str">
        <f>IFERROR(__xludf.DUMMYFUNCTION("if(regexmatch(B4,""e(.*)$""),regexextract(B4,""e(.*)$""),"""")"),"-27")</f>
        <v>-27</v>
      </c>
    </row>
    <row r="5">
      <c r="A5" s="17" t="s">
        <v>176</v>
      </c>
      <c r="B5" s="17" t="s">
        <v>3792</v>
      </c>
      <c r="C5" s="17" t="s">
        <v>3793</v>
      </c>
      <c r="D5" s="17" t="s">
        <v>173</v>
      </c>
      <c r="E5" s="60" t="str">
        <f>VLOOKUP($A5,nist_names_ids!A:B,2,false)</f>
        <v>malc2</v>
      </c>
      <c r="F5" s="61">
        <f>countif(Constants!A:A,E5)</f>
        <v>1</v>
      </c>
      <c r="G5" s="62" t="str">
        <f t="shared" si="1"/>
        <v>5.97191967e-10</v>
      </c>
      <c r="H5" s="62">
        <f t="shared" si="2"/>
        <v>0.000000000597191967</v>
      </c>
      <c r="I5" s="62" t="str">
        <f t="shared" si="3"/>
        <v>0.00000026e-10</v>
      </c>
      <c r="J5" s="62">
        <f t="shared" si="4"/>
        <v>0</v>
      </c>
      <c r="K5" s="62" t="b">
        <f t="shared" si="5"/>
        <v>0</v>
      </c>
      <c r="L5" s="62" t="b">
        <f t="shared" si="6"/>
        <v>0</v>
      </c>
      <c r="M5" s="60" t="str">
        <f>IFERROR(__xludf.DUMMYFUNCTION("if(regexmatch(B5,""e(.*)$""),regexextract(B5,""e(.*)$""),"""")"),"-10")</f>
        <v>-10</v>
      </c>
    </row>
    <row r="6">
      <c r="A6" s="17" t="s">
        <v>222</v>
      </c>
      <c r="B6" s="17" t="s">
        <v>3795</v>
      </c>
      <c r="C6" s="17" t="s">
        <v>3796</v>
      </c>
      <c r="D6" s="17" t="s">
        <v>224</v>
      </c>
      <c r="E6" s="60" t="str">
        <f>VLOOKUP($A6,nist_names_ids!A:B,2,false)</f>
        <v>malc2mev</v>
      </c>
      <c r="F6" s="61">
        <f>countif(Constants!A:A,E6)</f>
        <v>1</v>
      </c>
      <c r="G6" s="62" t="str">
        <f t="shared" si="1"/>
        <v>3727.379240</v>
      </c>
      <c r="H6" s="62">
        <f t="shared" si="2"/>
        <v>3727.37924</v>
      </c>
      <c r="I6" s="62" t="str">
        <f t="shared" si="3"/>
        <v>0.000082</v>
      </c>
      <c r="J6" s="62">
        <f t="shared" si="4"/>
        <v>0.000082</v>
      </c>
      <c r="K6" s="62" t="b">
        <f t="shared" si="5"/>
        <v>0</v>
      </c>
      <c r="L6" s="62" t="b">
        <f t="shared" si="6"/>
        <v>0</v>
      </c>
      <c r="M6" s="60" t="str">
        <f>IFERROR(__xludf.DUMMYFUNCTION("if(regexmatch(B6,""e(.*)$""),regexextract(B6,""e(.*)$""),"""")"),"")</f>
        <v/>
      </c>
    </row>
    <row r="7">
      <c r="A7" s="17" t="s">
        <v>245</v>
      </c>
      <c r="B7" s="17" t="s">
        <v>3801</v>
      </c>
      <c r="C7" s="17" t="s">
        <v>1437</v>
      </c>
      <c r="D7" s="17" t="s">
        <v>249</v>
      </c>
      <c r="E7" s="60" t="str">
        <f>VLOOKUP($A7,nist_names_ids!A:B,2,false)</f>
        <v>malu</v>
      </c>
      <c r="F7" s="61">
        <f>countif(Constants!A:A,E7)</f>
        <v>1</v>
      </c>
      <c r="G7" s="62" t="str">
        <f t="shared" si="1"/>
        <v>4.001506179125</v>
      </c>
      <c r="H7" s="62">
        <f t="shared" si="2"/>
        <v>4.001506179</v>
      </c>
      <c r="I7" s="62" t="str">
        <f t="shared" si="3"/>
        <v>0.000000000062</v>
      </c>
      <c r="J7" s="62">
        <f t="shared" si="4"/>
        <v>0</v>
      </c>
      <c r="K7" s="62" t="b">
        <f t="shared" si="5"/>
        <v>0</v>
      </c>
      <c r="L7" s="62" t="b">
        <f t="shared" si="6"/>
        <v>0</v>
      </c>
      <c r="M7" s="60" t="str">
        <f>IFERROR(__xludf.DUMMYFUNCTION("if(regexmatch(B7,""e(.*)$""),regexextract(B7,""e(.*)$""),"""")"),"")</f>
        <v/>
      </c>
    </row>
    <row r="8">
      <c r="A8" s="17" t="s">
        <v>284</v>
      </c>
      <c r="B8" s="17" t="s">
        <v>3802</v>
      </c>
      <c r="C8" s="17" t="s">
        <v>3803</v>
      </c>
      <c r="D8" s="17" t="s">
        <v>286</v>
      </c>
      <c r="E8" s="60" t="str">
        <f>VLOOKUP($A8,nist_names_ids!A:B,2,false)</f>
        <v>mmal</v>
      </c>
      <c r="F8" s="61">
        <f>countif(Constants!A:A,E8)</f>
        <v>1</v>
      </c>
      <c r="G8" s="62" t="str">
        <f t="shared" si="1"/>
        <v>4.001506179125e-3</v>
      </c>
      <c r="H8" s="62">
        <f t="shared" si="2"/>
        <v>0.004001506179</v>
      </c>
      <c r="I8" s="62" t="str">
        <f t="shared" si="3"/>
        <v>0.000000000062e-3</v>
      </c>
      <c r="J8" s="62">
        <f t="shared" si="4"/>
        <v>0</v>
      </c>
      <c r="K8" s="62" t="b">
        <f t="shared" si="5"/>
        <v>0</v>
      </c>
      <c r="L8" s="62" t="b">
        <f t="shared" si="6"/>
        <v>0</v>
      </c>
      <c r="M8" s="60" t="str">
        <f>IFERROR(__xludf.DUMMYFUNCTION("if(regexmatch(B8,""e(.*)$""),regexextract(B8,""e(.*)$""),"""")"),"-3")</f>
        <v>-3</v>
      </c>
    </row>
    <row r="9">
      <c r="A9" s="17" t="s">
        <v>1171</v>
      </c>
      <c r="B9" s="17" t="s">
        <v>3806</v>
      </c>
      <c r="C9" s="17" t="s">
        <v>3082</v>
      </c>
      <c r="E9" s="60" t="str">
        <f>VLOOKUP($A9,nist_names_ids!A:B,2,false)</f>
        <v>malsmp</v>
      </c>
      <c r="F9" s="61">
        <f>countif(Constants!A:A,E9)</f>
        <v>1</v>
      </c>
      <c r="G9" s="62" t="str">
        <f t="shared" si="1"/>
        <v>3.97259968933</v>
      </c>
      <c r="H9" s="62">
        <f t="shared" si="2"/>
        <v>3.972599689</v>
      </c>
      <c r="I9" s="62" t="str">
        <f t="shared" si="3"/>
        <v>0.00000000036</v>
      </c>
      <c r="J9" s="62">
        <f t="shared" si="4"/>
        <v>0.00000000036</v>
      </c>
      <c r="K9" s="62" t="b">
        <f t="shared" si="5"/>
        <v>0</v>
      </c>
      <c r="L9" s="62" t="b">
        <f t="shared" si="6"/>
        <v>0</v>
      </c>
      <c r="M9" s="60" t="str">
        <f>IFERROR(__xludf.DUMMYFUNCTION("if(regexmatch(B9,""e(.*)$""),regexextract(B9,""e(.*)$""),"""")"),"")</f>
        <v/>
      </c>
    </row>
    <row r="10">
      <c r="A10" s="17" t="s">
        <v>399</v>
      </c>
      <c r="B10" s="17" t="s">
        <v>2352</v>
      </c>
      <c r="C10" s="17" t="s">
        <v>1453</v>
      </c>
      <c r="D10" s="17" t="s">
        <v>381</v>
      </c>
      <c r="E10" s="60" t="str">
        <f>VLOOKUP($A10,nist_names_ids!A:B,2,false)</f>
        <v>angstar</v>
      </c>
      <c r="F10" s="61">
        <f>countif(Constants!A:A,E10)</f>
        <v>1</v>
      </c>
      <c r="G10" s="62" t="str">
        <f t="shared" si="1"/>
        <v>1.00001495e-10</v>
      </c>
      <c r="H10" s="62">
        <f t="shared" si="2"/>
        <v>0.000000000100001495</v>
      </c>
      <c r="I10" s="62" t="str">
        <f t="shared" si="3"/>
        <v>0.00000090e-10</v>
      </c>
      <c r="J10" s="62">
        <f t="shared" si="4"/>
        <v>0</v>
      </c>
      <c r="K10" s="62" t="b">
        <f t="shared" si="5"/>
        <v>0</v>
      </c>
      <c r="L10" s="62" t="b">
        <f t="shared" si="6"/>
        <v>0</v>
      </c>
      <c r="M10" s="60" t="str">
        <f>IFERROR(__xludf.DUMMYFUNCTION("if(regexmatch(B10,""e(.*)$""),regexextract(B10,""e(.*)$""),"""")"),"-10")</f>
        <v>-10</v>
      </c>
    </row>
    <row r="11">
      <c r="A11" s="17" t="s">
        <v>431</v>
      </c>
      <c r="B11" s="17" t="s">
        <v>3811</v>
      </c>
      <c r="C11" s="17" t="s">
        <v>3812</v>
      </c>
      <c r="D11" s="17" t="s">
        <v>98</v>
      </c>
      <c r="E11" s="60" t="str">
        <f>VLOOKUP($A11,nist_names_ids!A:B,2,false)</f>
        <v>u</v>
      </c>
      <c r="F11" s="61">
        <f>countif(Constants!A:A,E11)</f>
        <v>1</v>
      </c>
      <c r="G11" s="62" t="str">
        <f t="shared" si="1"/>
        <v>1.660538921e-27</v>
      </c>
      <c r="H11" s="62">
        <f t="shared" si="2"/>
        <v>0</v>
      </c>
      <c r="I11" s="62" t="str">
        <f t="shared" si="3"/>
        <v>0.000000073e-27</v>
      </c>
      <c r="J11" s="62">
        <f t="shared" si="4"/>
        <v>0</v>
      </c>
      <c r="K11" s="62" t="b">
        <f t="shared" si="5"/>
        <v>0</v>
      </c>
      <c r="L11" s="62" t="b">
        <f t="shared" si="6"/>
        <v>0</v>
      </c>
      <c r="M11" s="60" t="str">
        <f>IFERROR(__xludf.DUMMYFUNCTION("if(regexmatch(B11,""e(.*)$""),regexextract(B11,""e(.*)$""),"""")"),"-27")</f>
        <v>-27</v>
      </c>
    </row>
    <row r="12">
      <c r="A12" s="17" t="s">
        <v>619</v>
      </c>
      <c r="B12" s="17" t="s">
        <v>3815</v>
      </c>
      <c r="C12" s="17" t="s">
        <v>3816</v>
      </c>
      <c r="D12" s="17" t="s">
        <v>173</v>
      </c>
      <c r="E12" s="60" t="str">
        <f>VLOOKUP($A12,nist_names_ids!A:B,2,false)</f>
        <v>uj</v>
      </c>
      <c r="F12" s="61">
        <f>countif(Constants!A:A,E12)</f>
        <v>1</v>
      </c>
      <c r="G12" s="62" t="str">
        <f t="shared" si="1"/>
        <v>1.492417954e-10</v>
      </c>
      <c r="H12" s="62">
        <f t="shared" si="2"/>
        <v>0.0000000001492417954</v>
      </c>
      <c r="I12" s="62" t="str">
        <f t="shared" si="3"/>
        <v>0.000000066e-10</v>
      </c>
      <c r="J12" s="62">
        <f t="shared" si="4"/>
        <v>0</v>
      </c>
      <c r="K12" s="62" t="b">
        <f t="shared" si="5"/>
        <v>0</v>
      </c>
      <c r="L12" s="62" t="b">
        <f t="shared" si="6"/>
        <v>0</v>
      </c>
      <c r="M12" s="60" t="str">
        <f>IFERROR(__xludf.DUMMYFUNCTION("if(regexmatch(B12,""e(.*)$""),regexextract(B12,""e(.*)$""),"""")"),"-10")</f>
        <v>-10</v>
      </c>
    </row>
    <row r="13">
      <c r="A13" s="17" t="s">
        <v>453</v>
      </c>
      <c r="B13" s="17" t="s">
        <v>3818</v>
      </c>
      <c r="C13" s="17" t="s">
        <v>3546</v>
      </c>
      <c r="D13" s="17" t="s">
        <v>224</v>
      </c>
      <c r="E13" s="60" t="str">
        <f>VLOOKUP($A13,nist_names_ids!A:B,2,false)</f>
        <v>muc2mev</v>
      </c>
      <c r="F13" s="61">
        <f>countif(Constants!A:A,E13)</f>
        <v>1</v>
      </c>
      <c r="G13" s="62" t="str">
        <f t="shared" si="1"/>
        <v>931.494061</v>
      </c>
      <c r="H13" s="62">
        <f t="shared" si="2"/>
        <v>931.494061</v>
      </c>
      <c r="I13" s="62" t="str">
        <f t="shared" si="3"/>
        <v>0.000021</v>
      </c>
      <c r="J13" s="62">
        <f t="shared" si="4"/>
        <v>0.000021</v>
      </c>
      <c r="K13" s="62" t="b">
        <f t="shared" si="5"/>
        <v>0</v>
      </c>
      <c r="L13" s="62" t="b">
        <f t="shared" si="6"/>
        <v>0</v>
      </c>
      <c r="M13" s="60" t="str">
        <f>IFERROR(__xludf.DUMMYFUNCTION("if(regexmatch(B13,""e(.*)$""),regexextract(B13,""e(.*)$""),"""")"),"")</f>
        <v/>
      </c>
    </row>
    <row r="14">
      <c r="A14" s="17" t="s">
        <v>1242</v>
      </c>
      <c r="B14" s="17" t="s">
        <v>3820</v>
      </c>
      <c r="C14" s="17" t="s">
        <v>3821</v>
      </c>
      <c r="D14" s="17" t="s">
        <v>181</v>
      </c>
      <c r="E14" s="60" t="str">
        <f>VLOOKUP($A14,nist_names_ids!A:B,2,false)</f>
        <v>uev</v>
      </c>
      <c r="F14" s="61">
        <f>countif(Constants!A:A,E14)</f>
        <v>1</v>
      </c>
      <c r="G14" s="62" t="str">
        <f t="shared" si="1"/>
        <v>931.494061e6</v>
      </c>
      <c r="H14" s="62">
        <f t="shared" si="2"/>
        <v>931494061</v>
      </c>
      <c r="I14" s="62" t="str">
        <f t="shared" si="3"/>
        <v>0.000021e6</v>
      </c>
      <c r="J14" s="62">
        <f t="shared" si="4"/>
        <v>21</v>
      </c>
      <c r="K14" s="62" t="b">
        <f t="shared" si="5"/>
        <v>0</v>
      </c>
      <c r="L14" s="62" t="b">
        <f t="shared" si="6"/>
        <v>0</v>
      </c>
      <c r="M14" s="60" t="str">
        <f>IFERROR(__xludf.DUMMYFUNCTION("if(regexmatch(B14,""e(.*)$""),regexextract(B14,""e(.*)$""),"""")"),"6")</f>
        <v>6</v>
      </c>
    </row>
    <row r="15">
      <c r="A15" s="17" t="s">
        <v>1272</v>
      </c>
      <c r="B15" s="17" t="s">
        <v>3822</v>
      </c>
      <c r="C15" s="17" t="s">
        <v>3823</v>
      </c>
      <c r="D15" s="17" t="s">
        <v>170</v>
      </c>
      <c r="E15" s="60" t="str">
        <f>VLOOKUP($A15,nist_names_ids!A:B,2,false)</f>
        <v>uhr</v>
      </c>
      <c r="F15" s="61">
        <f>countif(Constants!A:A,E15)</f>
        <v>1</v>
      </c>
      <c r="G15" s="62" t="str">
        <f t="shared" si="1"/>
        <v>3.4231776845e7</v>
      </c>
      <c r="H15" s="62">
        <f t="shared" si="2"/>
        <v>34231776.85</v>
      </c>
      <c r="I15" s="62" t="str">
        <f t="shared" si="3"/>
        <v>0.0000000024e7</v>
      </c>
      <c r="J15" s="62">
        <f t="shared" si="4"/>
        <v>0.024</v>
      </c>
      <c r="K15" s="62" t="b">
        <f t="shared" si="5"/>
        <v>0</v>
      </c>
      <c r="L15" s="62" t="b">
        <f t="shared" si="6"/>
        <v>0</v>
      </c>
      <c r="M15" s="60" t="str">
        <f>IFERROR(__xludf.DUMMYFUNCTION("if(regexmatch(B15,""e(.*)$""),regexextract(B15,""e(.*)$""),"""")"),"7")</f>
        <v>7</v>
      </c>
    </row>
    <row r="16">
      <c r="A16" s="17" t="s">
        <v>1288</v>
      </c>
      <c r="B16" s="17" t="s">
        <v>3824</v>
      </c>
      <c r="C16" s="17" t="s">
        <v>3825</v>
      </c>
      <c r="D16" s="17" t="s">
        <v>257</v>
      </c>
      <c r="E16" s="60" t="str">
        <f>VLOOKUP($A16,nist_names_ids!A:B,2,false)</f>
        <v>uhz</v>
      </c>
      <c r="F16" s="61">
        <f>countif(Constants!A:A,E16)</f>
        <v>1</v>
      </c>
      <c r="G16" s="62" t="str">
        <f t="shared" si="1"/>
        <v>2.2523427168e23</v>
      </c>
      <c r="H16" s="62">
        <f t="shared" si="2"/>
        <v>2.25234E+23</v>
      </c>
      <c r="I16" s="62" t="str">
        <f t="shared" si="3"/>
        <v>0.0000000016e23</v>
      </c>
      <c r="J16" s="62">
        <f t="shared" si="4"/>
        <v>160000000000000</v>
      </c>
      <c r="K16" s="62" t="b">
        <f t="shared" si="5"/>
        <v>0</v>
      </c>
      <c r="L16" s="62" t="b">
        <f t="shared" si="6"/>
        <v>0</v>
      </c>
      <c r="M16" s="60" t="str">
        <f>IFERROR(__xludf.DUMMYFUNCTION("if(regexmatch(B16,""e(.*)$""),regexextract(B16,""e(.*)$""),"""")"),"23")</f>
        <v>23</v>
      </c>
    </row>
    <row r="17">
      <c r="A17" s="17" t="s">
        <v>1312</v>
      </c>
      <c r="B17" s="17" t="s">
        <v>3829</v>
      </c>
      <c r="C17" s="17" t="s">
        <v>3830</v>
      </c>
      <c r="D17" s="17" t="s">
        <v>561</v>
      </c>
      <c r="E17" s="60" t="str">
        <f>VLOOKUP($A17,nist_names_ids!A:B,2,false)</f>
        <v>uminv</v>
      </c>
      <c r="F17" s="61">
        <f>countif(Constants!A:A,E17)</f>
        <v>1</v>
      </c>
      <c r="G17" s="62" t="str">
        <f t="shared" si="1"/>
        <v>7.5130066042e14</v>
      </c>
      <c r="H17" s="62">
        <f t="shared" si="2"/>
        <v>751300660420000</v>
      </c>
      <c r="I17" s="62" t="str">
        <f t="shared" si="3"/>
        <v>0.0000000053e14</v>
      </c>
      <c r="J17" s="62">
        <f t="shared" si="4"/>
        <v>530000</v>
      </c>
      <c r="K17" s="62" t="b">
        <f t="shared" si="5"/>
        <v>0</v>
      </c>
      <c r="L17" s="62" t="b">
        <f t="shared" si="6"/>
        <v>0</v>
      </c>
      <c r="M17" s="60" t="str">
        <f>IFERROR(__xludf.DUMMYFUNCTION("if(regexmatch(B17,""e(.*)$""),regexextract(B17,""e(.*)$""),"""")"),"14")</f>
        <v>14</v>
      </c>
    </row>
    <row r="18">
      <c r="A18" s="17" t="s">
        <v>1324</v>
      </c>
      <c r="B18" s="17" t="s">
        <v>3815</v>
      </c>
      <c r="C18" s="17" t="s">
        <v>3816</v>
      </c>
      <c r="D18" s="17" t="s">
        <v>173</v>
      </c>
      <c r="E18" s="60" t="str">
        <f>VLOOKUP($A18,nist_names_ids!A:B,2,false)</f>
        <v>Ruj</v>
      </c>
      <c r="F18" s="61">
        <f>countif(Constants!A:A,E18)</f>
        <v>1</v>
      </c>
      <c r="G18" s="62" t="str">
        <f t="shared" si="1"/>
        <v>1.492417954e-10</v>
      </c>
      <c r="H18" s="62">
        <f t="shared" si="2"/>
        <v>0.0000000001492417954</v>
      </c>
      <c r="I18" s="62" t="str">
        <f t="shared" si="3"/>
        <v>0.000000066e-10</v>
      </c>
      <c r="J18" s="62">
        <f t="shared" si="4"/>
        <v>0</v>
      </c>
      <c r="K18" s="62" t="b">
        <f t="shared" si="5"/>
        <v>0</v>
      </c>
      <c r="L18" s="62" t="b">
        <f t="shared" si="6"/>
        <v>0</v>
      </c>
      <c r="M18" s="60" t="str">
        <f>IFERROR(__xludf.DUMMYFUNCTION("if(regexmatch(B18,""e(.*)$""),regexextract(B18,""e(.*)$""),"""")"),"-10")</f>
        <v>-10</v>
      </c>
    </row>
    <row r="19">
      <c r="A19" s="17" t="s">
        <v>1338</v>
      </c>
      <c r="B19" s="17" t="s">
        <v>3836</v>
      </c>
      <c r="C19" s="17" t="s">
        <v>3837</v>
      </c>
      <c r="D19" s="17" t="s">
        <v>345</v>
      </c>
      <c r="E19" s="60" t="str">
        <f>VLOOKUP($A19,nist_names_ids!A:B,2,false)</f>
        <v>uk</v>
      </c>
      <c r="F19" s="61">
        <f>countif(Constants!A:A,E19)</f>
        <v>1</v>
      </c>
      <c r="G19" s="62" t="str">
        <f t="shared" si="1"/>
        <v>1.08095408e13</v>
      </c>
      <c r="H19" s="62">
        <f t="shared" si="2"/>
        <v>10809540800000</v>
      </c>
      <c r="I19" s="62" t="str">
        <f t="shared" si="3"/>
        <v>0.00000098e13</v>
      </c>
      <c r="J19" s="62">
        <f t="shared" si="4"/>
        <v>9800000</v>
      </c>
      <c r="K19" s="62" t="b">
        <f t="shared" si="5"/>
        <v>0</v>
      </c>
      <c r="L19" s="62" t="b">
        <f t="shared" si="6"/>
        <v>0</v>
      </c>
      <c r="M19" s="60" t="str">
        <f>IFERROR(__xludf.DUMMYFUNCTION("if(regexmatch(B19,""e(.*)$""),regexextract(B19,""e(.*)$""),"""")"),"13")</f>
        <v>13</v>
      </c>
    </row>
    <row r="20">
      <c r="A20" s="17" t="s">
        <v>1349</v>
      </c>
      <c r="B20" s="17" t="s">
        <v>3811</v>
      </c>
      <c r="C20" s="17" t="s">
        <v>3812</v>
      </c>
      <c r="D20" s="17" t="s">
        <v>98</v>
      </c>
      <c r="E20" s="60" t="str">
        <f>VLOOKUP($A20,nist_names_ids!A:B,2,false)</f>
        <v>Rukg</v>
      </c>
      <c r="F20" s="61">
        <f>countif(Constants!A:A,E20)</f>
        <v>1</v>
      </c>
      <c r="G20" s="62" t="str">
        <f t="shared" si="1"/>
        <v>1.660538921e-27</v>
      </c>
      <c r="H20" s="62">
        <f t="shared" si="2"/>
        <v>0</v>
      </c>
      <c r="I20" s="62" t="str">
        <f t="shared" si="3"/>
        <v>0.000000073e-27</v>
      </c>
      <c r="J20" s="62">
        <f t="shared" si="4"/>
        <v>0</v>
      </c>
      <c r="K20" s="62" t="b">
        <f t="shared" si="5"/>
        <v>0</v>
      </c>
      <c r="L20" s="62" t="b">
        <f t="shared" si="6"/>
        <v>0</v>
      </c>
      <c r="M20" s="60" t="str">
        <f>IFERROR(__xludf.DUMMYFUNCTION("if(regexmatch(B20,""e(.*)$""),regexextract(B20,""e(.*)$""),"""")"),"-27")</f>
        <v>-27</v>
      </c>
    </row>
    <row r="21">
      <c r="A21" s="17" t="s">
        <v>1364</v>
      </c>
      <c r="B21" s="17" t="s">
        <v>3843</v>
      </c>
      <c r="C21" s="17" t="s">
        <v>3844</v>
      </c>
      <c r="D21" s="17" t="s">
        <v>676</v>
      </c>
      <c r="E21" s="60" t="str">
        <f>VLOOKUP($A21,nist_names_ids!A:B,2,false)</f>
        <v>auhypol</v>
      </c>
      <c r="F21" s="61">
        <f>countif(Constants!A:A,E21)</f>
        <v>1</v>
      </c>
      <c r="G21" s="62" t="str">
        <f t="shared" si="1"/>
        <v>3.206361449e-53</v>
      </c>
      <c r="H21" s="62">
        <f t="shared" si="2"/>
        <v>0</v>
      </c>
      <c r="I21" s="62" t="str">
        <f t="shared" si="3"/>
        <v>0.000000071e-53</v>
      </c>
      <c r="J21" s="62">
        <f t="shared" si="4"/>
        <v>0</v>
      </c>
      <c r="K21" s="62" t="b">
        <f t="shared" si="5"/>
        <v>0</v>
      </c>
      <c r="L21" s="62" t="b">
        <f t="shared" si="6"/>
        <v>0</v>
      </c>
      <c r="M21" s="60" t="str">
        <f>IFERROR(__xludf.DUMMYFUNCTION("if(regexmatch(B21,""e(.*)$""),regexextract(B21,""e(.*)$""),"""")"),"-53")</f>
        <v>-53</v>
      </c>
    </row>
    <row r="22">
      <c r="A22" s="17" t="s">
        <v>1378</v>
      </c>
      <c r="B22" s="17" t="s">
        <v>3847</v>
      </c>
      <c r="C22" s="17" t="s">
        <v>3848</v>
      </c>
      <c r="D22" s="17" t="s">
        <v>698</v>
      </c>
      <c r="E22" s="60" t="str">
        <f>VLOOKUP($A22,nist_names_ids!A:B,2,false)</f>
        <v>au2hypol</v>
      </c>
      <c r="F22" s="61">
        <f>countif(Constants!A:A,E22)</f>
        <v>1</v>
      </c>
      <c r="G22" s="62" t="str">
        <f t="shared" si="1"/>
        <v>6.23538054e-65</v>
      </c>
      <c r="H22" s="62">
        <f t="shared" si="2"/>
        <v>0</v>
      </c>
      <c r="I22" s="62" t="str">
        <f t="shared" si="3"/>
        <v>0.00000028e-65</v>
      </c>
      <c r="J22" s="62">
        <f t="shared" si="4"/>
        <v>0</v>
      </c>
      <c r="K22" s="62" t="b">
        <f t="shared" si="5"/>
        <v>0</v>
      </c>
      <c r="L22" s="62" t="b">
        <f t="shared" si="6"/>
        <v>0</v>
      </c>
      <c r="M22" s="60" t="str">
        <f>IFERROR(__xludf.DUMMYFUNCTION("if(regexmatch(B22,""e(.*)$""),regexextract(B22,""e(.*)$""),"""")"),"-65")</f>
        <v>-65</v>
      </c>
    </row>
    <row r="23">
      <c r="A23" s="17" t="s">
        <v>712</v>
      </c>
      <c r="B23" s="17" t="s">
        <v>3849</v>
      </c>
      <c r="C23" s="17" t="s">
        <v>3851</v>
      </c>
      <c r="D23" s="17" t="s">
        <v>714</v>
      </c>
      <c r="E23" s="60" t="str">
        <f>VLOOKUP($A23,nist_names_ids!A:B,2,false)</f>
        <v>tthbar</v>
      </c>
      <c r="F23" s="61">
        <f>countif(Constants!A:A,E23)</f>
        <v>1</v>
      </c>
      <c r="G23" s="62" t="str">
        <f t="shared" si="1"/>
        <v>1.054571726e-34</v>
      </c>
      <c r="H23" s="62">
        <f t="shared" si="2"/>
        <v>0</v>
      </c>
      <c r="I23" s="62" t="str">
        <f t="shared" si="3"/>
        <v>0.000000047e-34</v>
      </c>
      <c r="J23" s="62">
        <f t="shared" si="4"/>
        <v>0</v>
      </c>
      <c r="K23" s="62" t="b">
        <f t="shared" si="5"/>
        <v>0</v>
      </c>
      <c r="L23" s="62" t="b">
        <f t="shared" si="6"/>
        <v>0</v>
      </c>
      <c r="M23" s="60" t="str">
        <f>IFERROR(__xludf.DUMMYFUNCTION("if(regexmatch(B23,""e(.*)$""),regexextract(B23,""e(.*)$""),"""")"),"-34")</f>
        <v>-34</v>
      </c>
    </row>
    <row r="24">
      <c r="A24" s="17" t="s">
        <v>729</v>
      </c>
      <c r="B24" s="17" t="s">
        <v>3856</v>
      </c>
      <c r="C24" s="17" t="s">
        <v>3857</v>
      </c>
      <c r="D24" s="17" t="s">
        <v>81</v>
      </c>
      <c r="E24" s="60" t="str">
        <f>VLOOKUP($A24,nist_names_ids!A:B,2,false)</f>
        <v>Ae</v>
      </c>
      <c r="F24" s="61">
        <f>countif(Constants!A:A,E24)</f>
        <v>2</v>
      </c>
      <c r="G24" s="62" t="str">
        <f t="shared" si="1"/>
        <v>1.602176565e-19</v>
      </c>
      <c r="H24" s="62">
        <f t="shared" si="2"/>
        <v>0</v>
      </c>
      <c r="I24" s="62" t="str">
        <f t="shared" si="3"/>
        <v>0.000000035e-19</v>
      </c>
      <c r="J24" s="62">
        <f t="shared" si="4"/>
        <v>0</v>
      </c>
      <c r="K24" s="62" t="b">
        <f t="shared" si="5"/>
        <v>0</v>
      </c>
      <c r="L24" s="62" t="b">
        <f t="shared" si="6"/>
        <v>0</v>
      </c>
      <c r="M24" s="60" t="str">
        <f>IFERROR(__xludf.DUMMYFUNCTION("if(regexmatch(B24,""e(.*)$""),regexextract(B24,""e(.*)$""),"""")"),"-19")</f>
        <v>-19</v>
      </c>
    </row>
    <row r="25">
      <c r="A25" s="17" t="s">
        <v>742</v>
      </c>
      <c r="B25" s="17" t="s">
        <v>3858</v>
      </c>
      <c r="C25" s="17" t="s">
        <v>3859</v>
      </c>
      <c r="D25" s="17" t="s">
        <v>744</v>
      </c>
      <c r="E25" s="60" t="str">
        <f>VLOOKUP($A25,nist_names_ids!A:B,2,false)</f>
        <v>aucd</v>
      </c>
      <c r="F25" s="61">
        <f>countif(Constants!A:A,E25)</f>
        <v>1</v>
      </c>
      <c r="G25" s="62" t="str">
        <f t="shared" si="1"/>
        <v>1.081202338e12</v>
      </c>
      <c r="H25" s="62">
        <f t="shared" si="2"/>
        <v>1081202338000</v>
      </c>
      <c r="I25" s="62" t="str">
        <f t="shared" si="3"/>
        <v>0.000000024e12</v>
      </c>
      <c r="J25" s="62">
        <f t="shared" si="4"/>
        <v>24000</v>
      </c>
      <c r="K25" s="62" t="b">
        <f t="shared" si="5"/>
        <v>0</v>
      </c>
      <c r="L25" s="62" t="b">
        <f t="shared" si="6"/>
        <v>0</v>
      </c>
      <c r="M25" s="60" t="str">
        <f>IFERROR(__xludf.DUMMYFUNCTION("if(regexmatch(B25,""e(.*)$""),regexextract(B25,""e(.*)$""),"""")"),"12")</f>
        <v>12</v>
      </c>
    </row>
    <row r="26">
      <c r="A26" s="17" t="s">
        <v>756</v>
      </c>
      <c r="B26" s="17" t="s">
        <v>3861</v>
      </c>
      <c r="C26" s="17" t="s">
        <v>3862</v>
      </c>
      <c r="D26" s="17" t="s">
        <v>55</v>
      </c>
      <c r="E26" s="60" t="str">
        <f>VLOOKUP($A26,nist_names_ids!A:B,2,false)</f>
        <v>aucur</v>
      </c>
      <c r="F26" s="61">
        <f>countif(Constants!A:A,E26)</f>
        <v>1</v>
      </c>
      <c r="G26" s="62" t="str">
        <f t="shared" si="1"/>
        <v>6.62361795e-3</v>
      </c>
      <c r="H26" s="62">
        <f t="shared" si="2"/>
        <v>0.00662361795</v>
      </c>
      <c r="I26" s="62" t="str">
        <f t="shared" si="3"/>
        <v>0.00000015e-3</v>
      </c>
      <c r="J26" s="62">
        <f t="shared" si="4"/>
        <v>0.00000000015</v>
      </c>
      <c r="K26" s="62" t="b">
        <f t="shared" si="5"/>
        <v>0</v>
      </c>
      <c r="L26" s="62" t="b">
        <f t="shared" si="6"/>
        <v>0</v>
      </c>
      <c r="M26" s="60" t="str">
        <f>IFERROR(__xludf.DUMMYFUNCTION("if(regexmatch(B26,""e(.*)$""),regexextract(B26,""e(.*)$""),"""")"),"-3")</f>
        <v>-3</v>
      </c>
    </row>
    <row r="27">
      <c r="A27" s="17" t="s">
        <v>1420</v>
      </c>
      <c r="B27" s="17" t="s">
        <v>3866</v>
      </c>
      <c r="C27" s="17" t="s">
        <v>3867</v>
      </c>
      <c r="D27" s="17" t="s">
        <v>772</v>
      </c>
      <c r="E27" s="60" t="str">
        <f>VLOOKUP($A27,nist_names_ids!A:B,2,false)</f>
        <v>auedm</v>
      </c>
      <c r="F27" s="61">
        <f>countif(Constants!A:A,E27)</f>
        <v>1</v>
      </c>
      <c r="G27" s="62" t="str">
        <f t="shared" si="1"/>
        <v>8.47835326e-30</v>
      </c>
      <c r="H27" s="62">
        <f t="shared" si="2"/>
        <v>0</v>
      </c>
      <c r="I27" s="62" t="str">
        <f t="shared" si="3"/>
        <v>0.00000019e-30</v>
      </c>
      <c r="J27" s="62">
        <f t="shared" si="4"/>
        <v>0</v>
      </c>
      <c r="K27" s="62" t="b">
        <f t="shared" si="5"/>
        <v>0</v>
      </c>
      <c r="L27" s="62" t="b">
        <f t="shared" si="6"/>
        <v>0</v>
      </c>
      <c r="M27" s="60" t="str">
        <f>IFERROR(__xludf.DUMMYFUNCTION("if(regexmatch(B27,""e(.*)$""),regexextract(B27,""e(.*)$""),"""")"),"-30")</f>
        <v>-30</v>
      </c>
    </row>
    <row r="28">
      <c r="A28" s="17" t="s">
        <v>787</v>
      </c>
      <c r="B28" s="17" t="s">
        <v>3870</v>
      </c>
      <c r="C28" s="17" t="s">
        <v>3871</v>
      </c>
      <c r="D28" s="17" t="s">
        <v>789</v>
      </c>
      <c r="E28" s="60" t="str">
        <f>VLOOKUP($A28,nist_names_ids!A:B,2,false)</f>
        <v>auefld</v>
      </c>
      <c r="F28" s="61">
        <f>countif(Constants!A:A,E28)</f>
        <v>1</v>
      </c>
      <c r="G28" s="62" t="str">
        <f t="shared" si="1"/>
        <v>5.14220652e11</v>
      </c>
      <c r="H28" s="62">
        <f t="shared" si="2"/>
        <v>514220652000</v>
      </c>
      <c r="I28" s="62" t="str">
        <f t="shared" si="3"/>
        <v>0.00000011e11</v>
      </c>
      <c r="J28" s="62">
        <f t="shared" si="4"/>
        <v>11000</v>
      </c>
      <c r="K28" s="62" t="b">
        <f t="shared" si="5"/>
        <v>0</v>
      </c>
      <c r="L28" s="62" t="b">
        <f t="shared" si="6"/>
        <v>0</v>
      </c>
      <c r="M28" s="60" t="str">
        <f>IFERROR(__xludf.DUMMYFUNCTION("if(regexmatch(B28,""e(.*)$""),regexextract(B28,""e(.*)$""),"""")"),"11")</f>
        <v>11</v>
      </c>
    </row>
    <row r="29">
      <c r="A29" s="17" t="s">
        <v>810</v>
      </c>
      <c r="B29" s="17" t="s">
        <v>3873</v>
      </c>
      <c r="C29" s="17" t="s">
        <v>3874</v>
      </c>
      <c r="D29" s="17" t="s">
        <v>812</v>
      </c>
      <c r="E29" s="60" t="str">
        <f>VLOOKUP($A29,nist_names_ids!A:B,2,false)</f>
        <v>auefg</v>
      </c>
      <c r="F29" s="61">
        <f>countif(Constants!A:A,E29)</f>
        <v>1</v>
      </c>
      <c r="G29" s="62" t="str">
        <f t="shared" si="1"/>
        <v>9.71736200e21</v>
      </c>
      <c r="H29" s="62">
        <f t="shared" si="2"/>
        <v>9.71736E+21</v>
      </c>
      <c r="I29" s="62" t="str">
        <f t="shared" si="3"/>
        <v>0.00000021e21</v>
      </c>
      <c r="J29" s="62">
        <f t="shared" si="4"/>
        <v>210000000000000</v>
      </c>
      <c r="K29" s="62" t="b">
        <f t="shared" si="5"/>
        <v>0</v>
      </c>
      <c r="L29" s="62" t="b">
        <f t="shared" si="6"/>
        <v>0</v>
      </c>
      <c r="M29" s="60" t="str">
        <f>IFERROR(__xludf.DUMMYFUNCTION("if(regexmatch(B29,""e(.*)$""),regexextract(B29,""e(.*)$""),"""")"),"21")</f>
        <v>21</v>
      </c>
    </row>
    <row r="30">
      <c r="A30" s="17" t="s">
        <v>833</v>
      </c>
      <c r="B30" s="17" t="s">
        <v>3881</v>
      </c>
      <c r="C30" s="17" t="s">
        <v>3882</v>
      </c>
      <c r="D30" s="17" t="s">
        <v>835</v>
      </c>
      <c r="E30" s="60" t="str">
        <f>VLOOKUP($A30,nist_names_ids!A:B,2,false)</f>
        <v>auepol</v>
      </c>
      <c r="F30" s="61">
        <f>countif(Constants!A:A,E30)</f>
        <v>1</v>
      </c>
      <c r="G30" s="62" t="str">
        <f t="shared" si="1"/>
        <v>1.6487772754e-41</v>
      </c>
      <c r="H30" s="62">
        <f t="shared" si="2"/>
        <v>0</v>
      </c>
      <c r="I30" s="62" t="str">
        <f t="shared" si="3"/>
        <v>0.0000000016e-41</v>
      </c>
      <c r="J30" s="62">
        <f t="shared" si="4"/>
        <v>0</v>
      </c>
      <c r="K30" s="62" t="b">
        <f t="shared" si="5"/>
        <v>0</v>
      </c>
      <c r="L30" s="62" t="b">
        <f t="shared" si="6"/>
        <v>0</v>
      </c>
      <c r="M30" s="60" t="str">
        <f>IFERROR(__xludf.DUMMYFUNCTION("if(regexmatch(B30,""e(.*)$""),regexextract(B30,""e(.*)$""),"""")"),"-41")</f>
        <v>-41</v>
      </c>
    </row>
    <row r="31">
      <c r="A31" s="17" t="s">
        <v>858</v>
      </c>
      <c r="B31" s="17" t="s">
        <v>3883</v>
      </c>
      <c r="C31" s="17" t="s">
        <v>3884</v>
      </c>
      <c r="D31" s="17" t="s">
        <v>546</v>
      </c>
      <c r="E31" s="60" t="str">
        <f>VLOOKUP($A31,nist_names_ids!A:B,2,false)</f>
        <v>auep</v>
      </c>
      <c r="F31" s="61">
        <f>countif(Constants!A:A,E31)</f>
        <v>1</v>
      </c>
      <c r="G31" s="62" t="str">
        <f t="shared" si="1"/>
        <v>27.21138505</v>
      </c>
      <c r="H31" s="62">
        <f t="shared" si="2"/>
        <v>27.21138505</v>
      </c>
      <c r="I31" s="62" t="str">
        <f t="shared" si="3"/>
        <v>0.00000060</v>
      </c>
      <c r="J31" s="62">
        <f t="shared" si="4"/>
        <v>0.0000006</v>
      </c>
      <c r="K31" s="62" t="b">
        <f t="shared" si="5"/>
        <v>0</v>
      </c>
      <c r="L31" s="62" t="b">
        <f t="shared" si="6"/>
        <v>0</v>
      </c>
      <c r="M31" s="60" t="str">
        <f>IFERROR(__xludf.DUMMYFUNCTION("if(regexmatch(B31,""e(.*)$""),regexextract(B31,""e(.*)$""),"""")"),"")</f>
        <v/>
      </c>
    </row>
    <row r="32">
      <c r="A32" s="17" t="s">
        <v>1470</v>
      </c>
      <c r="B32" s="17" t="s">
        <v>3885</v>
      </c>
      <c r="C32" s="17" t="s">
        <v>3887</v>
      </c>
      <c r="D32" s="17" t="s">
        <v>884</v>
      </c>
      <c r="E32" s="60" t="str">
        <f>VLOOKUP($A32,nist_names_ids!A:B,2,false)</f>
        <v>aueqm</v>
      </c>
      <c r="F32" s="61">
        <f>countif(Constants!A:A,E32)</f>
        <v>1</v>
      </c>
      <c r="G32" s="62" t="str">
        <f t="shared" si="1"/>
        <v>4.486551331e-40</v>
      </c>
      <c r="H32" s="62">
        <f t="shared" si="2"/>
        <v>0</v>
      </c>
      <c r="I32" s="62" t="str">
        <f t="shared" si="3"/>
        <v>0.000000099e-40</v>
      </c>
      <c r="J32" s="62">
        <f t="shared" si="4"/>
        <v>0</v>
      </c>
      <c r="K32" s="62" t="b">
        <f t="shared" si="5"/>
        <v>0</v>
      </c>
      <c r="L32" s="62" t="b">
        <f t="shared" si="6"/>
        <v>0</v>
      </c>
      <c r="M32" s="60" t="str">
        <f>IFERROR(__xludf.DUMMYFUNCTION("if(regexmatch(B32,""e(.*)$""),regexextract(B32,""e(.*)$""),"""")"),"-40")</f>
        <v>-40</v>
      </c>
    </row>
    <row r="33">
      <c r="A33" s="17" t="s">
        <v>901</v>
      </c>
      <c r="B33" s="17" t="s">
        <v>3892</v>
      </c>
      <c r="C33" s="17" t="s">
        <v>3894</v>
      </c>
      <c r="D33" s="17" t="s">
        <v>173</v>
      </c>
      <c r="E33" s="60" t="str">
        <f>VLOOKUP($A33,nist_names_ids!A:B,2,false)</f>
        <v>thr</v>
      </c>
      <c r="F33" s="61">
        <f>countif(Constants!A:A,E33)</f>
        <v>1</v>
      </c>
      <c r="G33" s="62" t="str">
        <f t="shared" si="1"/>
        <v>4.35974434e-18</v>
      </c>
      <c r="H33" s="62">
        <f t="shared" si="2"/>
        <v>0</v>
      </c>
      <c r="I33" s="62" t="str">
        <f t="shared" si="3"/>
        <v>0.00000019e-18</v>
      </c>
      <c r="J33" s="62">
        <f t="shared" si="4"/>
        <v>0</v>
      </c>
      <c r="K33" s="62" t="b">
        <f t="shared" si="5"/>
        <v>0</v>
      </c>
      <c r="L33" s="62" t="b">
        <f t="shared" si="6"/>
        <v>0</v>
      </c>
      <c r="M33" s="60" t="str">
        <f>IFERROR(__xludf.DUMMYFUNCTION("if(regexmatch(B33,""e(.*)$""),regexextract(B33,""e(.*)$""),"""")"),"-18")</f>
        <v>-18</v>
      </c>
    </row>
    <row r="34">
      <c r="A34" s="17" t="s">
        <v>921</v>
      </c>
      <c r="B34" s="17" t="s">
        <v>3895</v>
      </c>
      <c r="C34" s="17" t="s">
        <v>3896</v>
      </c>
      <c r="D34" s="17" t="s">
        <v>486</v>
      </c>
      <c r="E34" s="60" t="str">
        <f>VLOOKUP($A34,nist_names_ids!A:B,2,false)</f>
        <v>auforce</v>
      </c>
      <c r="F34" s="61">
        <f>countif(Constants!A:A,E34)</f>
        <v>1</v>
      </c>
      <c r="G34" s="62" t="str">
        <f t="shared" si="1"/>
        <v>8.23872278e-8</v>
      </c>
      <c r="H34" s="62">
        <f t="shared" si="2"/>
        <v>0.0000000823872278</v>
      </c>
      <c r="I34" s="62" t="str">
        <f t="shared" si="3"/>
        <v>0.00000036e-8</v>
      </c>
      <c r="J34" s="62">
        <f t="shared" si="4"/>
        <v>0</v>
      </c>
      <c r="K34" s="62" t="b">
        <f t="shared" si="5"/>
        <v>0</v>
      </c>
      <c r="L34" s="62" t="b">
        <f t="shared" si="6"/>
        <v>0</v>
      </c>
      <c r="M34" s="60" t="str">
        <f>IFERROR(__xludf.DUMMYFUNCTION("if(regexmatch(B34,""e(.*)$""),regexextract(B34,""e(.*)$""),"""")"),"-8")</f>
        <v>-8</v>
      </c>
    </row>
    <row r="35">
      <c r="A35" s="17" t="s">
        <v>940</v>
      </c>
      <c r="B35" s="17" t="s">
        <v>3899</v>
      </c>
      <c r="C35" s="17" t="s">
        <v>1564</v>
      </c>
      <c r="D35" s="17" t="s">
        <v>381</v>
      </c>
      <c r="E35" s="60" t="str">
        <f>VLOOKUP($A35,nist_names_ids!A:B,2,false)</f>
        <v>tbohrrada0</v>
      </c>
      <c r="F35" s="61">
        <f>countif(Constants!A:A,E35)</f>
        <v>1</v>
      </c>
      <c r="G35" s="62" t="str">
        <f t="shared" si="1"/>
        <v>0.52917721092e-10</v>
      </c>
      <c r="H35" s="62">
        <f t="shared" si="2"/>
        <v>0</v>
      </c>
      <c r="I35" s="62" t="str">
        <f t="shared" si="3"/>
        <v>0.00000000017e-10</v>
      </c>
      <c r="J35" s="62">
        <f t="shared" si="4"/>
        <v>0</v>
      </c>
      <c r="K35" s="62" t="b">
        <f t="shared" si="5"/>
        <v>0</v>
      </c>
      <c r="L35" s="62" t="b">
        <f t="shared" si="6"/>
        <v>0</v>
      </c>
      <c r="M35" s="60" t="str">
        <f>IFERROR(__xludf.DUMMYFUNCTION("if(regexmatch(B35,""e(.*)$""),regexextract(B35,""e(.*)$""),"""")"),"-10")</f>
        <v>-10</v>
      </c>
    </row>
    <row r="36">
      <c r="A36" s="17" t="s">
        <v>1517</v>
      </c>
      <c r="B36" s="17" t="s">
        <v>3900</v>
      </c>
      <c r="C36" s="17" t="s">
        <v>3901</v>
      </c>
      <c r="D36" s="17" t="s">
        <v>964</v>
      </c>
      <c r="E36" s="60" t="str">
        <f>VLOOKUP($A36,nist_names_ids!A:B,2,false)</f>
        <v>aumdm</v>
      </c>
      <c r="F36" s="61">
        <f>countif(Constants!A:A,E36)</f>
        <v>1</v>
      </c>
      <c r="G36" s="62" t="str">
        <f t="shared" si="1"/>
        <v>1.854801936e-23</v>
      </c>
      <c r="H36" s="62">
        <f t="shared" si="2"/>
        <v>0</v>
      </c>
      <c r="I36" s="62" t="str">
        <f t="shared" si="3"/>
        <v>0.000000041e-23</v>
      </c>
      <c r="J36" s="62">
        <f t="shared" si="4"/>
        <v>0</v>
      </c>
      <c r="K36" s="62" t="b">
        <f t="shared" si="5"/>
        <v>0</v>
      </c>
      <c r="L36" s="62" t="b">
        <f t="shared" si="6"/>
        <v>0</v>
      </c>
      <c r="M36" s="60" t="str">
        <f>IFERROR(__xludf.DUMMYFUNCTION("if(regexmatch(B36,""e(.*)$""),regexextract(B36,""e(.*)$""),"""")"),"-23")</f>
        <v>-23</v>
      </c>
    </row>
    <row r="37">
      <c r="A37" s="17" t="s">
        <v>979</v>
      </c>
      <c r="B37" s="17" t="s">
        <v>3907</v>
      </c>
      <c r="C37" s="17" t="s">
        <v>3908</v>
      </c>
      <c r="D37" s="17" t="s">
        <v>535</v>
      </c>
      <c r="E37" s="60" t="str">
        <f>VLOOKUP($A37,nist_names_ids!A:B,2,false)</f>
        <v>aumfd</v>
      </c>
      <c r="F37" s="61">
        <f>countif(Constants!A:A,E37)</f>
        <v>1</v>
      </c>
      <c r="G37" s="62" t="str">
        <f t="shared" si="1"/>
        <v>2.350517464e5</v>
      </c>
      <c r="H37" s="62">
        <f t="shared" si="2"/>
        <v>235051.7464</v>
      </c>
      <c r="I37" s="62" t="str">
        <f t="shared" si="3"/>
        <v>0.000000052e5</v>
      </c>
      <c r="J37" s="62">
        <f t="shared" si="4"/>
        <v>0.0052</v>
      </c>
      <c r="K37" s="62" t="b">
        <f t="shared" si="5"/>
        <v>0</v>
      </c>
      <c r="L37" s="62" t="b">
        <f t="shared" si="6"/>
        <v>0</v>
      </c>
      <c r="M37" s="60" t="str">
        <f>IFERROR(__xludf.DUMMYFUNCTION("if(regexmatch(B37,""e(.*)$""),regexextract(B37,""e(.*)$""),"""")"),"5")</f>
        <v>5</v>
      </c>
    </row>
    <row r="38">
      <c r="A38" s="17" t="s">
        <v>997</v>
      </c>
      <c r="B38" s="17" t="s">
        <v>3909</v>
      </c>
      <c r="C38" s="17" t="s">
        <v>3910</v>
      </c>
      <c r="D38" s="17" t="s">
        <v>999</v>
      </c>
      <c r="E38" s="60" t="str">
        <f>VLOOKUP($A38,nist_names_ids!A:B,2,false)</f>
        <v>aumag</v>
      </c>
      <c r="F38" s="61">
        <f>countif(Constants!A:A,E38)</f>
        <v>1</v>
      </c>
      <c r="G38" s="62" t="str">
        <f t="shared" si="1"/>
        <v>7.891036607e-29</v>
      </c>
      <c r="H38" s="62">
        <f t="shared" si="2"/>
        <v>0</v>
      </c>
      <c r="I38" s="62" t="str">
        <f t="shared" si="3"/>
        <v>0.000000013e-29</v>
      </c>
      <c r="J38" s="62">
        <f t="shared" si="4"/>
        <v>0</v>
      </c>
      <c r="K38" s="62" t="b">
        <f t="shared" si="5"/>
        <v>0</v>
      </c>
      <c r="L38" s="62" t="b">
        <f t="shared" si="6"/>
        <v>0</v>
      </c>
      <c r="M38" s="60" t="str">
        <f>IFERROR(__xludf.DUMMYFUNCTION("if(regexmatch(B38,""e(.*)$""),regexextract(B38,""e(.*)$""),"""")"),"-29")</f>
        <v>-29</v>
      </c>
    </row>
    <row r="39">
      <c r="A39" s="17" t="s">
        <v>1015</v>
      </c>
      <c r="B39" s="17" t="s">
        <v>3912</v>
      </c>
      <c r="C39" s="17" t="s">
        <v>3913</v>
      </c>
      <c r="D39" s="17" t="s">
        <v>98</v>
      </c>
      <c r="E39" s="60" t="str">
        <f>VLOOKUP($A39,nist_names_ids!A:B,2,false)</f>
        <v>ttme</v>
      </c>
      <c r="F39" s="61">
        <f>countif(Constants!A:A,E39)</f>
        <v>1</v>
      </c>
      <c r="G39" s="62" t="str">
        <f t="shared" si="1"/>
        <v>9.10938291e-31</v>
      </c>
      <c r="H39" s="62">
        <f t="shared" si="2"/>
        <v>0</v>
      </c>
      <c r="I39" s="62" t="str">
        <f t="shared" si="3"/>
        <v>0.00000040e-31</v>
      </c>
      <c r="J39" s="62">
        <f t="shared" si="4"/>
        <v>0</v>
      </c>
      <c r="K39" s="62" t="b">
        <f t="shared" si="5"/>
        <v>0</v>
      </c>
      <c r="L39" s="62" t="b">
        <f t="shared" si="6"/>
        <v>0</v>
      </c>
      <c r="M39" s="60" t="str">
        <f>IFERROR(__xludf.DUMMYFUNCTION("if(regexmatch(B39,""e(.*)$""),regexextract(B39,""e(.*)$""),"""")"),"-31")</f>
        <v>-31</v>
      </c>
    </row>
    <row r="40">
      <c r="A40" s="17" t="s">
        <v>3209</v>
      </c>
      <c r="B40" s="17" t="s">
        <v>3917</v>
      </c>
      <c r="C40" s="17" t="s">
        <v>3918</v>
      </c>
      <c r="D40" s="17" t="s">
        <v>1058</v>
      </c>
      <c r="E40" s="60" t="str">
        <f>VLOOKUP($A40,nist_names_ids!A:B,2,false)</f>
        <v>aumom</v>
      </c>
      <c r="F40" s="61">
        <f>countif(Constants!A:A,E40)</f>
        <v>1</v>
      </c>
      <c r="G40" s="62" t="str">
        <f t="shared" si="1"/>
        <v>1.992851740e-24</v>
      </c>
      <c r="H40" s="62">
        <f t="shared" si="2"/>
        <v>0</v>
      </c>
      <c r="I40" s="62" t="str">
        <f t="shared" si="3"/>
        <v>0.000000088e-24</v>
      </c>
      <c r="J40" s="62">
        <f t="shared" si="4"/>
        <v>0</v>
      </c>
      <c r="K40" s="62" t="b">
        <f t="shared" si="5"/>
        <v>0</v>
      </c>
      <c r="L40" s="62" t="b">
        <f t="shared" si="6"/>
        <v>0</v>
      </c>
      <c r="M40" s="60" t="str">
        <f>IFERROR(__xludf.DUMMYFUNCTION("if(regexmatch(B40,""e(.*)$""),regexextract(B40,""e(.*)$""),"""")"),"-24")</f>
        <v>-24</v>
      </c>
    </row>
    <row r="41">
      <c r="A41" s="17" t="s">
        <v>1076</v>
      </c>
      <c r="B41" s="17" t="s">
        <v>3216</v>
      </c>
      <c r="C41" s="17" t="s">
        <v>1501</v>
      </c>
      <c r="D41" s="17" t="s">
        <v>1078</v>
      </c>
      <c r="E41" s="60" t="str">
        <f>VLOOKUP($A41,nist_names_ids!A:B,2,false)</f>
        <v>auperm</v>
      </c>
      <c r="F41" s="61">
        <f>countif(Constants!A:A,E41)</f>
        <v>1</v>
      </c>
      <c r="G41" s="62" t="str">
        <f t="shared" si="1"/>
        <v>1.112650056e-10</v>
      </c>
      <c r="H41" s="62">
        <f t="shared" si="2"/>
        <v>0.0000000001112650056</v>
      </c>
      <c r="I41" s="62" t="str">
        <f t="shared" si="3"/>
        <v>(exact)</v>
      </c>
      <c r="J41" s="62" t="str">
        <f t="shared" si="4"/>
        <v/>
      </c>
      <c r="K41" s="62" t="b">
        <f t="shared" si="5"/>
        <v>1</v>
      </c>
      <c r="L41" s="62" t="b">
        <f t="shared" si="6"/>
        <v>1</v>
      </c>
      <c r="M41" s="60" t="str">
        <f>IFERROR(__xludf.DUMMYFUNCTION("if(regexmatch(B41,""e(.*)$""),regexextract(B41,""e(.*)$""),"""")"),"-10")</f>
        <v>-10</v>
      </c>
    </row>
    <row r="42">
      <c r="A42" s="17" t="s">
        <v>1090</v>
      </c>
      <c r="B42" s="17" t="s">
        <v>3921</v>
      </c>
      <c r="C42" s="17" t="s">
        <v>3922</v>
      </c>
      <c r="D42" s="17" t="s">
        <v>520</v>
      </c>
      <c r="E42" s="60" t="str">
        <f>VLOOKUP($A42,nist_names_ids!A:B,2,false)</f>
        <v>aut</v>
      </c>
      <c r="F42" s="61">
        <f>countif(Constants!A:A,E42)</f>
        <v>1</v>
      </c>
      <c r="G42" s="62" t="str">
        <f t="shared" si="1"/>
        <v>2.418884326502e-17</v>
      </c>
      <c r="H42" s="62">
        <f t="shared" si="2"/>
        <v>0</v>
      </c>
      <c r="I42" s="62" t="str">
        <f t="shared" si="3"/>
        <v>0.000000000012e-17</v>
      </c>
      <c r="J42" s="62">
        <f t="shared" si="4"/>
        <v>0</v>
      </c>
      <c r="K42" s="62" t="b">
        <f t="shared" si="5"/>
        <v>0</v>
      </c>
      <c r="L42" s="62" t="b">
        <f t="shared" si="6"/>
        <v>0</v>
      </c>
      <c r="M42" s="60" t="str">
        <f>IFERROR(__xludf.DUMMYFUNCTION("if(regexmatch(B42,""e(.*)$""),regexextract(B42,""e(.*)$""),"""")"),"-17")</f>
        <v>-17</v>
      </c>
    </row>
    <row r="43">
      <c r="A43" s="17" t="s">
        <v>1107</v>
      </c>
      <c r="B43" s="17" t="s">
        <v>3926</v>
      </c>
      <c r="C43" s="17" t="s">
        <v>3927</v>
      </c>
      <c r="D43" s="17" t="s">
        <v>1109</v>
      </c>
      <c r="E43" s="60" t="str">
        <f>VLOOKUP($A43,nist_names_ids!A:B,2,false)</f>
        <v>auvel</v>
      </c>
      <c r="F43" s="61">
        <f>countif(Constants!A:A,E43)</f>
        <v>1</v>
      </c>
      <c r="G43" s="62" t="str">
        <f t="shared" si="1"/>
        <v>2.18769126379e6</v>
      </c>
      <c r="H43" s="62">
        <f t="shared" si="2"/>
        <v>2187691.264</v>
      </c>
      <c r="I43" s="62" t="str">
        <f t="shared" si="3"/>
        <v>0.00000000071e6</v>
      </c>
      <c r="J43" s="62">
        <f t="shared" si="4"/>
        <v>0.00071</v>
      </c>
      <c r="K43" s="62" t="b">
        <f t="shared" si="5"/>
        <v>0</v>
      </c>
      <c r="L43" s="62" t="b">
        <f t="shared" si="6"/>
        <v>0</v>
      </c>
      <c r="M43" s="60" t="str">
        <f>IFERROR(__xludf.DUMMYFUNCTION("if(regexmatch(B43,""e(.*)$""),regexextract(B43,""e(.*)$""),"""")"),"6")</f>
        <v>6</v>
      </c>
    </row>
    <row r="44">
      <c r="A44" s="17" t="s">
        <v>1125</v>
      </c>
      <c r="B44" s="17" t="s">
        <v>3930</v>
      </c>
      <c r="C44" s="17" t="s">
        <v>3931</v>
      </c>
      <c r="D44" s="17" t="s">
        <v>1127</v>
      </c>
      <c r="E44" s="60" t="str">
        <f>VLOOKUP($A44,nist_names_ids!A:B,2,false)</f>
        <v>na</v>
      </c>
      <c r="F44" s="61">
        <f>countif(Constants!A:A,E44)</f>
        <v>1</v>
      </c>
      <c r="G44" s="62" t="str">
        <f t="shared" si="1"/>
        <v>6.02214129e23</v>
      </c>
      <c r="H44" s="62">
        <f t="shared" si="2"/>
        <v>6.02214E+23</v>
      </c>
      <c r="I44" s="62" t="str">
        <f t="shared" si="3"/>
        <v>0.00000027e23</v>
      </c>
      <c r="J44" s="62">
        <f t="shared" si="4"/>
        <v>2.7E+16</v>
      </c>
      <c r="K44" s="62" t="b">
        <f t="shared" si="5"/>
        <v>0</v>
      </c>
      <c r="L44" s="62" t="b">
        <f t="shared" si="6"/>
        <v>0</v>
      </c>
      <c r="M44" s="60" t="str">
        <f>IFERROR(__xludf.DUMMYFUNCTION("if(regexmatch(B44,""e(.*)$""),regexextract(B44,""e(.*)$""),"""")"),"23")</f>
        <v>23</v>
      </c>
    </row>
    <row r="45">
      <c r="A45" s="17" t="s">
        <v>1146</v>
      </c>
      <c r="B45" s="17" t="s">
        <v>3934</v>
      </c>
      <c r="C45" s="17" t="s">
        <v>3936</v>
      </c>
      <c r="D45" s="17" t="s">
        <v>964</v>
      </c>
      <c r="E45" s="60" t="str">
        <f>VLOOKUP($A45,nist_names_ids!A:B,2,false)</f>
        <v>mub</v>
      </c>
      <c r="F45" s="61">
        <f>countif(Constants!A:A,E45)</f>
        <v>1</v>
      </c>
      <c r="G45" s="62" t="str">
        <f t="shared" si="1"/>
        <v>927.400968e-26</v>
      </c>
      <c r="H45" s="62">
        <f t="shared" si="2"/>
        <v>0</v>
      </c>
      <c r="I45" s="62" t="str">
        <f t="shared" si="3"/>
        <v>0.000020e-26</v>
      </c>
      <c r="J45" s="62">
        <f t="shared" si="4"/>
        <v>0</v>
      </c>
      <c r="K45" s="62" t="b">
        <f t="shared" si="5"/>
        <v>0</v>
      </c>
      <c r="L45" s="62" t="b">
        <f t="shared" si="6"/>
        <v>0</v>
      </c>
      <c r="M45" s="60" t="str">
        <f>IFERROR(__xludf.DUMMYFUNCTION("if(regexmatch(B45,""e(.*)$""),regexextract(B45,""e(.*)$""),"""")"),"-26")</f>
        <v>-26</v>
      </c>
    </row>
    <row r="46">
      <c r="A46" s="17" t="s">
        <v>1162</v>
      </c>
      <c r="B46" s="17" t="s">
        <v>3938</v>
      </c>
      <c r="C46" s="17" t="s">
        <v>3939</v>
      </c>
      <c r="D46" s="17" t="s">
        <v>1165</v>
      </c>
      <c r="E46" s="60" t="str">
        <f>VLOOKUP($A46,nist_names_ids!A:B,2,false)</f>
        <v>mubev</v>
      </c>
      <c r="F46" s="61">
        <f>countif(Constants!A:A,E46)</f>
        <v>1</v>
      </c>
      <c r="G46" s="62" t="str">
        <f t="shared" si="1"/>
        <v>5.7883818066e-5</v>
      </c>
      <c r="H46" s="62">
        <f t="shared" si="2"/>
        <v>0.00005788381807</v>
      </c>
      <c r="I46" s="62" t="str">
        <f t="shared" si="3"/>
        <v>0.0000000038e-5</v>
      </c>
      <c r="J46" s="62">
        <f t="shared" si="4"/>
        <v>0</v>
      </c>
      <c r="K46" s="62" t="b">
        <f t="shared" si="5"/>
        <v>0</v>
      </c>
      <c r="L46" s="62" t="b">
        <f t="shared" si="6"/>
        <v>0</v>
      </c>
      <c r="M46" s="60" t="str">
        <f>IFERROR(__xludf.DUMMYFUNCTION("if(regexmatch(B46,""e(.*)$""),regexextract(B46,""e(.*)$""),"""")"),"-5")</f>
        <v>-5</v>
      </c>
    </row>
    <row r="47">
      <c r="A47" s="17" t="s">
        <v>1184</v>
      </c>
      <c r="B47" s="17" t="s">
        <v>3941</v>
      </c>
      <c r="C47" s="17" t="s">
        <v>3942</v>
      </c>
      <c r="D47" s="17" t="s">
        <v>1186</v>
      </c>
      <c r="E47" s="60" t="str">
        <f>VLOOKUP($A47,nist_names_ids!A:B,2,false)</f>
        <v>mubshhz</v>
      </c>
      <c r="F47" s="61">
        <f>countif(Constants!A:A,E47)</f>
        <v>1</v>
      </c>
      <c r="G47" s="62" t="str">
        <f t="shared" si="1"/>
        <v>13.99624555e9</v>
      </c>
      <c r="H47" s="62">
        <f t="shared" si="2"/>
        <v>13996245550</v>
      </c>
      <c r="I47" s="62" t="str">
        <f t="shared" si="3"/>
        <v>0.00000031e9</v>
      </c>
      <c r="J47" s="62">
        <f t="shared" si="4"/>
        <v>310</v>
      </c>
      <c r="K47" s="62" t="b">
        <f t="shared" si="5"/>
        <v>0</v>
      </c>
      <c r="L47" s="62" t="b">
        <f t="shared" si="6"/>
        <v>0</v>
      </c>
      <c r="M47" s="60" t="str">
        <f>IFERROR(__xludf.DUMMYFUNCTION("if(regexmatch(B47,""e(.*)$""),regexextract(B47,""e(.*)$""),"""")"),"9")</f>
        <v>9</v>
      </c>
    </row>
    <row r="48">
      <c r="A48" s="17" t="s">
        <v>1657</v>
      </c>
      <c r="B48" s="17" t="s">
        <v>3946</v>
      </c>
      <c r="C48" s="17" t="s">
        <v>3947</v>
      </c>
      <c r="D48" s="17" t="s">
        <v>1205</v>
      </c>
      <c r="E48" s="60" t="str">
        <f>VLOOKUP($A48,nist_names_ids!A:B,2,false)</f>
        <v>mubshcminv</v>
      </c>
      <c r="F48" s="61">
        <f>countif(Constants!A:A,E48)</f>
        <v>1</v>
      </c>
      <c r="G48" s="62" t="str">
        <f t="shared" si="1"/>
        <v>46.6864498</v>
      </c>
      <c r="H48" s="62">
        <f t="shared" si="2"/>
        <v>46.6864498</v>
      </c>
      <c r="I48" s="62" t="str">
        <f t="shared" si="3"/>
        <v>0.0000010</v>
      </c>
      <c r="J48" s="62">
        <f t="shared" si="4"/>
        <v>0.000001</v>
      </c>
      <c r="K48" s="62" t="b">
        <f t="shared" si="5"/>
        <v>0</v>
      </c>
      <c r="L48" s="62" t="b">
        <f t="shared" si="6"/>
        <v>0</v>
      </c>
      <c r="M48" s="60" t="str">
        <f>IFERROR(__xludf.DUMMYFUNCTION("if(regexmatch(B48,""e(.*)$""),regexextract(B48,""e(.*)$""),"""")"),"")</f>
        <v/>
      </c>
    </row>
    <row r="49">
      <c r="A49" s="17" t="s">
        <v>1224</v>
      </c>
      <c r="B49" s="17" t="s">
        <v>3950</v>
      </c>
      <c r="C49" s="17" t="s">
        <v>3951</v>
      </c>
      <c r="D49" s="17" t="s">
        <v>1226</v>
      </c>
      <c r="E49" s="60" t="str">
        <f>VLOOKUP($A49,nist_names_ids!A:B,2,false)</f>
        <v>mubskk</v>
      </c>
      <c r="F49" s="61">
        <f>countif(Constants!A:A,E49)</f>
        <v>1</v>
      </c>
      <c r="G49" s="62" t="str">
        <f t="shared" si="1"/>
        <v>0.67171388</v>
      </c>
      <c r="H49" s="62">
        <f t="shared" si="2"/>
        <v>0.67171388</v>
      </c>
      <c r="I49" s="62" t="str">
        <f t="shared" si="3"/>
        <v>0.00000061</v>
      </c>
      <c r="J49" s="62">
        <f t="shared" si="4"/>
        <v>0.00000061</v>
      </c>
      <c r="K49" s="62" t="b">
        <f t="shared" si="5"/>
        <v>0</v>
      </c>
      <c r="L49" s="62" t="b">
        <f t="shared" si="6"/>
        <v>0</v>
      </c>
      <c r="M49" s="60" t="str">
        <f>IFERROR(__xludf.DUMMYFUNCTION("if(regexmatch(B49,""e(.*)$""),regexextract(B49,""e(.*)$""),"""")"),"")</f>
        <v/>
      </c>
    </row>
    <row r="50">
      <c r="A50" s="17" t="s">
        <v>1240</v>
      </c>
      <c r="B50" s="17" t="s">
        <v>3899</v>
      </c>
      <c r="C50" s="17" t="s">
        <v>1564</v>
      </c>
      <c r="D50" s="17" t="s">
        <v>381</v>
      </c>
      <c r="E50" s="60" t="str">
        <f>VLOOKUP($A50,nist_names_ids!A:B,2,false)</f>
        <v>bohrrada0</v>
      </c>
      <c r="F50" s="61">
        <f>countif(Constants!A:A,E50)</f>
        <v>1</v>
      </c>
      <c r="G50" s="62" t="str">
        <f t="shared" si="1"/>
        <v>0.52917721092e-10</v>
      </c>
      <c r="H50" s="62">
        <f t="shared" si="2"/>
        <v>0</v>
      </c>
      <c r="I50" s="62" t="str">
        <f t="shared" si="3"/>
        <v>0.00000000017e-10</v>
      </c>
      <c r="J50" s="62">
        <f t="shared" si="4"/>
        <v>0</v>
      </c>
      <c r="K50" s="62" t="b">
        <f t="shared" si="5"/>
        <v>0</v>
      </c>
      <c r="L50" s="62" t="b">
        <f t="shared" si="6"/>
        <v>0</v>
      </c>
      <c r="M50" s="60" t="str">
        <f>IFERROR(__xludf.DUMMYFUNCTION("if(regexmatch(B50,""e(.*)$""),regexextract(B50,""e(.*)$""),"""")"),"-10")</f>
        <v>-10</v>
      </c>
    </row>
    <row r="51">
      <c r="A51" s="17" t="s">
        <v>1258</v>
      </c>
      <c r="B51" s="17" t="s">
        <v>3956</v>
      </c>
      <c r="C51" s="17" t="s">
        <v>3957</v>
      </c>
      <c r="D51" s="17" t="s">
        <v>1260</v>
      </c>
      <c r="E51" s="60" t="str">
        <f>VLOOKUP($A51,nist_names_ids!A:B,2,false)</f>
        <v>k</v>
      </c>
      <c r="F51" s="61">
        <f>countif(Constants!A:A,E51)</f>
        <v>1</v>
      </c>
      <c r="G51" s="62" t="str">
        <f t="shared" si="1"/>
        <v>1.3806488e-23</v>
      </c>
      <c r="H51" s="62">
        <f t="shared" si="2"/>
        <v>0</v>
      </c>
      <c r="I51" s="62" t="str">
        <f t="shared" si="3"/>
        <v>0.0000013e-23</v>
      </c>
      <c r="J51" s="62">
        <f t="shared" si="4"/>
        <v>0</v>
      </c>
      <c r="K51" s="62" t="b">
        <f t="shared" si="5"/>
        <v>0</v>
      </c>
      <c r="L51" s="62" t="b">
        <f t="shared" si="6"/>
        <v>0</v>
      </c>
      <c r="M51" s="60" t="str">
        <f>IFERROR(__xludf.DUMMYFUNCTION("if(regexmatch(B51,""e(.*)$""),regexextract(B51,""e(.*)$""),"""")"),"-23")</f>
        <v>-23</v>
      </c>
    </row>
    <row r="52">
      <c r="A52" s="17" t="s">
        <v>1279</v>
      </c>
      <c r="B52" s="17" t="s">
        <v>3960</v>
      </c>
      <c r="C52" s="17" t="s">
        <v>3961</v>
      </c>
      <c r="D52" s="17" t="s">
        <v>1283</v>
      </c>
      <c r="E52" s="60" t="str">
        <f>VLOOKUP($A52,nist_names_ids!A:B,2,false)</f>
        <v>tkev</v>
      </c>
      <c r="F52" s="61">
        <f>countif(Constants!A:A,E52)</f>
        <v>1</v>
      </c>
      <c r="G52" s="62" t="str">
        <f t="shared" si="1"/>
        <v>8.6173324e-5</v>
      </c>
      <c r="H52" s="62">
        <f t="shared" si="2"/>
        <v>0.000086173324</v>
      </c>
      <c r="I52" s="62" t="str">
        <f t="shared" si="3"/>
        <v>0.0000078e-5</v>
      </c>
      <c r="J52" s="62">
        <f t="shared" si="4"/>
        <v>0</v>
      </c>
      <c r="K52" s="62" t="b">
        <f t="shared" si="5"/>
        <v>0</v>
      </c>
      <c r="L52" s="62" t="b">
        <f t="shared" si="6"/>
        <v>0</v>
      </c>
      <c r="M52" s="60" t="str">
        <f>IFERROR(__xludf.DUMMYFUNCTION("if(regexmatch(B52,""e(.*)$""),regexextract(B52,""e(.*)$""),"""")"),"-5")</f>
        <v>-5</v>
      </c>
    </row>
    <row r="53">
      <c r="A53" s="17" t="s">
        <v>1301</v>
      </c>
      <c r="B53" s="17" t="s">
        <v>3963</v>
      </c>
      <c r="C53" s="17" t="s">
        <v>3964</v>
      </c>
      <c r="D53" s="17" t="s">
        <v>1303</v>
      </c>
      <c r="E53" s="60" t="str">
        <f>VLOOKUP($A53,nist_names_ids!A:B,2,false)</f>
        <v>kshhz</v>
      </c>
      <c r="F53" s="61">
        <f>countif(Constants!A:A,E53)</f>
        <v>1</v>
      </c>
      <c r="G53" s="62" t="str">
        <f t="shared" si="1"/>
        <v>2.0836618e10</v>
      </c>
      <c r="H53" s="62">
        <f t="shared" si="2"/>
        <v>20836618000</v>
      </c>
      <c r="I53" s="62" t="str">
        <f t="shared" si="3"/>
        <v>0.0000019e10</v>
      </c>
      <c r="J53" s="62">
        <f t="shared" si="4"/>
        <v>19000</v>
      </c>
      <c r="K53" s="62" t="b">
        <f t="shared" si="5"/>
        <v>0</v>
      </c>
      <c r="L53" s="62" t="b">
        <f t="shared" si="6"/>
        <v>0</v>
      </c>
      <c r="M53" s="60" t="str">
        <f>IFERROR(__xludf.DUMMYFUNCTION("if(regexmatch(B53,""e(.*)$""),regexextract(B53,""e(.*)$""),"""")"),"10")</f>
        <v>10</v>
      </c>
    </row>
    <row r="54">
      <c r="A54" s="17" t="s">
        <v>1691</v>
      </c>
      <c r="B54" s="17" t="s">
        <v>3967</v>
      </c>
      <c r="C54" s="17" t="s">
        <v>3968</v>
      </c>
      <c r="D54" s="17" t="s">
        <v>1321</v>
      </c>
      <c r="E54" s="60" t="str">
        <f>VLOOKUP($A54,nist_names_ids!A:B,2,false)</f>
        <v>kshcminv</v>
      </c>
      <c r="F54" s="61">
        <f>countif(Constants!A:A,E54)</f>
        <v>1</v>
      </c>
      <c r="G54" s="62" t="str">
        <f t="shared" si="1"/>
        <v>69.503476</v>
      </c>
      <c r="H54" s="62">
        <f t="shared" si="2"/>
        <v>69.503476</v>
      </c>
      <c r="I54" s="62" t="str">
        <f t="shared" si="3"/>
        <v>0.000063</v>
      </c>
      <c r="J54" s="62">
        <f t="shared" si="4"/>
        <v>0.000063</v>
      </c>
      <c r="K54" s="62" t="b">
        <f t="shared" si="5"/>
        <v>0</v>
      </c>
      <c r="L54" s="62" t="b">
        <f t="shared" si="6"/>
        <v>0</v>
      </c>
      <c r="M54" s="60" t="str">
        <f>IFERROR(__xludf.DUMMYFUNCTION("if(regexmatch(B54,""e(.*)$""),regexextract(B54,""e(.*)$""),"""")"),"")</f>
        <v/>
      </c>
    </row>
    <row r="55">
      <c r="A55" s="17" t="s">
        <v>1335</v>
      </c>
      <c r="B55" s="17" t="s">
        <v>3270</v>
      </c>
      <c r="C55" s="17" t="s">
        <v>1501</v>
      </c>
      <c r="D55" s="17" t="s">
        <v>500</v>
      </c>
      <c r="E55" s="60" t="str">
        <f>VLOOKUP($A55,nist_names_ids!A:B,2,false)</f>
        <v>z0</v>
      </c>
      <c r="F55" s="61">
        <f>countif(Constants!A:A,E55)</f>
        <v>1</v>
      </c>
      <c r="G55" s="62" t="str">
        <f t="shared" si="1"/>
        <v>376.730313461</v>
      </c>
      <c r="H55" s="62">
        <f t="shared" si="2"/>
        <v>376.7303135</v>
      </c>
      <c r="I55" s="62" t="str">
        <f t="shared" si="3"/>
        <v>(exact)</v>
      </c>
      <c r="J55" s="62" t="str">
        <f t="shared" si="4"/>
        <v/>
      </c>
      <c r="K55" s="62" t="b">
        <f t="shared" si="5"/>
        <v>1</v>
      </c>
      <c r="L55" s="62" t="b">
        <f t="shared" si="6"/>
        <v>1</v>
      </c>
      <c r="M55" s="60" t="str">
        <f>IFERROR(__xludf.DUMMYFUNCTION("if(regexmatch(B55,""e(.*)$""),regexextract(B55,""e(.*)$""),"""")"),"")</f>
        <v/>
      </c>
    </row>
    <row r="56">
      <c r="A56" s="17" t="s">
        <v>1351</v>
      </c>
      <c r="B56" s="17" t="s">
        <v>3973</v>
      </c>
      <c r="C56" s="17" t="s">
        <v>3974</v>
      </c>
      <c r="D56" s="17" t="s">
        <v>381</v>
      </c>
      <c r="E56" s="60" t="str">
        <f>VLOOKUP($A56,nist_names_ids!A:B,2,false)</f>
        <v>re</v>
      </c>
      <c r="F56" s="61">
        <f>countif(Constants!A:A,E56)</f>
        <v>1</v>
      </c>
      <c r="G56" s="62" t="str">
        <f t="shared" si="1"/>
        <v>2.8179403267e-15</v>
      </c>
      <c r="H56" s="62">
        <f t="shared" si="2"/>
        <v>0</v>
      </c>
      <c r="I56" s="62" t="str">
        <f t="shared" si="3"/>
        <v>0.0000000027e-15</v>
      </c>
      <c r="J56" s="62">
        <f t="shared" si="4"/>
        <v>0</v>
      </c>
      <c r="K56" s="62" t="b">
        <f t="shared" si="5"/>
        <v>0</v>
      </c>
      <c r="L56" s="62" t="b">
        <f t="shared" si="6"/>
        <v>0</v>
      </c>
      <c r="M56" s="60" t="str">
        <f>IFERROR(__xludf.DUMMYFUNCTION("if(regexmatch(B56,""e(.*)$""),regexextract(B56,""e(.*)$""),"""")"),"-15")</f>
        <v>-15</v>
      </c>
    </row>
    <row r="57">
      <c r="A57" s="17" t="s">
        <v>1371</v>
      </c>
      <c r="B57" s="17" t="s">
        <v>3978</v>
      </c>
      <c r="C57" s="17" t="s">
        <v>3979</v>
      </c>
      <c r="D57" s="17" t="s">
        <v>381</v>
      </c>
      <c r="E57" s="60" t="str">
        <f>VLOOKUP($A57,nist_names_ids!A:B,2,false)</f>
        <v>ecomwl</v>
      </c>
      <c r="F57" s="61">
        <f>countif(Constants!A:A,E57)</f>
        <v>1</v>
      </c>
      <c r="G57" s="62" t="str">
        <f t="shared" si="1"/>
        <v>2.4263102389e-12</v>
      </c>
      <c r="H57" s="62">
        <f t="shared" si="2"/>
        <v>0</v>
      </c>
      <c r="I57" s="62" t="str">
        <f t="shared" si="3"/>
        <v>0.0000000016e-12</v>
      </c>
      <c r="J57" s="62">
        <f t="shared" si="4"/>
        <v>0</v>
      </c>
      <c r="K57" s="62" t="b">
        <f t="shared" si="5"/>
        <v>0</v>
      </c>
      <c r="L57" s="62" t="b">
        <f t="shared" si="6"/>
        <v>0</v>
      </c>
      <c r="M57" s="60" t="str">
        <f>IFERROR(__xludf.DUMMYFUNCTION("if(regexmatch(B57,""e(.*)$""),regexextract(B57,""e(.*)$""),"""")"),"-12")</f>
        <v>-12</v>
      </c>
    </row>
    <row r="58">
      <c r="A58" s="17" t="s">
        <v>1711</v>
      </c>
      <c r="B58" s="17" t="s">
        <v>3984</v>
      </c>
      <c r="C58" s="17" t="s">
        <v>3985</v>
      </c>
      <c r="D58" s="17" t="s">
        <v>381</v>
      </c>
      <c r="E58" s="60" t="str">
        <f>VLOOKUP($A58,nist_names_ids!A:B,2,false)</f>
        <v>ecomwlbar</v>
      </c>
      <c r="F58" s="61">
        <f>countif(Constants!A:A,E58)</f>
        <v>1</v>
      </c>
      <c r="G58" s="62" t="str">
        <f t="shared" si="1"/>
        <v>386.15926800e-15</v>
      </c>
      <c r="H58" s="62">
        <f t="shared" si="2"/>
        <v>0</v>
      </c>
      <c r="I58" s="62" t="str">
        <f t="shared" si="3"/>
        <v>0.00000025e-15</v>
      </c>
      <c r="J58" s="62">
        <f t="shared" si="4"/>
        <v>0</v>
      </c>
      <c r="K58" s="62" t="b">
        <f t="shared" si="5"/>
        <v>0</v>
      </c>
      <c r="L58" s="62" t="b">
        <f t="shared" si="6"/>
        <v>0</v>
      </c>
      <c r="M58" s="60" t="str">
        <f>IFERROR(__xludf.DUMMYFUNCTION("if(regexmatch(B58,""e(.*)$""),regexextract(B58,""e(.*)$""),"""")"),"-15")</f>
        <v>-15</v>
      </c>
    </row>
    <row r="59">
      <c r="A59" s="17" t="s">
        <v>1388</v>
      </c>
      <c r="B59" s="17" t="s">
        <v>3989</v>
      </c>
      <c r="C59" s="17" t="s">
        <v>3990</v>
      </c>
      <c r="D59" s="17" t="s">
        <v>526</v>
      </c>
      <c r="E59" s="60" t="str">
        <f>VLOOKUP($A59,nist_names_ids!A:B,2,false)</f>
        <v>conqu2e2sh</v>
      </c>
      <c r="F59" s="61">
        <f>countif(Constants!A:A,E59)</f>
        <v>1</v>
      </c>
      <c r="G59" s="62" t="str">
        <f t="shared" si="1"/>
        <v>7.7480917346e-5</v>
      </c>
      <c r="H59" s="62">
        <f t="shared" si="2"/>
        <v>0.00007748091735</v>
      </c>
      <c r="I59" s="62" t="str">
        <f t="shared" si="3"/>
        <v>0.0000000025e-5</v>
      </c>
      <c r="J59" s="62">
        <f t="shared" si="4"/>
        <v>0</v>
      </c>
      <c r="K59" s="62" t="b">
        <f t="shared" si="5"/>
        <v>0</v>
      </c>
      <c r="L59" s="62" t="b">
        <f t="shared" si="6"/>
        <v>0</v>
      </c>
      <c r="M59" s="60" t="str">
        <f>IFERROR(__xludf.DUMMYFUNCTION("if(regexmatch(B59,""e(.*)$""),regexextract(B59,""e(.*)$""),"""")"),"-5")</f>
        <v>-5</v>
      </c>
    </row>
    <row r="60">
      <c r="A60" s="17" t="s">
        <v>1445</v>
      </c>
      <c r="B60" s="17" t="s">
        <v>2635</v>
      </c>
      <c r="C60" s="17" t="s">
        <v>1501</v>
      </c>
      <c r="D60" s="17" t="s">
        <v>1447</v>
      </c>
      <c r="E60" s="60" t="str">
        <f>VLOOKUP($A60,nist_names_ids!A:B,2,false)</f>
        <v>kj90</v>
      </c>
      <c r="F60" s="61">
        <f>countif(Constants!A:A,E60)</f>
        <v>1</v>
      </c>
      <c r="G60" s="62" t="str">
        <f t="shared" si="1"/>
        <v>483597.9e9</v>
      </c>
      <c r="H60" s="62">
        <f t="shared" si="2"/>
        <v>483597900000000</v>
      </c>
      <c r="I60" s="62" t="str">
        <f t="shared" si="3"/>
        <v>(exact)</v>
      </c>
      <c r="J60" s="62" t="str">
        <f t="shared" si="4"/>
        <v/>
      </c>
      <c r="K60" s="62" t="b">
        <f t="shared" si="5"/>
        <v>1</v>
      </c>
      <c r="L60" s="62" t="b">
        <f t="shared" si="6"/>
        <v>0</v>
      </c>
      <c r="M60" s="60" t="str">
        <f>IFERROR(__xludf.DUMMYFUNCTION("if(regexmatch(B60,""e(.*)$""),regexextract(B60,""e(.*)$""),"""")"),"9")</f>
        <v>9</v>
      </c>
    </row>
    <row r="61">
      <c r="A61" s="17" t="s">
        <v>1722</v>
      </c>
      <c r="B61" s="17" t="s">
        <v>2647</v>
      </c>
      <c r="C61" s="17" t="s">
        <v>1501</v>
      </c>
      <c r="D61" s="17" t="s">
        <v>500</v>
      </c>
      <c r="E61" s="60" t="str">
        <f>VLOOKUP($A61,nist_names_ids!A:B,2,false)</f>
        <v>rk90</v>
      </c>
      <c r="F61" s="61">
        <f>countif(Constants!A:A,E61)</f>
        <v>1</v>
      </c>
      <c r="G61" s="62" t="str">
        <f t="shared" si="1"/>
        <v>25812.807</v>
      </c>
      <c r="H61" s="62">
        <f t="shared" si="2"/>
        <v>25812.807</v>
      </c>
      <c r="I61" s="62" t="str">
        <f t="shared" si="3"/>
        <v>(exact)</v>
      </c>
      <c r="J61" s="62" t="str">
        <f t="shared" si="4"/>
        <v/>
      </c>
      <c r="K61" s="62" t="b">
        <f t="shared" si="5"/>
        <v>1</v>
      </c>
      <c r="L61" s="62" t="b">
        <f t="shared" si="6"/>
        <v>0</v>
      </c>
      <c r="M61" s="60" t="str">
        <f>IFERROR(__xludf.DUMMYFUNCTION("if(regexmatch(B61,""e(.*)$""),regexextract(B61,""e(.*)$""),"""")"),"")</f>
        <v/>
      </c>
    </row>
    <row r="62">
      <c r="A62" s="17" t="s">
        <v>1824</v>
      </c>
      <c r="B62" s="17" t="s">
        <v>2657</v>
      </c>
      <c r="C62" s="17" t="s">
        <v>1727</v>
      </c>
      <c r="D62" s="17" t="s">
        <v>381</v>
      </c>
      <c r="E62" s="60" t="str">
        <f>VLOOKUP($A62,nist_names_ids!A:B,2,false)</f>
        <v>xucukalph1</v>
      </c>
      <c r="F62" s="61">
        <f>countif(Constants!A:A,E62)</f>
        <v>1</v>
      </c>
      <c r="G62" s="62" t="str">
        <f t="shared" si="1"/>
        <v>1.00207697e-13</v>
      </c>
      <c r="H62" s="62">
        <f t="shared" si="2"/>
        <v>0</v>
      </c>
      <c r="I62" s="62" t="str">
        <f t="shared" si="3"/>
        <v>0.00000028e-13</v>
      </c>
      <c r="J62" s="62">
        <f t="shared" si="4"/>
        <v>0</v>
      </c>
      <c r="K62" s="62" t="b">
        <f t="shared" si="5"/>
        <v>0</v>
      </c>
      <c r="L62" s="62" t="b">
        <f t="shared" si="6"/>
        <v>0</v>
      </c>
      <c r="M62" s="60" t="str">
        <f>IFERROR(__xludf.DUMMYFUNCTION("if(regexmatch(B62,""e(.*)$""),regexextract(B62,""e(.*)$""),"""")"),"-13")</f>
        <v>-13</v>
      </c>
    </row>
    <row r="63">
      <c r="A63" s="17" t="s">
        <v>1734</v>
      </c>
      <c r="B63" s="17" t="s">
        <v>4002</v>
      </c>
      <c r="C63" s="17" t="s">
        <v>4004</v>
      </c>
      <c r="E63" s="60" t="str">
        <f>VLOOKUP($A63,nist_names_ids!A:B,2,false)</f>
        <v>mudsmuem</v>
      </c>
      <c r="F63" s="61">
        <f>countif(Constants!A:A,E63)</f>
        <v>1</v>
      </c>
      <c r="G63" s="62" t="str">
        <f t="shared" si="1"/>
        <v>-4.664345537e-4</v>
      </c>
      <c r="H63" s="62">
        <f t="shared" si="2"/>
        <v>-0.0004664345537</v>
      </c>
      <c r="I63" s="62" t="str">
        <f t="shared" si="3"/>
        <v>0.000000039e-4</v>
      </c>
      <c r="J63" s="62">
        <f t="shared" si="4"/>
        <v>0</v>
      </c>
      <c r="K63" s="62" t="b">
        <f t="shared" si="5"/>
        <v>0</v>
      </c>
      <c r="L63" s="62" t="b">
        <f t="shared" si="6"/>
        <v>0</v>
      </c>
      <c r="M63" s="60" t="str">
        <f>IFERROR(__xludf.DUMMYFUNCTION("if(regexmatch(B63,""e(.*)$""),regexextract(B63,""e(.*)$""),"""")"),"-4")</f>
        <v>-4</v>
      </c>
    </row>
    <row r="64">
      <c r="A64" s="17" t="s">
        <v>1738</v>
      </c>
      <c r="B64" s="17" t="s">
        <v>4007</v>
      </c>
      <c r="C64" s="17" t="s">
        <v>4008</v>
      </c>
      <c r="E64" s="60" t="str">
        <f>VLOOKUP($A64,nist_names_ids!A:B,2,false)</f>
        <v>mdsme</v>
      </c>
      <c r="F64" s="61">
        <f>countif(Constants!A:A,E64)</f>
        <v>1</v>
      </c>
      <c r="G64" s="62" t="str">
        <f t="shared" si="1"/>
        <v>3670.4829652</v>
      </c>
      <c r="H64" s="62">
        <f t="shared" si="2"/>
        <v>3670.482965</v>
      </c>
      <c r="I64" s="62" t="str">
        <f t="shared" si="3"/>
        <v>0.0000015</v>
      </c>
      <c r="J64" s="62">
        <f t="shared" si="4"/>
        <v>0.0000015</v>
      </c>
      <c r="K64" s="62" t="b">
        <f t="shared" si="5"/>
        <v>0</v>
      </c>
      <c r="L64" s="62" t="b">
        <f t="shared" si="6"/>
        <v>0</v>
      </c>
      <c r="M64" s="60" t="str">
        <f>IFERROR(__xludf.DUMMYFUNCTION("if(regexmatch(B64,""e(.*)$""),regexextract(B64,""e(.*)$""),"""")"),"")</f>
        <v/>
      </c>
    </row>
    <row r="65">
      <c r="A65" s="17" t="s">
        <v>1551</v>
      </c>
      <c r="B65" s="17" t="s">
        <v>4011</v>
      </c>
      <c r="C65" s="17" t="s">
        <v>4012</v>
      </c>
      <c r="E65" s="60" t="str">
        <f>VLOOKUP($A65,nist_names_ids!A:B,2,false)</f>
        <v>gdn</v>
      </c>
      <c r="F65" s="61">
        <f>countif(Constants!A:A,E65)</f>
        <v>1</v>
      </c>
      <c r="G65" s="62" t="str">
        <f t="shared" si="1"/>
        <v>0.8574382308</v>
      </c>
      <c r="H65" s="62">
        <f t="shared" si="2"/>
        <v>0.8574382308</v>
      </c>
      <c r="I65" s="62" t="str">
        <f t="shared" si="3"/>
        <v>0.0000000072</v>
      </c>
      <c r="J65" s="62">
        <f t="shared" si="4"/>
        <v>0.0000000072</v>
      </c>
      <c r="K65" s="62" t="b">
        <f t="shared" si="5"/>
        <v>0</v>
      </c>
      <c r="L65" s="62" t="b">
        <f t="shared" si="6"/>
        <v>0</v>
      </c>
      <c r="M65" s="60" t="str">
        <f>IFERROR(__xludf.DUMMYFUNCTION("if(regexmatch(B65,""e(.*)$""),regexextract(B65,""e(.*)$""),"""")"),"")</f>
        <v/>
      </c>
    </row>
    <row r="66">
      <c r="A66" s="17" t="s">
        <v>1745</v>
      </c>
      <c r="B66" s="17" t="s">
        <v>4015</v>
      </c>
      <c r="C66" s="17" t="s">
        <v>4016</v>
      </c>
      <c r="D66" s="17" t="s">
        <v>964</v>
      </c>
      <c r="E66" s="60" t="str">
        <f>VLOOKUP($A66,nist_names_ids!A:B,2,false)</f>
        <v>mud</v>
      </c>
      <c r="F66" s="61">
        <f>countif(Constants!A:A,E66)</f>
        <v>1</v>
      </c>
      <c r="G66" s="62" t="str">
        <f t="shared" si="1"/>
        <v>0.433073489e-26</v>
      </c>
      <c r="H66" s="62">
        <f t="shared" si="2"/>
        <v>0</v>
      </c>
      <c r="I66" s="62" t="str">
        <f t="shared" si="3"/>
        <v>0.000000010e-26</v>
      </c>
      <c r="J66" s="62">
        <f t="shared" si="4"/>
        <v>0</v>
      </c>
      <c r="K66" s="62" t="b">
        <f t="shared" si="5"/>
        <v>0</v>
      </c>
      <c r="L66" s="62" t="b">
        <f t="shared" si="6"/>
        <v>0</v>
      </c>
      <c r="M66" s="60" t="str">
        <f>IFERROR(__xludf.DUMMYFUNCTION("if(regexmatch(B66,""e(.*)$""),regexextract(B66,""e(.*)$""),"""")"),"-26")</f>
        <v>-26</v>
      </c>
    </row>
    <row r="67">
      <c r="A67" s="17" t="s">
        <v>1749</v>
      </c>
      <c r="B67" s="17" t="s">
        <v>4020</v>
      </c>
      <c r="C67" s="17" t="s">
        <v>4022</v>
      </c>
      <c r="E67" s="60" t="str">
        <f>VLOOKUP($A67,nist_names_ids!A:B,2,false)</f>
        <v>mudsmub</v>
      </c>
      <c r="F67" s="61">
        <f>countif(Constants!A:A,E67)</f>
        <v>1</v>
      </c>
      <c r="G67" s="62" t="str">
        <f t="shared" si="1"/>
        <v>0.4669754556e-3</v>
      </c>
      <c r="H67" s="62">
        <f t="shared" si="2"/>
        <v>0.0004669754556</v>
      </c>
      <c r="I67" s="62" t="str">
        <f t="shared" si="3"/>
        <v>0.0000000039e-3</v>
      </c>
      <c r="J67" s="62">
        <f t="shared" si="4"/>
        <v>0</v>
      </c>
      <c r="K67" s="62" t="b">
        <f t="shared" si="5"/>
        <v>0</v>
      </c>
      <c r="L67" s="62" t="b">
        <f t="shared" si="6"/>
        <v>0</v>
      </c>
      <c r="M67" s="60" t="str">
        <f>IFERROR(__xludf.DUMMYFUNCTION("if(regexmatch(B67,""e(.*)$""),regexextract(B67,""e(.*)$""),"""")"),"-3")</f>
        <v>-3</v>
      </c>
    </row>
    <row r="68">
      <c r="A68" s="17" t="s">
        <v>1755</v>
      </c>
      <c r="B68" s="17" t="s">
        <v>4011</v>
      </c>
      <c r="C68" s="17" t="s">
        <v>4012</v>
      </c>
      <c r="E68" s="60" t="str">
        <f>VLOOKUP($A68,nist_names_ids!A:B,2,false)</f>
        <v>mudsmun</v>
      </c>
      <c r="F68" s="61">
        <f>countif(Constants!A:A,E68)</f>
        <v>1</v>
      </c>
      <c r="G68" s="62" t="str">
        <f t="shared" si="1"/>
        <v>0.8574382308</v>
      </c>
      <c r="H68" s="62">
        <f t="shared" si="2"/>
        <v>0.8574382308</v>
      </c>
      <c r="I68" s="62" t="str">
        <f t="shared" si="3"/>
        <v>0.0000000072</v>
      </c>
      <c r="J68" s="62">
        <f t="shared" si="4"/>
        <v>0.0000000072</v>
      </c>
      <c r="K68" s="62" t="b">
        <f t="shared" si="5"/>
        <v>0</v>
      </c>
      <c r="L68" s="62" t="b">
        <f t="shared" si="6"/>
        <v>0</v>
      </c>
      <c r="M68" s="60" t="str">
        <f>IFERROR(__xludf.DUMMYFUNCTION("if(regexmatch(B68,""e(.*)$""),regexextract(B68,""e(.*)$""),"""")"),"")</f>
        <v/>
      </c>
    </row>
    <row r="69">
      <c r="A69" s="17" t="s">
        <v>1609</v>
      </c>
      <c r="B69" s="17" t="s">
        <v>4027</v>
      </c>
      <c r="C69" s="17" t="s">
        <v>4028</v>
      </c>
      <c r="D69" s="17" t="s">
        <v>98</v>
      </c>
      <c r="E69" s="60" t="str">
        <f>VLOOKUP($A69,nist_names_ids!A:B,2,false)</f>
        <v>md</v>
      </c>
      <c r="F69" s="61">
        <f>countif(Constants!A:A,E69)</f>
        <v>1</v>
      </c>
      <c r="G69" s="62" t="str">
        <f t="shared" si="1"/>
        <v>3.34358348e-27</v>
      </c>
      <c r="H69" s="62">
        <f t="shared" si="2"/>
        <v>0</v>
      </c>
      <c r="I69" s="62" t="str">
        <f t="shared" si="3"/>
        <v>0.00000015e-27</v>
      </c>
      <c r="J69" s="62">
        <f t="shared" si="4"/>
        <v>0</v>
      </c>
      <c r="K69" s="62" t="b">
        <f t="shared" si="5"/>
        <v>0</v>
      </c>
      <c r="L69" s="62" t="b">
        <f t="shared" si="6"/>
        <v>0</v>
      </c>
      <c r="M69" s="60" t="str">
        <f>IFERROR(__xludf.DUMMYFUNCTION("if(regexmatch(B69,""e(.*)$""),regexextract(B69,""e(.*)$""),"""")"),"-27")</f>
        <v>-27</v>
      </c>
    </row>
    <row r="70">
      <c r="A70" s="17" t="s">
        <v>1617</v>
      </c>
      <c r="B70" s="17" t="s">
        <v>4035</v>
      </c>
      <c r="C70" s="17" t="s">
        <v>4036</v>
      </c>
      <c r="D70" s="17" t="s">
        <v>173</v>
      </c>
      <c r="E70" s="60" t="str">
        <f>VLOOKUP($A70,nist_names_ids!A:B,2,false)</f>
        <v>mdc2</v>
      </c>
      <c r="F70" s="61">
        <f>countif(Constants!A:A,E70)</f>
        <v>1</v>
      </c>
      <c r="G70" s="62" t="str">
        <f t="shared" si="1"/>
        <v>3.00506297e-10</v>
      </c>
      <c r="H70" s="62">
        <f t="shared" si="2"/>
        <v>0.000000000300506297</v>
      </c>
      <c r="I70" s="62" t="str">
        <f t="shared" si="3"/>
        <v>0.00000013e-10</v>
      </c>
      <c r="J70" s="62">
        <f t="shared" si="4"/>
        <v>0</v>
      </c>
      <c r="K70" s="62" t="b">
        <f t="shared" si="5"/>
        <v>0</v>
      </c>
      <c r="L70" s="62" t="b">
        <f t="shared" si="6"/>
        <v>0</v>
      </c>
      <c r="M70" s="60" t="str">
        <f>IFERROR(__xludf.DUMMYFUNCTION("if(regexmatch(B70,""e(.*)$""),regexextract(B70,""e(.*)$""),"""")"),"-10")</f>
        <v>-10</v>
      </c>
    </row>
    <row r="71">
      <c r="A71" s="17" t="s">
        <v>1632</v>
      </c>
      <c r="B71" s="17" t="s">
        <v>4038</v>
      </c>
      <c r="C71" s="17" t="s">
        <v>4039</v>
      </c>
      <c r="D71" s="17" t="s">
        <v>224</v>
      </c>
      <c r="E71" s="60" t="str">
        <f>VLOOKUP($A71,nist_names_ids!A:B,2,false)</f>
        <v>mdc2mev</v>
      </c>
      <c r="F71" s="61">
        <f>countif(Constants!A:A,E71)</f>
        <v>1</v>
      </c>
      <c r="G71" s="62" t="str">
        <f t="shared" si="1"/>
        <v>1875.612859</v>
      </c>
      <c r="H71" s="62">
        <f t="shared" si="2"/>
        <v>1875.612859</v>
      </c>
      <c r="I71" s="62" t="str">
        <f t="shared" si="3"/>
        <v>0.000041</v>
      </c>
      <c r="J71" s="62">
        <f t="shared" si="4"/>
        <v>0.000041</v>
      </c>
      <c r="K71" s="62" t="b">
        <f t="shared" si="5"/>
        <v>0</v>
      </c>
      <c r="L71" s="62" t="b">
        <f t="shared" si="6"/>
        <v>0</v>
      </c>
      <c r="M71" s="60" t="str">
        <f>IFERROR(__xludf.DUMMYFUNCTION("if(regexmatch(B71,""e(.*)$""),regexextract(B71,""e(.*)$""),"""")"),"")</f>
        <v/>
      </c>
    </row>
    <row r="72">
      <c r="A72" s="17" t="s">
        <v>1643</v>
      </c>
      <c r="B72" s="17" t="s">
        <v>4043</v>
      </c>
      <c r="C72" s="17" t="s">
        <v>4044</v>
      </c>
      <c r="D72" s="17" t="s">
        <v>249</v>
      </c>
      <c r="E72" s="60" t="str">
        <f>VLOOKUP($A72,nist_names_ids!A:B,2,false)</f>
        <v>mdu</v>
      </c>
      <c r="F72" s="61">
        <f>countif(Constants!A:A,E72)</f>
        <v>1</v>
      </c>
      <c r="G72" s="62" t="str">
        <f t="shared" si="1"/>
        <v>2.013553212712</v>
      </c>
      <c r="H72" s="62">
        <f t="shared" si="2"/>
        <v>2.013553213</v>
      </c>
      <c r="I72" s="62" t="str">
        <f t="shared" si="3"/>
        <v>0.000000000077</v>
      </c>
      <c r="J72" s="62">
        <f t="shared" si="4"/>
        <v>0</v>
      </c>
      <c r="K72" s="62" t="b">
        <f t="shared" si="5"/>
        <v>0</v>
      </c>
      <c r="L72" s="62" t="b">
        <f t="shared" si="6"/>
        <v>0</v>
      </c>
      <c r="M72" s="60" t="str">
        <f>IFERROR(__xludf.DUMMYFUNCTION("if(regexmatch(B72,""e(.*)$""),regexextract(B72,""e(.*)$""),"""")"),"")</f>
        <v/>
      </c>
    </row>
    <row r="73">
      <c r="A73" s="17" t="s">
        <v>1651</v>
      </c>
      <c r="B73" s="17" t="s">
        <v>4049</v>
      </c>
      <c r="C73" s="17" t="s">
        <v>4050</v>
      </c>
      <c r="D73" s="17" t="s">
        <v>286</v>
      </c>
      <c r="E73" s="60" t="str">
        <f>VLOOKUP($A73,nist_names_ids!A:B,2,false)</f>
        <v>mmd</v>
      </c>
      <c r="F73" s="61">
        <f>countif(Constants!A:A,E73)</f>
        <v>1</v>
      </c>
      <c r="G73" s="62" t="str">
        <f t="shared" si="1"/>
        <v>2.013553212712e-3</v>
      </c>
      <c r="H73" s="62">
        <f t="shared" si="2"/>
        <v>0.002013553213</v>
      </c>
      <c r="I73" s="62" t="str">
        <f t="shared" si="3"/>
        <v>0.000000000077e-3</v>
      </c>
      <c r="J73" s="62">
        <f t="shared" si="4"/>
        <v>0</v>
      </c>
      <c r="K73" s="62" t="b">
        <f t="shared" si="5"/>
        <v>0</v>
      </c>
      <c r="L73" s="62" t="b">
        <f t="shared" si="6"/>
        <v>0</v>
      </c>
      <c r="M73" s="60" t="str">
        <f>IFERROR(__xludf.DUMMYFUNCTION("if(regexmatch(B73,""e(.*)$""),regexextract(B73,""e(.*)$""),"""")"),"-3")</f>
        <v>-3</v>
      </c>
    </row>
    <row r="74">
      <c r="A74" s="17" t="s">
        <v>1777</v>
      </c>
      <c r="B74" s="17" t="s">
        <v>3359</v>
      </c>
      <c r="C74" s="17" t="s">
        <v>1779</v>
      </c>
      <c r="E74" s="60" t="str">
        <f>VLOOKUP($A74,nist_names_ids!A:B,2,false)</f>
        <v>mudsmunn</v>
      </c>
      <c r="F74" s="61">
        <f>countif(Constants!A:A,E74)</f>
        <v>1</v>
      </c>
      <c r="G74" s="62" t="str">
        <f t="shared" si="1"/>
        <v>-0.44820652</v>
      </c>
      <c r="H74" s="62">
        <f t="shared" si="2"/>
        <v>-0.44820652</v>
      </c>
      <c r="I74" s="62" t="str">
        <f t="shared" si="3"/>
        <v>0.00000011</v>
      </c>
      <c r="J74" s="62">
        <f t="shared" si="4"/>
        <v>0.00000011</v>
      </c>
      <c r="K74" s="62" t="b">
        <f t="shared" si="5"/>
        <v>0</v>
      </c>
      <c r="L74" s="62" t="b">
        <f t="shared" si="6"/>
        <v>0</v>
      </c>
      <c r="M74" s="60" t="str">
        <f>IFERROR(__xludf.DUMMYFUNCTION("if(regexmatch(B74,""e(.*)$""),regexextract(B74,""e(.*)$""),"""")"),"")</f>
        <v/>
      </c>
    </row>
    <row r="75">
      <c r="A75" s="17" t="s">
        <v>1781</v>
      </c>
      <c r="B75" s="17" t="s">
        <v>4058</v>
      </c>
      <c r="C75" s="17" t="s">
        <v>2592</v>
      </c>
      <c r="E75" s="60" t="str">
        <f>VLOOKUP($A75,nist_names_ids!A:B,2,false)</f>
        <v>mudsmup</v>
      </c>
      <c r="F75" s="61">
        <f>countif(Constants!A:A,E75)</f>
        <v>1</v>
      </c>
      <c r="G75" s="62" t="str">
        <f t="shared" si="1"/>
        <v>0.3070122070</v>
      </c>
      <c r="H75" s="62">
        <f t="shared" si="2"/>
        <v>0.307012207</v>
      </c>
      <c r="I75" s="62" t="str">
        <f t="shared" si="3"/>
        <v>0.0000000024</v>
      </c>
      <c r="J75" s="62">
        <f t="shared" si="4"/>
        <v>0.0000000024</v>
      </c>
      <c r="K75" s="62" t="b">
        <f t="shared" si="5"/>
        <v>0</v>
      </c>
      <c r="L75" s="62" t="b">
        <f t="shared" si="6"/>
        <v>0</v>
      </c>
      <c r="M75" s="60" t="str">
        <f>IFERROR(__xludf.DUMMYFUNCTION("if(regexmatch(B75,""e(.*)$""),regexextract(B75,""e(.*)$""),"""")"),"")</f>
        <v/>
      </c>
    </row>
    <row r="76">
      <c r="A76" s="17" t="s">
        <v>1785</v>
      </c>
      <c r="B76" s="17" t="s">
        <v>4061</v>
      </c>
      <c r="C76" s="17" t="s">
        <v>4062</v>
      </c>
      <c r="E76" s="60" t="str">
        <f>VLOOKUP($A76,nist_names_ids!A:B,2,false)</f>
        <v>mdsmp</v>
      </c>
      <c r="F76" s="61">
        <f>countif(Constants!A:A,E76)</f>
        <v>1</v>
      </c>
      <c r="G76" s="62" t="str">
        <f t="shared" si="1"/>
        <v>1.99900750097</v>
      </c>
      <c r="H76" s="62">
        <f t="shared" si="2"/>
        <v>1.999007501</v>
      </c>
      <c r="I76" s="62" t="str">
        <f t="shared" si="3"/>
        <v>0.00000000018</v>
      </c>
      <c r="J76" s="62">
        <f t="shared" si="4"/>
        <v>0.00000000018</v>
      </c>
      <c r="K76" s="62" t="b">
        <f t="shared" si="5"/>
        <v>0</v>
      </c>
      <c r="L76" s="62" t="b">
        <f t="shared" si="6"/>
        <v>0</v>
      </c>
      <c r="M76" s="60" t="str">
        <f>IFERROR(__xludf.DUMMYFUNCTION("if(regexmatch(B76,""e(.*)$""),regexextract(B76,""e(.*)$""),"""")"),"")</f>
        <v/>
      </c>
    </row>
    <row r="77">
      <c r="A77" s="17" t="s">
        <v>1681</v>
      </c>
      <c r="B77" s="64" t="s">
        <v>4063</v>
      </c>
      <c r="C77" s="64" t="s">
        <v>1450</v>
      </c>
      <c r="D77" s="17" t="s">
        <v>381</v>
      </c>
      <c r="E77" s="60" t="str">
        <f>VLOOKUP($A77,nist_names_ids!A:B,2,false)</f>
        <v>rd</v>
      </c>
      <c r="F77" s="61">
        <f>countif(Constants!A:A,E77)</f>
        <v>1</v>
      </c>
      <c r="G77" s="62" t="str">
        <f t="shared" si="1"/>
        <v>2.1424e-15</v>
      </c>
      <c r="H77" s="62">
        <f t="shared" si="2"/>
        <v>0</v>
      </c>
      <c r="I77" s="62" t="str">
        <f t="shared" si="3"/>
        <v>0.0021e-15</v>
      </c>
      <c r="J77" s="62">
        <f t="shared" si="4"/>
        <v>0</v>
      </c>
      <c r="K77" s="62" t="b">
        <f t="shared" si="5"/>
        <v>0</v>
      </c>
      <c r="L77" s="62" t="b">
        <f t="shared" si="6"/>
        <v>0</v>
      </c>
      <c r="M77" s="60" t="str">
        <f>IFERROR(__xludf.DUMMYFUNCTION("if(regexmatch(B77,""e(.*)$""),regexextract(B77,""e(.*)$""),"""")"),"-15")</f>
        <v>-15</v>
      </c>
    </row>
    <row r="78">
      <c r="A78" s="17" t="s">
        <v>2034</v>
      </c>
      <c r="B78" s="17" t="s">
        <v>3369</v>
      </c>
      <c r="C78" s="17" t="s">
        <v>1501</v>
      </c>
      <c r="D78" s="17" t="s">
        <v>1078</v>
      </c>
      <c r="E78" s="60" t="str">
        <f>VLOOKUP($A78,nist_names_ids!A:B,2,false)</f>
        <v>ep0</v>
      </c>
      <c r="F78" s="61">
        <f>countif(Constants!A:A,E78)</f>
        <v>1</v>
      </c>
      <c r="G78" s="62" t="str">
        <f t="shared" si="1"/>
        <v>8.854187817e-12</v>
      </c>
      <c r="H78" s="62">
        <f t="shared" si="2"/>
        <v>0</v>
      </c>
      <c r="I78" s="62" t="str">
        <f t="shared" si="3"/>
        <v>(exact)</v>
      </c>
      <c r="J78" s="62" t="str">
        <f t="shared" si="4"/>
        <v/>
      </c>
      <c r="K78" s="62" t="b">
        <f t="shared" si="5"/>
        <v>1</v>
      </c>
      <c r="L78" s="62" t="b">
        <f t="shared" si="6"/>
        <v>1</v>
      </c>
      <c r="M78" s="60" t="str">
        <f>IFERROR(__xludf.DUMMYFUNCTION("if(regexmatch(B78,""e(.*)$""),regexextract(B78,""e(.*)$""),"""")"),"-12")</f>
        <v>-12</v>
      </c>
    </row>
    <row r="79">
      <c r="A79" s="17" t="s">
        <v>1687</v>
      </c>
      <c r="B79" s="17" t="s">
        <v>4070</v>
      </c>
      <c r="C79" s="17" t="s">
        <v>4071</v>
      </c>
      <c r="D79" s="17" t="s">
        <v>1689</v>
      </c>
      <c r="E79" s="60" t="str">
        <f>VLOOKUP($A79,nist_names_ids!A:B,2,false)</f>
        <v>esme</v>
      </c>
      <c r="F79" s="61">
        <f>countif(Constants!A:A,E79)</f>
        <v>1</v>
      </c>
      <c r="G79" s="62" t="str">
        <f t="shared" si="1"/>
        <v>-1.758820088e11</v>
      </c>
      <c r="H79" s="62">
        <f t="shared" si="2"/>
        <v>-175882008800</v>
      </c>
      <c r="I79" s="62" t="str">
        <f t="shared" si="3"/>
        <v>0.000000039e11</v>
      </c>
      <c r="J79" s="62">
        <f t="shared" si="4"/>
        <v>3900</v>
      </c>
      <c r="K79" s="62" t="b">
        <f t="shared" si="5"/>
        <v>0</v>
      </c>
      <c r="L79" s="62" t="b">
        <f t="shared" si="6"/>
        <v>0</v>
      </c>
      <c r="M79" s="60" t="str">
        <f>IFERROR(__xludf.DUMMYFUNCTION("if(regexmatch(B79,""e(.*)$""),regexextract(B79,""e(.*)$""),"""")"),"11")</f>
        <v>11</v>
      </c>
    </row>
    <row r="80">
      <c r="A80" s="17" t="s">
        <v>1802</v>
      </c>
      <c r="B80" s="17" t="s">
        <v>4074</v>
      </c>
      <c r="C80" s="17" t="s">
        <v>4075</v>
      </c>
      <c r="E80" s="60" t="str">
        <f>VLOOKUP($A80,nist_names_ids!A:B,2,false)</f>
        <v>muemsmud</v>
      </c>
      <c r="F80" s="61">
        <f>countif(Constants!A:A,E80)</f>
        <v>1</v>
      </c>
      <c r="G80" s="62" t="str">
        <f t="shared" si="1"/>
        <v>-2143.923498</v>
      </c>
      <c r="H80" s="62">
        <f t="shared" si="2"/>
        <v>-2143.923498</v>
      </c>
      <c r="I80" s="62" t="str">
        <f t="shared" si="3"/>
        <v>0.000018</v>
      </c>
      <c r="J80" s="62">
        <f t="shared" si="4"/>
        <v>0.000018</v>
      </c>
      <c r="K80" s="62" t="b">
        <f t="shared" si="5"/>
        <v>0</v>
      </c>
      <c r="L80" s="62" t="b">
        <f t="shared" si="6"/>
        <v>0</v>
      </c>
      <c r="M80" s="60" t="str">
        <f>IFERROR(__xludf.DUMMYFUNCTION("if(regexmatch(B80,""e(.*)$""),regexextract(B80,""e(.*)$""),"""")"),"")</f>
        <v/>
      </c>
    </row>
    <row r="81">
      <c r="A81" s="17" t="s">
        <v>1806</v>
      </c>
      <c r="B81" s="17" t="s">
        <v>4076</v>
      </c>
      <c r="C81" s="17" t="s">
        <v>2588</v>
      </c>
      <c r="E81" s="60" t="str">
        <f>VLOOKUP($A81,nist_names_ids!A:B,2,false)</f>
        <v>mesmd</v>
      </c>
      <c r="F81" s="61">
        <f>countif(Constants!A:A,E81)</f>
        <v>1</v>
      </c>
      <c r="G81" s="62" t="str">
        <f t="shared" si="1"/>
        <v>2.7244371095e-4</v>
      </c>
      <c r="H81" s="62">
        <f t="shared" si="2"/>
        <v>0.000272443711</v>
      </c>
      <c r="I81" s="62" t="str">
        <f t="shared" si="3"/>
        <v>0.0000000011e-4</v>
      </c>
      <c r="J81" s="62">
        <f t="shared" si="4"/>
        <v>0</v>
      </c>
      <c r="K81" s="62" t="b">
        <f t="shared" si="5"/>
        <v>0</v>
      </c>
      <c r="L81" s="62" t="b">
        <f t="shared" si="6"/>
        <v>0</v>
      </c>
      <c r="M81" s="60" t="str">
        <f>IFERROR(__xludf.DUMMYFUNCTION("if(regexmatch(B81,""e(.*)$""),regexextract(B81,""e(.*)$""),"""")"),"-4")</f>
        <v>-4</v>
      </c>
    </row>
    <row r="82">
      <c r="A82" s="17" t="s">
        <v>1706</v>
      </c>
      <c r="B82" s="17" t="s">
        <v>4080</v>
      </c>
      <c r="C82" s="17" t="s">
        <v>4081</v>
      </c>
      <c r="E82" s="60" t="str">
        <f>VLOOKUP($A82,nist_names_ids!A:B,2,false)</f>
        <v>gem</v>
      </c>
      <c r="F82" s="61">
        <f>countif(Constants!A:A,E82)</f>
        <v>1</v>
      </c>
      <c r="G82" s="62" t="str">
        <f t="shared" si="1"/>
        <v>-2.00231930436153</v>
      </c>
      <c r="H82" s="62">
        <f t="shared" si="2"/>
        <v>-2.002319304</v>
      </c>
      <c r="I82" s="62" t="str">
        <f t="shared" si="3"/>
        <v>0.00000000000053</v>
      </c>
      <c r="J82" s="62">
        <f t="shared" si="4"/>
        <v>0</v>
      </c>
      <c r="K82" s="62" t="b">
        <f t="shared" si="5"/>
        <v>0</v>
      </c>
      <c r="L82" s="62" t="b">
        <f t="shared" si="6"/>
        <v>0</v>
      </c>
      <c r="M82" s="60" t="str">
        <f>IFERROR(__xludf.DUMMYFUNCTION("if(regexmatch(B82,""e(.*)$""),regexextract(B82,""e(.*)$""),"""")"),"")</f>
        <v/>
      </c>
    </row>
    <row r="83">
      <c r="A83" s="17" t="s">
        <v>1812</v>
      </c>
      <c r="B83" s="17" t="s">
        <v>4085</v>
      </c>
      <c r="C83" s="17" t="s">
        <v>4071</v>
      </c>
      <c r="D83" s="17" t="s">
        <v>1717</v>
      </c>
      <c r="E83" s="60" t="str">
        <f>VLOOKUP($A83,nist_names_ids!A:B,2,false)</f>
        <v>gammae</v>
      </c>
      <c r="F83" s="61">
        <f>countif(Constants!A:A,E83)</f>
        <v>1</v>
      </c>
      <c r="G83" s="62" t="str">
        <f t="shared" si="1"/>
        <v>1.760859708e11</v>
      </c>
      <c r="H83" s="62">
        <f t="shared" si="2"/>
        <v>176085970800</v>
      </c>
      <c r="I83" s="62" t="str">
        <f t="shared" si="3"/>
        <v>0.000000039e11</v>
      </c>
      <c r="J83" s="62">
        <f t="shared" si="4"/>
        <v>3900</v>
      </c>
      <c r="K83" s="62" t="b">
        <f t="shared" si="5"/>
        <v>0</v>
      </c>
      <c r="L83" s="62" t="b">
        <f t="shared" si="6"/>
        <v>0</v>
      </c>
      <c r="M83" s="60" t="str">
        <f>IFERROR(__xludf.DUMMYFUNCTION("if(regexmatch(B83,""e(.*)$""),regexextract(B83,""e(.*)$""),"""")"),"11")</f>
        <v>11</v>
      </c>
    </row>
    <row r="84">
      <c r="A84" s="17" t="s">
        <v>2102</v>
      </c>
      <c r="B84" s="17" t="s">
        <v>4087</v>
      </c>
      <c r="C84" s="17" t="s">
        <v>4088</v>
      </c>
      <c r="D84" s="17" t="s">
        <v>1733</v>
      </c>
      <c r="E84" s="60" t="str">
        <f>VLOOKUP($A84,nist_names_ids!A:B,2,false)</f>
        <v>gammaebar</v>
      </c>
      <c r="F84" s="61">
        <f>countif(Constants!A:A,E84)</f>
        <v>1</v>
      </c>
      <c r="G84" s="62" t="str">
        <f t="shared" si="1"/>
        <v>28024.95266</v>
      </c>
      <c r="H84" s="62">
        <f t="shared" si="2"/>
        <v>28024.95266</v>
      </c>
      <c r="I84" s="62" t="str">
        <f t="shared" si="3"/>
        <v>0.00062</v>
      </c>
      <c r="J84" s="62">
        <f t="shared" si="4"/>
        <v>0.00062</v>
      </c>
      <c r="K84" s="62" t="b">
        <f t="shared" si="5"/>
        <v>0</v>
      </c>
      <c r="L84" s="62" t="b">
        <f t="shared" si="6"/>
        <v>0</v>
      </c>
      <c r="M84" s="60" t="str">
        <f>IFERROR(__xludf.DUMMYFUNCTION("if(regexmatch(B84,""e(.*)$""),regexextract(B84,""e(.*)$""),"""")"),"")</f>
        <v/>
      </c>
    </row>
    <row r="85">
      <c r="A85" s="17" t="s">
        <v>1820</v>
      </c>
      <c r="B85" s="17" t="s">
        <v>4091</v>
      </c>
      <c r="C85" s="17" t="s">
        <v>4092</v>
      </c>
      <c r="E85" s="60" t="str">
        <f>VLOOKUP($A85,nist_names_ids!A:B,2,false)</f>
        <v>mesmh</v>
      </c>
      <c r="F85" s="61">
        <f>countif(Constants!A:A,E85)</f>
        <v>1</v>
      </c>
      <c r="G85" s="62" t="str">
        <f t="shared" si="1"/>
        <v>1.8195430761e-4</v>
      </c>
      <c r="H85" s="62">
        <f t="shared" si="2"/>
        <v>0.0001819543076</v>
      </c>
      <c r="I85" s="62" t="str">
        <f t="shared" si="3"/>
        <v>0.0000000017e-4</v>
      </c>
      <c r="J85" s="62">
        <f t="shared" si="4"/>
        <v>0</v>
      </c>
      <c r="K85" s="62" t="b">
        <f t="shared" si="5"/>
        <v>0</v>
      </c>
      <c r="L85" s="62" t="b">
        <f t="shared" si="6"/>
        <v>0</v>
      </c>
      <c r="M85" s="60" t="str">
        <f>IFERROR(__xludf.DUMMYFUNCTION("if(regexmatch(B85,""e(.*)$""),regexextract(B85,""e(.*)$""),"""")"),"-4")</f>
        <v>-4</v>
      </c>
    </row>
    <row r="86">
      <c r="A86" s="17" t="s">
        <v>1825</v>
      </c>
      <c r="B86" s="17" t="s">
        <v>4095</v>
      </c>
      <c r="C86" s="17" t="s">
        <v>4096</v>
      </c>
      <c r="D86" s="17" t="s">
        <v>964</v>
      </c>
      <c r="E86" s="60" t="str">
        <f>VLOOKUP($A86,nist_names_ids!A:B,2,false)</f>
        <v>muem</v>
      </c>
      <c r="F86" s="61">
        <f>countif(Constants!A:A,E86)</f>
        <v>1</v>
      </c>
      <c r="G86" s="62" t="str">
        <f t="shared" si="1"/>
        <v>-928.476430e-26</v>
      </c>
      <c r="H86" s="62">
        <f t="shared" si="2"/>
        <v>0</v>
      </c>
      <c r="I86" s="62" t="str">
        <f t="shared" si="3"/>
        <v>0.000021e-26</v>
      </c>
      <c r="J86" s="62">
        <f t="shared" si="4"/>
        <v>0</v>
      </c>
      <c r="K86" s="62" t="b">
        <f t="shared" si="5"/>
        <v>0</v>
      </c>
      <c r="L86" s="62" t="b">
        <f t="shared" si="6"/>
        <v>0</v>
      </c>
      <c r="M86" s="60" t="str">
        <f>IFERROR(__xludf.DUMMYFUNCTION("if(regexmatch(B86,""e(.*)$""),regexextract(B86,""e(.*)$""),"""")"),"-26")</f>
        <v>-26</v>
      </c>
    </row>
    <row r="87">
      <c r="A87" s="17" t="s">
        <v>1827</v>
      </c>
      <c r="B87" s="17" t="s">
        <v>4107</v>
      </c>
      <c r="C87" s="17" t="s">
        <v>4108</v>
      </c>
      <c r="E87" s="60" t="str">
        <f>VLOOKUP($A87,nist_names_ids!A:B,2,false)</f>
        <v>ae</v>
      </c>
      <c r="F87" s="61">
        <f>countif(Constants!A:A,E87)</f>
        <v>2</v>
      </c>
      <c r="G87" s="62" t="str">
        <f t="shared" si="1"/>
        <v>1.15965218076e-3</v>
      </c>
      <c r="H87" s="62">
        <f t="shared" si="2"/>
        <v>0.001159652181</v>
      </c>
      <c r="I87" s="62" t="str">
        <f t="shared" si="3"/>
        <v>0.00000000027e-3</v>
      </c>
      <c r="J87" s="62">
        <f t="shared" si="4"/>
        <v>0</v>
      </c>
      <c r="K87" s="62" t="b">
        <f t="shared" si="5"/>
        <v>0</v>
      </c>
      <c r="L87" s="62" t="b">
        <f t="shared" si="6"/>
        <v>0</v>
      </c>
      <c r="M87" s="60" t="str">
        <f>IFERROR(__xludf.DUMMYFUNCTION("if(regexmatch(B87,""e(.*)$""),regexextract(B87,""e(.*)$""),"""")"),"-3")</f>
        <v>-3</v>
      </c>
    </row>
    <row r="88">
      <c r="A88" s="17" t="s">
        <v>1833</v>
      </c>
      <c r="B88" s="17" t="s">
        <v>4110</v>
      </c>
      <c r="C88" s="17" t="s">
        <v>4111</v>
      </c>
      <c r="E88" s="60" t="str">
        <f>VLOOKUP($A88,nist_names_ids!A:B,2,false)</f>
        <v>muemsmub</v>
      </c>
      <c r="F88" s="61">
        <f>countif(Constants!A:A,E88)</f>
        <v>1</v>
      </c>
      <c r="G88" s="62" t="str">
        <f t="shared" si="1"/>
        <v>-1.00115965218076</v>
      </c>
      <c r="H88" s="62">
        <f t="shared" si="2"/>
        <v>-1.001159652</v>
      </c>
      <c r="I88" s="62" t="str">
        <f t="shared" si="3"/>
        <v>0.00000000000027</v>
      </c>
      <c r="J88" s="62">
        <f t="shared" si="4"/>
        <v>0</v>
      </c>
      <c r="K88" s="62" t="b">
        <f t="shared" si="5"/>
        <v>0</v>
      </c>
      <c r="L88" s="62" t="b">
        <f t="shared" si="6"/>
        <v>0</v>
      </c>
      <c r="M88" s="60" t="str">
        <f>IFERROR(__xludf.DUMMYFUNCTION("if(regexmatch(B88,""e(.*)$""),regexextract(B88,""e(.*)$""),"""")"),"")</f>
        <v/>
      </c>
    </row>
    <row r="89">
      <c r="A89" s="17" t="s">
        <v>1837</v>
      </c>
      <c r="B89" s="17" t="s">
        <v>4115</v>
      </c>
      <c r="C89" s="17" t="s">
        <v>4116</v>
      </c>
      <c r="E89" s="60" t="str">
        <f>VLOOKUP($A89,nist_names_ids!A:B,2,false)</f>
        <v>muemsmun</v>
      </c>
      <c r="F89" s="61">
        <f>countif(Constants!A:A,E89)</f>
        <v>1</v>
      </c>
      <c r="G89" s="62" t="str">
        <f t="shared" si="1"/>
        <v>-1838.28197090</v>
      </c>
      <c r="H89" s="62">
        <f t="shared" si="2"/>
        <v>-1838.281971</v>
      </c>
      <c r="I89" s="62" t="str">
        <f t="shared" si="3"/>
        <v>0.00000075</v>
      </c>
      <c r="J89" s="62">
        <f t="shared" si="4"/>
        <v>0.00000075</v>
      </c>
      <c r="K89" s="62" t="b">
        <f t="shared" si="5"/>
        <v>0</v>
      </c>
      <c r="L89" s="62" t="b">
        <f t="shared" si="6"/>
        <v>0</v>
      </c>
      <c r="M89" s="60" t="str">
        <f>IFERROR(__xludf.DUMMYFUNCTION("if(regexmatch(B89,""e(.*)$""),regexextract(B89,""e(.*)$""),"""")"),"")</f>
        <v/>
      </c>
    </row>
    <row r="90">
      <c r="A90" s="17" t="s">
        <v>1818</v>
      </c>
      <c r="B90" s="17" t="s">
        <v>3912</v>
      </c>
      <c r="C90" s="17" t="s">
        <v>3913</v>
      </c>
      <c r="D90" s="17" t="s">
        <v>98</v>
      </c>
      <c r="E90" s="60" t="str">
        <f>VLOOKUP($A90,nist_names_ids!A:B,2,false)</f>
        <v>me</v>
      </c>
      <c r="F90" s="61">
        <f>countif(Constants!A:A,E90)</f>
        <v>1</v>
      </c>
      <c r="G90" s="62" t="str">
        <f t="shared" si="1"/>
        <v>9.10938291e-31</v>
      </c>
      <c r="H90" s="62">
        <f t="shared" si="2"/>
        <v>0</v>
      </c>
      <c r="I90" s="62" t="str">
        <f t="shared" si="3"/>
        <v>0.00000040e-31</v>
      </c>
      <c r="J90" s="62">
        <f t="shared" si="4"/>
        <v>0</v>
      </c>
      <c r="K90" s="62" t="b">
        <f t="shared" si="5"/>
        <v>0</v>
      </c>
      <c r="L90" s="62" t="b">
        <f t="shared" si="6"/>
        <v>0</v>
      </c>
      <c r="M90" s="60" t="str">
        <f>IFERROR(__xludf.DUMMYFUNCTION("if(regexmatch(B90,""e(.*)$""),regexextract(B90,""e(.*)$""),"""")"),"-31")</f>
        <v>-31</v>
      </c>
    </row>
    <row r="91">
      <c r="A91" s="17" t="s">
        <v>1831</v>
      </c>
      <c r="B91" s="17" t="s">
        <v>4136</v>
      </c>
      <c r="C91" s="17" t="s">
        <v>4137</v>
      </c>
      <c r="D91" s="17" t="s">
        <v>173</v>
      </c>
      <c r="E91" s="60" t="str">
        <f>VLOOKUP($A91,nist_names_ids!A:B,2,false)</f>
        <v>mec2</v>
      </c>
      <c r="F91" s="61">
        <f>countif(Constants!A:A,E91)</f>
        <v>1</v>
      </c>
      <c r="G91" s="62" t="str">
        <f t="shared" si="1"/>
        <v>8.18710506e-14</v>
      </c>
      <c r="H91" s="62">
        <f t="shared" si="2"/>
        <v>0</v>
      </c>
      <c r="I91" s="62" t="str">
        <f t="shared" si="3"/>
        <v>0.00000036e-14</v>
      </c>
      <c r="J91" s="62">
        <f t="shared" si="4"/>
        <v>0</v>
      </c>
      <c r="K91" s="62" t="b">
        <f t="shared" si="5"/>
        <v>0</v>
      </c>
      <c r="L91" s="62" t="b">
        <f t="shared" si="6"/>
        <v>0</v>
      </c>
      <c r="M91" s="60" t="str">
        <f>IFERROR(__xludf.DUMMYFUNCTION("if(regexmatch(B91,""e(.*)$""),regexextract(B91,""e(.*)$""),"""")"),"-14")</f>
        <v>-14</v>
      </c>
    </row>
    <row r="92">
      <c r="A92" s="17" t="s">
        <v>1845</v>
      </c>
      <c r="B92" s="17" t="s">
        <v>4140</v>
      </c>
      <c r="C92" s="17" t="s">
        <v>2865</v>
      </c>
      <c r="D92" s="17" t="s">
        <v>224</v>
      </c>
      <c r="E92" s="60" t="str">
        <f>VLOOKUP($A92,nist_names_ids!A:B,2,false)</f>
        <v>mec2mev</v>
      </c>
      <c r="F92" s="61">
        <f>countif(Constants!A:A,E92)</f>
        <v>1</v>
      </c>
      <c r="G92" s="62" t="str">
        <f t="shared" si="1"/>
        <v>0.510998928</v>
      </c>
      <c r="H92" s="62">
        <f t="shared" si="2"/>
        <v>0.510998928</v>
      </c>
      <c r="I92" s="62" t="str">
        <f t="shared" si="3"/>
        <v>0.000000011</v>
      </c>
      <c r="J92" s="62">
        <f t="shared" si="4"/>
        <v>0.000000011</v>
      </c>
      <c r="K92" s="62" t="b">
        <f t="shared" si="5"/>
        <v>0</v>
      </c>
      <c r="L92" s="62" t="b">
        <f t="shared" si="6"/>
        <v>0</v>
      </c>
      <c r="M92" s="60" t="str">
        <f>IFERROR(__xludf.DUMMYFUNCTION("if(regexmatch(B92,""e(.*)$""),regexextract(B92,""e(.*)$""),"""")"),"")</f>
        <v/>
      </c>
    </row>
    <row r="93">
      <c r="A93" s="17" t="s">
        <v>1853</v>
      </c>
      <c r="B93" s="17" t="s">
        <v>4144</v>
      </c>
      <c r="C93" s="17" t="s">
        <v>1880</v>
      </c>
      <c r="D93" s="17" t="s">
        <v>249</v>
      </c>
      <c r="E93" s="60" t="str">
        <f>VLOOKUP($A93,nist_names_ids!A:B,2,false)</f>
        <v>meu</v>
      </c>
      <c r="F93" s="61">
        <f>countif(Constants!A:A,E93)</f>
        <v>1</v>
      </c>
      <c r="G93" s="62" t="str">
        <f t="shared" si="1"/>
        <v>5.4857990946e-4</v>
      </c>
      <c r="H93" s="62">
        <f t="shared" si="2"/>
        <v>0.0005485799095</v>
      </c>
      <c r="I93" s="62" t="str">
        <f t="shared" si="3"/>
        <v>0.0000000022e-4</v>
      </c>
      <c r="J93" s="62">
        <f t="shared" si="4"/>
        <v>0</v>
      </c>
      <c r="K93" s="62" t="b">
        <f t="shared" si="5"/>
        <v>0</v>
      </c>
      <c r="L93" s="62" t="b">
        <f t="shared" si="6"/>
        <v>0</v>
      </c>
      <c r="M93" s="60" t="str">
        <f>IFERROR(__xludf.DUMMYFUNCTION("if(regexmatch(B93,""e(.*)$""),regexextract(B93,""e(.*)$""),"""")"),"-4")</f>
        <v>-4</v>
      </c>
    </row>
    <row r="94">
      <c r="A94" s="17" t="s">
        <v>1860</v>
      </c>
      <c r="B94" s="17" t="s">
        <v>4147</v>
      </c>
      <c r="C94" s="17" t="s">
        <v>4148</v>
      </c>
      <c r="D94" s="17" t="s">
        <v>286</v>
      </c>
      <c r="E94" s="60" t="str">
        <f>VLOOKUP($A94,nist_names_ids!A:B,2,false)</f>
        <v>mme</v>
      </c>
      <c r="F94" s="61">
        <f>countif(Constants!A:A,E94)</f>
        <v>1</v>
      </c>
      <c r="G94" s="62" t="str">
        <f t="shared" si="1"/>
        <v>5.4857990946e-7</v>
      </c>
      <c r="H94" s="62">
        <f t="shared" si="2"/>
        <v>0.0000005485799095</v>
      </c>
      <c r="I94" s="62" t="str">
        <f t="shared" si="3"/>
        <v>0.0000000022e-7</v>
      </c>
      <c r="J94" s="62">
        <f t="shared" si="4"/>
        <v>0</v>
      </c>
      <c r="K94" s="62" t="b">
        <f t="shared" si="5"/>
        <v>0</v>
      </c>
      <c r="L94" s="62" t="b">
        <f t="shared" si="6"/>
        <v>0</v>
      </c>
      <c r="M94" s="60" t="str">
        <f>IFERROR(__xludf.DUMMYFUNCTION("if(regexmatch(B94,""e(.*)$""),regexextract(B94,""e(.*)$""),"""")"),"-7")</f>
        <v>-7</v>
      </c>
    </row>
    <row r="95">
      <c r="A95" s="17" t="s">
        <v>1864</v>
      </c>
      <c r="B95" s="17" t="s">
        <v>4152</v>
      </c>
      <c r="C95" s="17" t="s">
        <v>4153</v>
      </c>
      <c r="E95" s="60" t="str">
        <f>VLOOKUP($A95,nist_names_ids!A:B,2,false)</f>
        <v>muemsmumum</v>
      </c>
      <c r="F95" s="61">
        <f>countif(Constants!A:A,E95)</f>
        <v>1</v>
      </c>
      <c r="G95" s="62" t="str">
        <f t="shared" si="1"/>
        <v>206.7669896</v>
      </c>
      <c r="H95" s="62">
        <f t="shared" si="2"/>
        <v>206.7669896</v>
      </c>
      <c r="I95" s="62" t="str">
        <f t="shared" si="3"/>
        <v>0.0000052</v>
      </c>
      <c r="J95" s="62">
        <f t="shared" si="4"/>
        <v>0.0000052</v>
      </c>
      <c r="K95" s="62" t="b">
        <f t="shared" si="5"/>
        <v>0</v>
      </c>
      <c r="L95" s="62" t="b">
        <f t="shared" si="6"/>
        <v>0</v>
      </c>
      <c r="M95" s="60" t="str">
        <f>IFERROR(__xludf.DUMMYFUNCTION("if(regexmatch(B95,""e(.*)$""),regexextract(B95,""e(.*)$""),"""")"),"")</f>
        <v/>
      </c>
    </row>
    <row r="96">
      <c r="A96" s="17" t="s">
        <v>1868</v>
      </c>
      <c r="B96" s="17" t="s">
        <v>4157</v>
      </c>
      <c r="C96" s="17" t="s">
        <v>4158</v>
      </c>
      <c r="E96" s="60" t="str">
        <f>VLOOKUP($A96,nist_names_ids!A:B,2,false)</f>
        <v>mesmmu</v>
      </c>
      <c r="F96" s="61">
        <f>countif(Constants!A:A,E96)</f>
        <v>1</v>
      </c>
      <c r="G96" s="62" t="str">
        <f t="shared" si="1"/>
        <v>4.83633166e-3</v>
      </c>
      <c r="H96" s="62">
        <f t="shared" si="2"/>
        <v>0.00483633166</v>
      </c>
      <c r="I96" s="62" t="str">
        <f t="shared" si="3"/>
        <v>0.00000012e-3</v>
      </c>
      <c r="J96" s="62">
        <f t="shared" si="4"/>
        <v>0.00000000012</v>
      </c>
      <c r="K96" s="62" t="b">
        <f t="shared" si="5"/>
        <v>0</v>
      </c>
      <c r="L96" s="62" t="b">
        <f t="shared" si="6"/>
        <v>0</v>
      </c>
      <c r="M96" s="60" t="str">
        <f>IFERROR(__xludf.DUMMYFUNCTION("if(regexmatch(B96,""e(.*)$""),regexextract(B96,""e(.*)$""),"""")"),"-3")</f>
        <v>-3</v>
      </c>
    </row>
    <row r="97">
      <c r="A97" s="17" t="s">
        <v>1872</v>
      </c>
      <c r="B97" s="17" t="s">
        <v>2841</v>
      </c>
      <c r="C97" s="17" t="s">
        <v>1874</v>
      </c>
      <c r="E97" s="60" t="str">
        <f>VLOOKUP($A97,nist_names_ids!A:B,2,false)</f>
        <v>muemsmunn</v>
      </c>
      <c r="F97" s="61">
        <f>countif(Constants!A:A,E97)</f>
        <v>1</v>
      </c>
      <c r="G97" s="62" t="str">
        <f t="shared" si="1"/>
        <v>960.92050</v>
      </c>
      <c r="H97" s="62">
        <f t="shared" si="2"/>
        <v>960.9205</v>
      </c>
      <c r="I97" s="62" t="str">
        <f t="shared" si="3"/>
        <v>0.00023</v>
      </c>
      <c r="J97" s="62">
        <f t="shared" si="4"/>
        <v>0.00023</v>
      </c>
      <c r="K97" s="62" t="b">
        <f t="shared" si="5"/>
        <v>0</v>
      </c>
      <c r="L97" s="62" t="b">
        <f t="shared" si="6"/>
        <v>0</v>
      </c>
      <c r="M97" s="60" t="str">
        <f>IFERROR(__xludf.DUMMYFUNCTION("if(regexmatch(B97,""e(.*)$""),regexextract(B97,""e(.*)$""),"""")"),"")</f>
        <v/>
      </c>
    </row>
    <row r="98">
      <c r="A98" s="17" t="s">
        <v>1878</v>
      </c>
      <c r="B98" s="17" t="s">
        <v>4165</v>
      </c>
      <c r="C98" s="17" t="s">
        <v>4166</v>
      </c>
      <c r="E98" s="60" t="str">
        <f>VLOOKUP($A98,nist_names_ids!A:B,2,false)</f>
        <v>mesmn</v>
      </c>
      <c r="F98" s="61">
        <f>countif(Constants!A:A,E98)</f>
        <v>1</v>
      </c>
      <c r="G98" s="62" t="str">
        <f t="shared" si="1"/>
        <v>5.4386734461e-4</v>
      </c>
      <c r="H98" s="62">
        <f t="shared" si="2"/>
        <v>0.0005438673446</v>
      </c>
      <c r="I98" s="62" t="str">
        <f t="shared" si="3"/>
        <v>0.0000000032e-4</v>
      </c>
      <c r="J98" s="62">
        <f t="shared" si="4"/>
        <v>0</v>
      </c>
      <c r="K98" s="62" t="b">
        <f t="shared" si="5"/>
        <v>0</v>
      </c>
      <c r="L98" s="62" t="b">
        <f t="shared" si="6"/>
        <v>0</v>
      </c>
      <c r="M98" s="60" t="str">
        <f>IFERROR(__xludf.DUMMYFUNCTION("if(regexmatch(B98,""e(.*)$""),regexextract(B98,""e(.*)$""),"""")"),"-4")</f>
        <v>-4</v>
      </c>
    </row>
    <row r="99">
      <c r="A99" s="17" t="s">
        <v>1882</v>
      </c>
      <c r="B99" s="17" t="s">
        <v>4169</v>
      </c>
      <c r="C99" s="17" t="s">
        <v>4170</v>
      </c>
      <c r="E99" s="60" t="str">
        <f>VLOOKUP($A99,nist_names_ids!A:B,2,false)</f>
        <v>muemsmup</v>
      </c>
      <c r="F99" s="61">
        <f>countif(Constants!A:A,E99)</f>
        <v>1</v>
      </c>
      <c r="G99" s="62" t="str">
        <f t="shared" si="1"/>
        <v>-658.2106848</v>
      </c>
      <c r="H99" s="62">
        <f t="shared" si="2"/>
        <v>-658.2106848</v>
      </c>
      <c r="I99" s="62" t="str">
        <f t="shared" si="3"/>
        <v>0.0000054</v>
      </c>
      <c r="J99" s="62">
        <f t="shared" si="4"/>
        <v>0.0000054</v>
      </c>
      <c r="K99" s="62" t="b">
        <f t="shared" si="5"/>
        <v>0</v>
      </c>
      <c r="L99" s="62" t="b">
        <f t="shared" si="6"/>
        <v>0</v>
      </c>
      <c r="M99" s="60" t="str">
        <f>IFERROR(__xludf.DUMMYFUNCTION("if(regexmatch(B99,""e(.*)$""),regexextract(B99,""e(.*)$""),"""")"),"")</f>
        <v/>
      </c>
    </row>
    <row r="100">
      <c r="A100" s="17" t="s">
        <v>1886</v>
      </c>
      <c r="B100" s="17" t="s">
        <v>4172</v>
      </c>
      <c r="C100" s="17" t="s">
        <v>1880</v>
      </c>
      <c r="E100" s="60" t="str">
        <f>VLOOKUP($A100,nist_names_ids!A:B,2,false)</f>
        <v>mesmp</v>
      </c>
      <c r="F100" s="61">
        <f>countif(Constants!A:A,E100)</f>
        <v>1</v>
      </c>
      <c r="G100" s="62" t="str">
        <f t="shared" si="1"/>
        <v>5.4461702178e-4</v>
      </c>
      <c r="H100" s="62">
        <f t="shared" si="2"/>
        <v>0.0005446170218</v>
      </c>
      <c r="I100" s="62" t="str">
        <f t="shared" si="3"/>
        <v>0.0000000022e-4</v>
      </c>
      <c r="J100" s="62">
        <f t="shared" si="4"/>
        <v>0</v>
      </c>
      <c r="K100" s="62" t="b">
        <f t="shared" si="5"/>
        <v>0</v>
      </c>
      <c r="L100" s="62" t="b">
        <f t="shared" si="6"/>
        <v>0</v>
      </c>
      <c r="M100" s="60" t="str">
        <f>IFERROR(__xludf.DUMMYFUNCTION("if(regexmatch(B100,""e(.*)$""),regexextract(B100,""e(.*)$""),"""")"),"-4")</f>
        <v>-4</v>
      </c>
    </row>
    <row r="101">
      <c r="A101" s="17" t="s">
        <v>1896</v>
      </c>
      <c r="B101" s="17" t="s">
        <v>3448</v>
      </c>
      <c r="C101" s="17" t="s">
        <v>3449</v>
      </c>
      <c r="E101" s="60" t="str">
        <f>VLOOKUP($A101,nist_names_ids!A:B,2,false)</f>
        <v>mesmtau</v>
      </c>
      <c r="F101" s="61">
        <f>countif(Constants!A:A,E101)</f>
        <v>1</v>
      </c>
      <c r="G101" s="62" t="str">
        <f t="shared" si="1"/>
        <v>2.87592e-4</v>
      </c>
      <c r="H101" s="62">
        <f t="shared" si="2"/>
        <v>0.000287592</v>
      </c>
      <c r="I101" s="62" t="str">
        <f t="shared" si="3"/>
        <v>0.00026e-4</v>
      </c>
      <c r="J101" s="62">
        <f t="shared" si="4"/>
        <v>0.000000026</v>
      </c>
      <c r="K101" s="62" t="b">
        <f t="shared" si="5"/>
        <v>0</v>
      </c>
      <c r="L101" s="62" t="b">
        <f t="shared" si="6"/>
        <v>0</v>
      </c>
      <c r="M101" s="60" t="str">
        <f>IFERROR(__xludf.DUMMYFUNCTION("if(regexmatch(B101,""e(.*)$""),regexextract(B101,""e(.*)$""),"""")"),"-4")</f>
        <v>-4</v>
      </c>
    </row>
    <row r="102">
      <c r="A102" s="17" t="s">
        <v>1900</v>
      </c>
      <c r="B102" s="17" t="s">
        <v>4177</v>
      </c>
      <c r="C102" s="17" t="s">
        <v>4178</v>
      </c>
      <c r="E102" s="60" t="str">
        <f>VLOOKUP($A102,nist_names_ids!A:B,2,false)</f>
        <v>mesmalpha</v>
      </c>
      <c r="F102" s="61">
        <f>countif(Constants!A:A,E102)</f>
        <v>1</v>
      </c>
      <c r="G102" s="62" t="str">
        <f t="shared" si="1"/>
        <v>1.37093355578e-4</v>
      </c>
      <c r="H102" s="62">
        <f t="shared" si="2"/>
        <v>0.0001370933556</v>
      </c>
      <c r="I102" s="62" t="str">
        <f t="shared" si="3"/>
        <v>0.00000000055e-4</v>
      </c>
      <c r="J102" s="62">
        <f t="shared" si="4"/>
        <v>0</v>
      </c>
      <c r="K102" s="62" t="b">
        <f t="shared" si="5"/>
        <v>0</v>
      </c>
      <c r="L102" s="62" t="b">
        <f t="shared" si="6"/>
        <v>0</v>
      </c>
      <c r="M102" s="60" t="str">
        <f>IFERROR(__xludf.DUMMYFUNCTION("if(regexmatch(B102,""e(.*)$""),regexextract(B102,""e(.*)$""),"""")"),"-4")</f>
        <v>-4</v>
      </c>
    </row>
    <row r="103">
      <c r="A103" s="17" t="s">
        <v>1904</v>
      </c>
      <c r="B103" s="17" t="s">
        <v>2878</v>
      </c>
      <c r="C103" s="17" t="s">
        <v>2879</v>
      </c>
      <c r="E103" s="60" t="str">
        <f>VLOOKUP($A103,nist_names_ids!A:B,2,false)</f>
        <v>muemsmuhp</v>
      </c>
      <c r="F103" s="61">
        <f>countif(Constants!A:A,E103)</f>
        <v>1</v>
      </c>
      <c r="G103" s="62" t="str">
        <f t="shared" si="1"/>
        <v>864.058257</v>
      </c>
      <c r="H103" s="62">
        <f t="shared" si="2"/>
        <v>864.058257</v>
      </c>
      <c r="I103" s="62" t="str">
        <f t="shared" si="3"/>
        <v>0.000010</v>
      </c>
      <c r="J103" s="62">
        <f t="shared" si="4"/>
        <v>0.00001</v>
      </c>
      <c r="K103" s="62" t="b">
        <f t="shared" si="5"/>
        <v>0</v>
      </c>
      <c r="L103" s="62" t="b">
        <f t="shared" si="6"/>
        <v>0</v>
      </c>
      <c r="M103" s="60" t="str">
        <f>IFERROR(__xludf.DUMMYFUNCTION("if(regexmatch(B103,""e(.*)$""),regexextract(B103,""e(.*)$""),"""")"),"")</f>
        <v/>
      </c>
    </row>
    <row r="104">
      <c r="A104" s="17" t="s">
        <v>1910</v>
      </c>
      <c r="B104" s="17" t="s">
        <v>2899</v>
      </c>
      <c r="C104" s="17" t="s">
        <v>2900</v>
      </c>
      <c r="E104" s="60" t="str">
        <f>VLOOKUP($A104,nist_names_ids!A:B,2,false)</f>
        <v>muemsmupp</v>
      </c>
      <c r="F104" s="61">
        <f>countif(Constants!A:A,E104)</f>
        <v>1</v>
      </c>
      <c r="G104" s="62" t="str">
        <f t="shared" si="1"/>
        <v>-658.2275971</v>
      </c>
      <c r="H104" s="62">
        <f t="shared" si="2"/>
        <v>-658.2275971</v>
      </c>
      <c r="I104" s="62" t="str">
        <f t="shared" si="3"/>
        <v>0.0000072</v>
      </c>
      <c r="J104" s="62">
        <f t="shared" si="4"/>
        <v>0.0000072</v>
      </c>
      <c r="K104" s="62" t="b">
        <f t="shared" si="5"/>
        <v>0</v>
      </c>
      <c r="L104" s="62" t="b">
        <f t="shared" si="6"/>
        <v>0</v>
      </c>
      <c r="M104" s="60" t="str">
        <f>IFERROR(__xludf.DUMMYFUNCTION("if(regexmatch(B104,""e(.*)$""),regexextract(B104,""e(.*)$""),"""")"),"")</f>
        <v/>
      </c>
    </row>
    <row r="105">
      <c r="A105" s="17" t="s">
        <v>1916</v>
      </c>
      <c r="B105" s="17" t="s">
        <v>4185</v>
      </c>
      <c r="C105" s="17" t="s">
        <v>4092</v>
      </c>
      <c r="E105" s="60" t="str">
        <f>VLOOKUP($A105,nist_names_ids!A:B,2,false)</f>
        <v>mesmt</v>
      </c>
      <c r="F105" s="61">
        <f>countif(Constants!A:A,E105)</f>
        <v>1</v>
      </c>
      <c r="G105" s="62" t="str">
        <f t="shared" si="1"/>
        <v>1.8192000653e-4</v>
      </c>
      <c r="H105" s="62">
        <f t="shared" si="2"/>
        <v>0.0001819200065</v>
      </c>
      <c r="I105" s="62" t="str">
        <f t="shared" si="3"/>
        <v>0.0000000017e-4</v>
      </c>
      <c r="J105" s="62">
        <f t="shared" si="4"/>
        <v>0</v>
      </c>
      <c r="K105" s="62" t="b">
        <f t="shared" si="5"/>
        <v>0</v>
      </c>
      <c r="L105" s="62" t="b">
        <f t="shared" si="6"/>
        <v>0</v>
      </c>
      <c r="M105" s="60" t="str">
        <f>IFERROR(__xludf.DUMMYFUNCTION("if(regexmatch(B105,""e(.*)$""),regexextract(B105,""e(.*)$""),"""")"),"-4")</f>
        <v>-4</v>
      </c>
    </row>
    <row r="106">
      <c r="A106" s="17" t="s">
        <v>1919</v>
      </c>
      <c r="B106" s="17" t="s">
        <v>3856</v>
      </c>
      <c r="C106" s="17" t="s">
        <v>3857</v>
      </c>
      <c r="D106" s="17" t="s">
        <v>173</v>
      </c>
      <c r="E106" s="60" t="str">
        <f>VLOOKUP($A106,nist_names_ids!A:B,2,false)</f>
        <v>tevj</v>
      </c>
      <c r="F106" s="61">
        <f>countif(Constants!A:A,E106)</f>
        <v>1</v>
      </c>
      <c r="G106" s="62" t="str">
        <f t="shared" si="1"/>
        <v>1.602176565e-19</v>
      </c>
      <c r="H106" s="62">
        <f t="shared" si="2"/>
        <v>0</v>
      </c>
      <c r="I106" s="62" t="str">
        <f t="shared" si="3"/>
        <v>0.000000035e-19</v>
      </c>
      <c r="J106" s="62">
        <f t="shared" si="4"/>
        <v>0</v>
      </c>
      <c r="K106" s="62" t="b">
        <f t="shared" si="5"/>
        <v>0</v>
      </c>
      <c r="L106" s="62" t="b">
        <f t="shared" si="6"/>
        <v>0</v>
      </c>
      <c r="M106" s="60" t="str">
        <f>IFERROR(__xludf.DUMMYFUNCTION("if(regexmatch(B106,""e(.*)$""),regexextract(B106,""e(.*)$""),"""")"),"-19")</f>
        <v>-19</v>
      </c>
    </row>
    <row r="107">
      <c r="A107" s="17" t="s">
        <v>1920</v>
      </c>
      <c r="B107" s="17" t="s">
        <v>4191</v>
      </c>
      <c r="C107" s="17" t="s">
        <v>4192</v>
      </c>
      <c r="D107" s="17" t="s">
        <v>249</v>
      </c>
      <c r="E107" s="60" t="str">
        <f>VLOOKUP($A107,nist_names_ids!A:B,2,false)</f>
        <v>evu</v>
      </c>
      <c r="F107" s="61">
        <f>countif(Constants!A:A,E107)</f>
        <v>1</v>
      </c>
      <c r="G107" s="62" t="str">
        <f t="shared" si="1"/>
        <v>1.073544150e-9</v>
      </c>
      <c r="H107" s="62">
        <f t="shared" si="2"/>
        <v>0.00000000107354415</v>
      </c>
      <c r="I107" s="62" t="str">
        <f t="shared" si="3"/>
        <v>0.000000024e-9</v>
      </c>
      <c r="J107" s="62">
        <f t="shared" si="4"/>
        <v>0</v>
      </c>
      <c r="K107" s="62" t="b">
        <f t="shared" si="5"/>
        <v>0</v>
      </c>
      <c r="L107" s="62" t="b">
        <f t="shared" si="6"/>
        <v>0</v>
      </c>
      <c r="M107" s="60" t="str">
        <f>IFERROR(__xludf.DUMMYFUNCTION("if(regexmatch(B107,""e(.*)$""),regexextract(B107,""e(.*)$""),"""")"),"-9")</f>
        <v>-9</v>
      </c>
    </row>
    <row r="108">
      <c r="A108" s="17" t="s">
        <v>1923</v>
      </c>
      <c r="B108" s="17" t="s">
        <v>4195</v>
      </c>
      <c r="C108" s="17" t="s">
        <v>4196</v>
      </c>
      <c r="D108" s="17" t="s">
        <v>170</v>
      </c>
      <c r="E108" s="60" t="str">
        <f>VLOOKUP($A108,nist_names_ids!A:B,2,false)</f>
        <v>evhr</v>
      </c>
      <c r="F108" s="61">
        <f>countif(Constants!A:A,E108)</f>
        <v>1</v>
      </c>
      <c r="G108" s="62" t="str">
        <f t="shared" si="1"/>
        <v>3.674932379e-2</v>
      </c>
      <c r="H108" s="62">
        <f t="shared" si="2"/>
        <v>0.03674932379</v>
      </c>
      <c r="I108" s="62" t="str">
        <f t="shared" si="3"/>
        <v>0.000000081e-2</v>
      </c>
      <c r="J108" s="62">
        <f t="shared" si="4"/>
        <v>0.00000000081</v>
      </c>
      <c r="K108" s="62" t="b">
        <f t="shared" si="5"/>
        <v>0</v>
      </c>
      <c r="L108" s="62" t="b">
        <f t="shared" si="6"/>
        <v>0</v>
      </c>
      <c r="M108" s="60" t="str">
        <f>IFERROR(__xludf.DUMMYFUNCTION("if(regexmatch(B108,""e(.*)$""),regexextract(B108,""e(.*)$""),"""")"),"-2")</f>
        <v>-2</v>
      </c>
    </row>
    <row r="109">
      <c r="A109" s="17" t="s">
        <v>1931</v>
      </c>
      <c r="B109" s="17" t="s">
        <v>4199</v>
      </c>
      <c r="C109" s="17" t="s">
        <v>4200</v>
      </c>
      <c r="D109" s="17" t="s">
        <v>257</v>
      </c>
      <c r="E109" s="60" t="str">
        <f>VLOOKUP($A109,nist_names_ids!A:B,2,false)</f>
        <v>evhz</v>
      </c>
      <c r="F109" s="61">
        <f>countif(Constants!A:A,E109)</f>
        <v>1</v>
      </c>
      <c r="G109" s="62" t="str">
        <f t="shared" si="1"/>
        <v>2.417989348e14</v>
      </c>
      <c r="H109" s="62">
        <f t="shared" si="2"/>
        <v>241798934800000</v>
      </c>
      <c r="I109" s="62" t="str">
        <f t="shared" si="3"/>
        <v>0.000000053e14</v>
      </c>
      <c r="J109" s="62">
        <f t="shared" si="4"/>
        <v>5300000</v>
      </c>
      <c r="K109" s="62" t="b">
        <f t="shared" si="5"/>
        <v>0</v>
      </c>
      <c r="L109" s="62" t="b">
        <f t="shared" si="6"/>
        <v>0</v>
      </c>
      <c r="M109" s="60" t="str">
        <f>IFERROR(__xludf.DUMMYFUNCTION("if(regexmatch(B109,""e(.*)$""),regexextract(B109,""e(.*)$""),"""")"),"14")</f>
        <v>14</v>
      </c>
    </row>
    <row r="110">
      <c r="A110" s="17" t="s">
        <v>1934</v>
      </c>
      <c r="B110" s="17" t="s">
        <v>4205</v>
      </c>
      <c r="C110" s="17" t="s">
        <v>4206</v>
      </c>
      <c r="D110" s="17" t="s">
        <v>561</v>
      </c>
      <c r="E110" s="60" t="str">
        <f>VLOOKUP($A110,nist_names_ids!A:B,2,false)</f>
        <v>evminv</v>
      </c>
      <c r="F110" s="61">
        <f>countif(Constants!A:A,E110)</f>
        <v>1</v>
      </c>
      <c r="G110" s="62" t="str">
        <f t="shared" si="1"/>
        <v>8.06554429e5</v>
      </c>
      <c r="H110" s="62">
        <f t="shared" si="2"/>
        <v>806554.429</v>
      </c>
      <c r="I110" s="62" t="str">
        <f t="shared" si="3"/>
        <v>0.00000018e5</v>
      </c>
      <c r="J110" s="62">
        <f t="shared" si="4"/>
        <v>0.018</v>
      </c>
      <c r="K110" s="62" t="b">
        <f t="shared" si="5"/>
        <v>0</v>
      </c>
      <c r="L110" s="62" t="b">
        <f t="shared" si="6"/>
        <v>0</v>
      </c>
      <c r="M110" s="60" t="str">
        <f>IFERROR(__xludf.DUMMYFUNCTION("if(regexmatch(B110,""e(.*)$""),regexextract(B110,""e(.*)$""),"""")"),"5")</f>
        <v>5</v>
      </c>
    </row>
    <row r="111">
      <c r="A111" s="17" t="s">
        <v>1937</v>
      </c>
      <c r="B111" s="17" t="s">
        <v>3856</v>
      </c>
      <c r="C111" s="17" t="s">
        <v>3857</v>
      </c>
      <c r="D111" s="17" t="s">
        <v>173</v>
      </c>
      <c r="E111" s="60" t="str">
        <f>VLOOKUP($A111,nist_names_ids!A:B,2,false)</f>
        <v>evj</v>
      </c>
      <c r="F111" s="61">
        <f>countif(Constants!A:A,E111)</f>
        <v>1</v>
      </c>
      <c r="G111" s="62" t="str">
        <f t="shared" si="1"/>
        <v>1.602176565e-19</v>
      </c>
      <c r="H111" s="62">
        <f t="shared" si="2"/>
        <v>0</v>
      </c>
      <c r="I111" s="62" t="str">
        <f t="shared" si="3"/>
        <v>0.000000035e-19</v>
      </c>
      <c r="J111" s="62">
        <f t="shared" si="4"/>
        <v>0</v>
      </c>
      <c r="K111" s="62" t="b">
        <f t="shared" si="5"/>
        <v>0</v>
      </c>
      <c r="L111" s="62" t="b">
        <f t="shared" si="6"/>
        <v>0</v>
      </c>
      <c r="M111" s="60" t="str">
        <f>IFERROR(__xludf.DUMMYFUNCTION("if(regexmatch(B111,""e(.*)$""),regexextract(B111,""e(.*)$""),"""")"),"-19")</f>
        <v>-19</v>
      </c>
    </row>
    <row r="112">
      <c r="A112" s="17" t="s">
        <v>1940</v>
      </c>
      <c r="B112" s="17" t="s">
        <v>4211</v>
      </c>
      <c r="C112" s="17" t="s">
        <v>4212</v>
      </c>
      <c r="D112" s="17" t="s">
        <v>345</v>
      </c>
      <c r="E112" s="60" t="str">
        <f>VLOOKUP($A112,nist_names_ids!A:B,2,false)</f>
        <v>evk</v>
      </c>
      <c r="F112" s="61">
        <f>countif(Constants!A:A,E112)</f>
        <v>1</v>
      </c>
      <c r="G112" s="62" t="str">
        <f t="shared" si="1"/>
        <v>1.1604519e4</v>
      </c>
      <c r="H112" s="62">
        <f t="shared" si="2"/>
        <v>11604.519</v>
      </c>
      <c r="I112" s="62" t="str">
        <f t="shared" si="3"/>
        <v>0.0000011e4</v>
      </c>
      <c r="J112" s="62">
        <f t="shared" si="4"/>
        <v>0.011</v>
      </c>
      <c r="K112" s="62" t="b">
        <f t="shared" si="5"/>
        <v>0</v>
      </c>
      <c r="L112" s="62" t="b">
        <f t="shared" si="6"/>
        <v>0</v>
      </c>
      <c r="M112" s="60" t="str">
        <f>IFERROR(__xludf.DUMMYFUNCTION("if(regexmatch(B112,""e(.*)$""),regexextract(B112,""e(.*)$""),"""")"),"4")</f>
        <v>4</v>
      </c>
    </row>
    <row r="113">
      <c r="A113" s="17" t="s">
        <v>1944</v>
      </c>
      <c r="B113" s="17" t="s">
        <v>4214</v>
      </c>
      <c r="C113" s="17" t="s">
        <v>4215</v>
      </c>
      <c r="D113" s="17" t="s">
        <v>98</v>
      </c>
      <c r="E113" s="60" t="str">
        <f>VLOOKUP($A113,nist_names_ids!A:B,2,false)</f>
        <v>evkg</v>
      </c>
      <c r="F113" s="61">
        <f>countif(Constants!A:A,E113)</f>
        <v>1</v>
      </c>
      <c r="G113" s="62" t="str">
        <f t="shared" si="1"/>
        <v>1.782661845e-36</v>
      </c>
      <c r="H113" s="62">
        <f t="shared" si="2"/>
        <v>0</v>
      </c>
      <c r="I113" s="62" t="str">
        <f t="shared" si="3"/>
        <v>0.000000039e-36</v>
      </c>
      <c r="J113" s="62">
        <f t="shared" si="4"/>
        <v>0</v>
      </c>
      <c r="K113" s="62" t="b">
        <f t="shared" si="5"/>
        <v>0</v>
      </c>
      <c r="L113" s="62" t="b">
        <f t="shared" si="6"/>
        <v>0</v>
      </c>
      <c r="M113" s="60" t="str">
        <f>IFERROR(__xludf.DUMMYFUNCTION("if(regexmatch(B113,""e(.*)$""),regexextract(B113,""e(.*)$""),"""")"),"-36")</f>
        <v>-36</v>
      </c>
    </row>
    <row r="114">
      <c r="A114" s="17" t="s">
        <v>1947</v>
      </c>
      <c r="B114" s="17" t="s">
        <v>3856</v>
      </c>
      <c r="C114" s="17" t="s">
        <v>3857</v>
      </c>
      <c r="D114" s="17" t="s">
        <v>81</v>
      </c>
      <c r="E114" s="60" t="str">
        <f>VLOOKUP($A114,nist_names_ids!A:B,2,false)</f>
        <v>e</v>
      </c>
      <c r="F114" s="61">
        <f>countif(Constants!A:A,E114)</f>
        <v>1</v>
      </c>
      <c r="G114" s="62" t="str">
        <f t="shared" si="1"/>
        <v>1.602176565e-19</v>
      </c>
      <c r="H114" s="62">
        <f t="shared" si="2"/>
        <v>0</v>
      </c>
      <c r="I114" s="62" t="str">
        <f t="shared" si="3"/>
        <v>0.000000035e-19</v>
      </c>
      <c r="J114" s="62">
        <f t="shared" si="4"/>
        <v>0</v>
      </c>
      <c r="K114" s="62" t="b">
        <f t="shared" si="5"/>
        <v>0</v>
      </c>
      <c r="L114" s="62" t="b">
        <f t="shared" si="6"/>
        <v>0</v>
      </c>
      <c r="M114" s="60" t="str">
        <f>IFERROR(__xludf.DUMMYFUNCTION("if(regexmatch(B114,""e(.*)$""),regexextract(B114,""e(.*)$""),"""")"),"-19")</f>
        <v>-19</v>
      </c>
    </row>
    <row r="115">
      <c r="A115" s="17" t="s">
        <v>2603</v>
      </c>
      <c r="B115" s="17" t="s">
        <v>4199</v>
      </c>
      <c r="C115" s="17" t="s">
        <v>4200</v>
      </c>
      <c r="D115" s="17" t="s">
        <v>1951</v>
      </c>
      <c r="E115" s="60" t="str">
        <f>VLOOKUP($A115,nist_names_ids!A:B,2,false)</f>
        <v>eshbar</v>
      </c>
      <c r="F115" s="61">
        <f>countif(Constants!A:A,E115)</f>
        <v>1</v>
      </c>
      <c r="G115" s="62" t="str">
        <f t="shared" si="1"/>
        <v>2.417989348e14</v>
      </c>
      <c r="H115" s="62">
        <f t="shared" si="2"/>
        <v>241798934800000</v>
      </c>
      <c r="I115" s="62" t="str">
        <f t="shared" si="3"/>
        <v>0.000000053e14</v>
      </c>
      <c r="J115" s="62">
        <f t="shared" si="4"/>
        <v>5300000</v>
      </c>
      <c r="K115" s="62" t="b">
        <f t="shared" si="5"/>
        <v>0</v>
      </c>
      <c r="L115" s="62" t="b">
        <f t="shared" si="6"/>
        <v>0</v>
      </c>
      <c r="M115" s="60" t="str">
        <f>IFERROR(__xludf.DUMMYFUNCTION("if(regexmatch(B115,""e(.*)$""),regexextract(B115,""e(.*)$""),"""")"),"14")</f>
        <v>14</v>
      </c>
    </row>
    <row r="116">
      <c r="A116" s="17" t="s">
        <v>1956</v>
      </c>
      <c r="B116" s="17" t="s">
        <v>4221</v>
      </c>
      <c r="C116" s="64" t="s">
        <v>4222</v>
      </c>
      <c r="D116" s="17" t="s">
        <v>1958</v>
      </c>
      <c r="E116" s="60" t="str">
        <f>VLOOKUP($A116,nist_names_ids!A:B,2,false)</f>
        <v>f</v>
      </c>
      <c r="F116" s="61">
        <f>countif(Constants!A:A,E116)</f>
        <v>1</v>
      </c>
      <c r="G116" s="62" t="str">
        <f t="shared" si="1"/>
        <v>96485.3365</v>
      </c>
      <c r="H116" s="62">
        <f t="shared" si="2"/>
        <v>96485.3365</v>
      </c>
      <c r="I116" s="62" t="str">
        <f t="shared" si="3"/>
        <v>0.0021</v>
      </c>
      <c r="J116" s="62">
        <f t="shared" si="4"/>
        <v>0.0021</v>
      </c>
      <c r="K116" s="62" t="b">
        <f t="shared" si="5"/>
        <v>0</v>
      </c>
      <c r="L116" s="62" t="b">
        <f t="shared" si="6"/>
        <v>0</v>
      </c>
      <c r="M116" s="60" t="str">
        <f>IFERROR(__xludf.DUMMYFUNCTION("if(regexmatch(B116,""e(.*)$""),regexextract(B116,""e(.*)$""),"""")"),"")</f>
        <v/>
      </c>
    </row>
    <row r="117">
      <c r="A117" s="17" t="s">
        <v>2239</v>
      </c>
      <c r="B117" s="17" t="s">
        <v>4224</v>
      </c>
      <c r="C117" s="64" t="s">
        <v>4225</v>
      </c>
      <c r="D117" s="17" t="s">
        <v>2241</v>
      </c>
      <c r="E117" s="60" t="str">
        <f>VLOOKUP($A117,nist_names_ids!A:B,2,false)</f>
        <v>f90</v>
      </c>
      <c r="F117" s="61">
        <f>countif(Constants!A:A,E117)</f>
        <v>1</v>
      </c>
      <c r="G117" s="62" t="str">
        <f t="shared" si="1"/>
        <v>96485.3321</v>
      </c>
      <c r="H117" s="62">
        <f t="shared" si="2"/>
        <v>96485.3321</v>
      </c>
      <c r="I117" s="62" t="str">
        <f t="shared" si="3"/>
        <v>0.0043</v>
      </c>
      <c r="J117" s="62">
        <f t="shared" si="4"/>
        <v>0.0043</v>
      </c>
      <c r="K117" s="62" t="b">
        <f t="shared" si="5"/>
        <v>0</v>
      </c>
      <c r="L117" s="62" t="b">
        <f t="shared" si="6"/>
        <v>0</v>
      </c>
      <c r="M117" s="60" t="str">
        <f>IFERROR(__xludf.DUMMYFUNCTION("if(regexmatch(B117,""e(.*)$""),regexextract(B117,""e(.*)$""),"""")"),"")</f>
        <v/>
      </c>
    </row>
    <row r="118">
      <c r="A118" s="17" t="s">
        <v>1960</v>
      </c>
      <c r="B118" s="17" t="s">
        <v>4229</v>
      </c>
      <c r="C118" s="17" t="s">
        <v>4230</v>
      </c>
      <c r="D118" s="17" t="s">
        <v>1963</v>
      </c>
      <c r="E118" s="60" t="str">
        <f>VLOOKUP($A118,nist_names_ids!A:B,2,false)</f>
        <v>gf</v>
      </c>
      <c r="F118" s="61">
        <f>countif(Constants!A:A,E118)</f>
        <v>1</v>
      </c>
      <c r="G118" s="62" t="str">
        <f t="shared" si="1"/>
        <v>1.166364e-5</v>
      </c>
      <c r="H118" s="62">
        <f t="shared" si="2"/>
        <v>0.00001166364</v>
      </c>
      <c r="I118" s="62" t="str">
        <f t="shared" si="3"/>
        <v>0.000005e-5</v>
      </c>
      <c r="J118" s="62">
        <f t="shared" si="4"/>
        <v>0</v>
      </c>
      <c r="K118" s="62" t="b">
        <f t="shared" si="5"/>
        <v>0</v>
      </c>
      <c r="L118" s="62" t="b">
        <f t="shared" si="6"/>
        <v>0</v>
      </c>
      <c r="M118" s="60" t="str">
        <f>IFERROR(__xludf.DUMMYFUNCTION("if(regexmatch(B118,""e(.*)$""),regexextract(B118,""e(.*)$""),"""")"),"-5")</f>
        <v>-5</v>
      </c>
    </row>
    <row r="119">
      <c r="A119" s="17" t="s">
        <v>1966</v>
      </c>
      <c r="B119" s="17" t="s">
        <v>4233</v>
      </c>
      <c r="C119" s="17" t="s">
        <v>4234</v>
      </c>
      <c r="E119" s="60" t="str">
        <f>VLOOKUP($A119,nist_names_ids!A:B,2,false)</f>
        <v>alph</v>
      </c>
      <c r="F119" s="61">
        <f>countif(Constants!A:A,E119)</f>
        <v>1</v>
      </c>
      <c r="G119" s="62" t="str">
        <f t="shared" si="1"/>
        <v>7.2973525698e-3</v>
      </c>
      <c r="H119" s="62">
        <f t="shared" si="2"/>
        <v>0.00729735257</v>
      </c>
      <c r="I119" s="62" t="str">
        <f t="shared" si="3"/>
        <v>0.0000000024e-3</v>
      </c>
      <c r="J119" s="62">
        <f t="shared" si="4"/>
        <v>0</v>
      </c>
      <c r="K119" s="62" t="b">
        <f t="shared" si="5"/>
        <v>0</v>
      </c>
      <c r="L119" s="62" t="b">
        <f t="shared" si="6"/>
        <v>0</v>
      </c>
      <c r="M119" s="60" t="str">
        <f>IFERROR(__xludf.DUMMYFUNCTION("if(regexmatch(B119,""e(.*)$""),regexextract(B119,""e(.*)$""),"""")"),"-3")</f>
        <v>-3</v>
      </c>
    </row>
    <row r="120">
      <c r="A120" s="17" t="s">
        <v>1972</v>
      </c>
      <c r="B120" s="17" t="s">
        <v>4236</v>
      </c>
      <c r="C120" s="17" t="s">
        <v>4237</v>
      </c>
      <c r="D120" s="17" t="s">
        <v>1974</v>
      </c>
      <c r="E120" s="60" t="str">
        <f>VLOOKUP($A120,nist_names_ids!A:B,2,false)</f>
        <v>c11strc</v>
      </c>
      <c r="F120" s="61">
        <f>countif(Constants!A:A,E120)</f>
        <v>1</v>
      </c>
      <c r="G120" s="62" t="str">
        <f t="shared" si="1"/>
        <v>3.74177153e-16</v>
      </c>
      <c r="H120" s="62">
        <f t="shared" si="2"/>
        <v>0</v>
      </c>
      <c r="I120" s="62" t="str">
        <f t="shared" si="3"/>
        <v>0.00000017e-16</v>
      </c>
      <c r="J120" s="62">
        <f t="shared" si="4"/>
        <v>0</v>
      </c>
      <c r="K120" s="62" t="b">
        <f t="shared" si="5"/>
        <v>0</v>
      </c>
      <c r="L120" s="62" t="b">
        <f t="shared" si="6"/>
        <v>0</v>
      </c>
      <c r="M120" s="60" t="str">
        <f>IFERROR(__xludf.DUMMYFUNCTION("if(regexmatch(B120,""e(.*)$""),regexextract(B120,""e(.*)$""),"""")"),"-16")</f>
        <v>-16</v>
      </c>
    </row>
    <row r="121">
      <c r="A121" s="17" t="s">
        <v>1979</v>
      </c>
      <c r="B121" s="17" t="s">
        <v>4239</v>
      </c>
      <c r="C121" s="17" t="s">
        <v>4240</v>
      </c>
      <c r="D121" s="17" t="s">
        <v>1982</v>
      </c>
      <c r="E121" s="60" t="str">
        <f>VLOOKUP($A121,nist_names_ids!A:B,2,false)</f>
        <v>c1l</v>
      </c>
      <c r="F121" s="61">
        <f>countif(Constants!A:A,E121)</f>
        <v>1</v>
      </c>
      <c r="G121" s="62" t="str">
        <f t="shared" si="1"/>
        <v>1.191042869e-16</v>
      </c>
      <c r="H121" s="62">
        <f t="shared" si="2"/>
        <v>0</v>
      </c>
      <c r="I121" s="62" t="str">
        <f t="shared" si="3"/>
        <v>0.000000053e-16</v>
      </c>
      <c r="J121" s="62">
        <f t="shared" si="4"/>
        <v>0</v>
      </c>
      <c r="K121" s="62" t="b">
        <f t="shared" si="5"/>
        <v>0</v>
      </c>
      <c r="L121" s="62" t="b">
        <f t="shared" si="6"/>
        <v>0</v>
      </c>
      <c r="M121" s="60" t="str">
        <f>IFERROR(__xludf.DUMMYFUNCTION("if(regexmatch(B121,""e(.*)$""),regexextract(B121,""e(.*)$""),"""")"),"-16")</f>
        <v>-16</v>
      </c>
    </row>
    <row r="122">
      <c r="A122" s="17" t="s">
        <v>1984</v>
      </c>
      <c r="B122" s="17" t="s">
        <v>4242</v>
      </c>
      <c r="C122" s="17" t="s">
        <v>4243</v>
      </c>
      <c r="D122" s="17" t="s">
        <v>249</v>
      </c>
      <c r="E122" s="60" t="str">
        <f>VLOOKUP($A122,nist_names_ids!A:B,2,false)</f>
        <v>hru</v>
      </c>
      <c r="F122" s="61">
        <f>countif(Constants!A:A,E122)</f>
        <v>1</v>
      </c>
      <c r="G122" s="62" t="str">
        <f t="shared" si="1"/>
        <v>2.9212623246e-8</v>
      </c>
      <c r="H122" s="62">
        <f t="shared" si="2"/>
        <v>0.00000002921262325</v>
      </c>
      <c r="I122" s="62" t="str">
        <f t="shared" si="3"/>
        <v>0.0000000021e-8</v>
      </c>
      <c r="J122" s="62">
        <f t="shared" si="4"/>
        <v>0</v>
      </c>
      <c r="K122" s="62" t="b">
        <f t="shared" si="5"/>
        <v>0</v>
      </c>
      <c r="L122" s="62" t="b">
        <f t="shared" si="6"/>
        <v>0</v>
      </c>
      <c r="M122" s="60" t="str">
        <f>IFERROR(__xludf.DUMMYFUNCTION("if(regexmatch(B122,""e(.*)$""),regexextract(B122,""e(.*)$""),"""")"),"-8")</f>
        <v>-8</v>
      </c>
    </row>
    <row r="123">
      <c r="A123" s="17" t="s">
        <v>1988</v>
      </c>
      <c r="B123" s="17" t="s">
        <v>3883</v>
      </c>
      <c r="C123" s="17" t="s">
        <v>3884</v>
      </c>
      <c r="D123" s="17" t="s">
        <v>181</v>
      </c>
      <c r="E123" s="60" t="str">
        <f>VLOOKUP($A123,nist_names_ids!A:B,2,false)</f>
        <v>hrev</v>
      </c>
      <c r="F123" s="61">
        <f>countif(Constants!A:A,E123)</f>
        <v>1</v>
      </c>
      <c r="G123" s="62" t="str">
        <f t="shared" si="1"/>
        <v>27.21138505</v>
      </c>
      <c r="H123" s="62">
        <f t="shared" si="2"/>
        <v>27.21138505</v>
      </c>
      <c r="I123" s="62" t="str">
        <f t="shared" si="3"/>
        <v>0.00000060</v>
      </c>
      <c r="J123" s="62">
        <f t="shared" si="4"/>
        <v>0.0000006</v>
      </c>
      <c r="K123" s="62" t="b">
        <f t="shared" si="5"/>
        <v>0</v>
      </c>
      <c r="L123" s="62" t="b">
        <f t="shared" si="6"/>
        <v>0</v>
      </c>
      <c r="M123" s="60" t="str">
        <f>IFERROR(__xludf.DUMMYFUNCTION("if(regexmatch(B123,""e(.*)$""),regexextract(B123,""e(.*)$""),"""")"),"")</f>
        <v/>
      </c>
    </row>
    <row r="124">
      <c r="A124" s="17" t="s">
        <v>1990</v>
      </c>
      <c r="B124" s="17" t="s">
        <v>3892</v>
      </c>
      <c r="C124" s="17" t="s">
        <v>3894</v>
      </c>
      <c r="D124" s="17" t="s">
        <v>173</v>
      </c>
      <c r="E124" s="60" t="str">
        <f>VLOOKUP($A124,nist_names_ids!A:B,2,false)</f>
        <v>hr</v>
      </c>
      <c r="F124" s="61">
        <f>countif(Constants!A:A,E124)</f>
        <v>1</v>
      </c>
      <c r="G124" s="62" t="str">
        <f t="shared" si="1"/>
        <v>4.35974434e-18</v>
      </c>
      <c r="H124" s="62">
        <f t="shared" si="2"/>
        <v>0</v>
      </c>
      <c r="I124" s="62" t="str">
        <f t="shared" si="3"/>
        <v>0.00000019e-18</v>
      </c>
      <c r="J124" s="62">
        <f t="shared" si="4"/>
        <v>0</v>
      </c>
      <c r="K124" s="62" t="b">
        <f t="shared" si="5"/>
        <v>0</v>
      </c>
      <c r="L124" s="62" t="b">
        <f t="shared" si="6"/>
        <v>0</v>
      </c>
      <c r="M124" s="60" t="str">
        <f>IFERROR(__xludf.DUMMYFUNCTION("if(regexmatch(B124,""e(.*)$""),regexextract(B124,""e(.*)$""),"""")"),"-18")</f>
        <v>-18</v>
      </c>
    </row>
    <row r="125">
      <c r="A125" s="17" t="s">
        <v>1993</v>
      </c>
      <c r="B125" s="17" t="s">
        <v>3883</v>
      </c>
      <c r="C125" s="17" t="s">
        <v>3884</v>
      </c>
      <c r="D125" s="17" t="s">
        <v>181</v>
      </c>
      <c r="E125" s="60" t="str">
        <f>VLOOKUP($A125,nist_names_ids!A:B,2,false)</f>
        <v>threv</v>
      </c>
      <c r="F125" s="61">
        <f>countif(Constants!A:A,E125)</f>
        <v>1</v>
      </c>
      <c r="G125" s="62" t="str">
        <f t="shared" si="1"/>
        <v>27.21138505</v>
      </c>
      <c r="H125" s="62">
        <f t="shared" si="2"/>
        <v>27.21138505</v>
      </c>
      <c r="I125" s="62" t="str">
        <f t="shared" si="3"/>
        <v>0.00000060</v>
      </c>
      <c r="J125" s="62">
        <f t="shared" si="4"/>
        <v>0.0000006</v>
      </c>
      <c r="K125" s="62" t="b">
        <f t="shared" si="5"/>
        <v>0</v>
      </c>
      <c r="L125" s="62" t="b">
        <f t="shared" si="6"/>
        <v>0</v>
      </c>
      <c r="M125" s="60" t="str">
        <f>IFERROR(__xludf.DUMMYFUNCTION("if(regexmatch(B125,""e(.*)$""),regexextract(B125,""e(.*)$""),"""")"),"")</f>
        <v/>
      </c>
    </row>
    <row r="126">
      <c r="A126" s="17" t="s">
        <v>1997</v>
      </c>
      <c r="B126" s="17" t="s">
        <v>4251</v>
      </c>
      <c r="C126" s="17" t="s">
        <v>4252</v>
      </c>
      <c r="D126" s="17" t="s">
        <v>257</v>
      </c>
      <c r="E126" s="60" t="str">
        <f>VLOOKUP($A126,nist_names_ids!A:B,2,false)</f>
        <v>hrhz</v>
      </c>
      <c r="F126" s="61">
        <f>countif(Constants!A:A,E126)</f>
        <v>1</v>
      </c>
      <c r="G126" s="62" t="str">
        <f t="shared" si="1"/>
        <v>6.579683920729e15</v>
      </c>
      <c r="H126" s="62">
        <f t="shared" si="2"/>
        <v>6.57968E+15</v>
      </c>
      <c r="I126" s="62" t="str">
        <f t="shared" si="3"/>
        <v>0.000000000033e15</v>
      </c>
      <c r="J126" s="62">
        <f t="shared" si="4"/>
        <v>33000</v>
      </c>
      <c r="K126" s="62" t="b">
        <f t="shared" si="5"/>
        <v>0</v>
      </c>
      <c r="L126" s="62" t="b">
        <f t="shared" si="6"/>
        <v>0</v>
      </c>
      <c r="M126" s="60" t="str">
        <f>IFERROR(__xludf.DUMMYFUNCTION("if(regexmatch(B126,""e(.*)$""),regexextract(B126,""e(.*)$""),"""")"),"15")</f>
        <v>15</v>
      </c>
    </row>
    <row r="127">
      <c r="A127" s="17" t="s">
        <v>2000</v>
      </c>
      <c r="B127" s="17" t="s">
        <v>4254</v>
      </c>
      <c r="C127" s="17" t="s">
        <v>4255</v>
      </c>
      <c r="D127" s="17" t="s">
        <v>561</v>
      </c>
      <c r="E127" s="60" t="str">
        <f>VLOOKUP($A127,nist_names_ids!A:B,2,false)</f>
        <v>hrminv</v>
      </c>
      <c r="F127" s="61">
        <f>countif(Constants!A:A,E127)</f>
        <v>1</v>
      </c>
      <c r="G127" s="62" t="str">
        <f t="shared" si="1"/>
        <v>2.194746313708e7</v>
      </c>
      <c r="H127" s="62">
        <f t="shared" si="2"/>
        <v>21947463.14</v>
      </c>
      <c r="I127" s="62" t="str">
        <f t="shared" si="3"/>
        <v>0.000000000011e7</v>
      </c>
      <c r="J127" s="62">
        <f t="shared" si="4"/>
        <v>0.00011</v>
      </c>
      <c r="K127" s="62" t="b">
        <f t="shared" si="5"/>
        <v>0</v>
      </c>
      <c r="L127" s="62" t="b">
        <f t="shared" si="6"/>
        <v>0</v>
      </c>
      <c r="M127" s="60" t="str">
        <f>IFERROR(__xludf.DUMMYFUNCTION("if(regexmatch(B127,""e(.*)$""),regexextract(B127,""e(.*)$""),"""")"),"7")</f>
        <v>7</v>
      </c>
    </row>
    <row r="128">
      <c r="A128" s="17" t="s">
        <v>2004</v>
      </c>
      <c r="B128" s="17" t="s">
        <v>3892</v>
      </c>
      <c r="C128" s="17" t="s">
        <v>3894</v>
      </c>
      <c r="D128" s="17" t="s">
        <v>173</v>
      </c>
      <c r="E128" s="60" t="str">
        <f>VLOOKUP($A128,nist_names_ids!A:B,2,false)</f>
        <v>hrj</v>
      </c>
      <c r="F128" s="61">
        <f>countif(Constants!A:A,E128)</f>
        <v>1</v>
      </c>
      <c r="G128" s="62" t="str">
        <f t="shared" si="1"/>
        <v>4.35974434e-18</v>
      </c>
      <c r="H128" s="62">
        <f t="shared" si="2"/>
        <v>0</v>
      </c>
      <c r="I128" s="62" t="str">
        <f t="shared" si="3"/>
        <v>0.00000019e-18</v>
      </c>
      <c r="J128" s="62">
        <f t="shared" si="4"/>
        <v>0</v>
      </c>
      <c r="K128" s="62" t="b">
        <f t="shared" si="5"/>
        <v>0</v>
      </c>
      <c r="L128" s="62" t="b">
        <f t="shared" si="6"/>
        <v>0</v>
      </c>
      <c r="M128" s="60" t="str">
        <f>IFERROR(__xludf.DUMMYFUNCTION("if(regexmatch(B128,""e(.*)$""),regexextract(B128,""e(.*)$""),"""")"),"-18")</f>
        <v>-18</v>
      </c>
    </row>
    <row r="129">
      <c r="A129" s="17" t="s">
        <v>2009</v>
      </c>
      <c r="B129" s="17" t="s">
        <v>4262</v>
      </c>
      <c r="C129" s="17" t="s">
        <v>4263</v>
      </c>
      <c r="D129" s="17" t="s">
        <v>345</v>
      </c>
      <c r="E129" s="60" t="str">
        <f>VLOOKUP($A129,nist_names_ids!A:B,2,false)</f>
        <v>hrk</v>
      </c>
      <c r="F129" s="61">
        <f>countif(Constants!A:A,E129)</f>
        <v>1</v>
      </c>
      <c r="G129" s="62" t="str">
        <f t="shared" si="1"/>
        <v>3.1577504e5</v>
      </c>
      <c r="H129" s="62">
        <f t="shared" si="2"/>
        <v>315775.04</v>
      </c>
      <c r="I129" s="62" t="str">
        <f t="shared" si="3"/>
        <v>0.0000029e5</v>
      </c>
      <c r="J129" s="62">
        <f t="shared" si="4"/>
        <v>0.29</v>
      </c>
      <c r="K129" s="62" t="b">
        <f t="shared" si="5"/>
        <v>0</v>
      </c>
      <c r="L129" s="62" t="b">
        <f t="shared" si="6"/>
        <v>0</v>
      </c>
      <c r="M129" s="60" t="str">
        <f>IFERROR(__xludf.DUMMYFUNCTION("if(regexmatch(B129,""e(.*)$""),regexextract(B129,""e(.*)$""),"""")"),"5")</f>
        <v>5</v>
      </c>
    </row>
    <row r="130">
      <c r="A130" s="17" t="s">
        <v>2013</v>
      </c>
      <c r="B130" s="17" t="s">
        <v>4264</v>
      </c>
      <c r="C130" s="17" t="s">
        <v>4265</v>
      </c>
      <c r="D130" s="17" t="s">
        <v>98</v>
      </c>
      <c r="E130" s="60" t="str">
        <f>VLOOKUP($A130,nist_names_ids!A:B,2,false)</f>
        <v>hrkg</v>
      </c>
      <c r="F130" s="61">
        <f>countif(Constants!A:A,E130)</f>
        <v>1</v>
      </c>
      <c r="G130" s="62" t="str">
        <f t="shared" si="1"/>
        <v>4.85086979e-35</v>
      </c>
      <c r="H130" s="62">
        <f t="shared" si="2"/>
        <v>0</v>
      </c>
      <c r="I130" s="62" t="str">
        <f t="shared" si="3"/>
        <v>0.00000021e-35</v>
      </c>
      <c r="J130" s="62">
        <f t="shared" si="4"/>
        <v>0</v>
      </c>
      <c r="K130" s="62" t="b">
        <f t="shared" si="5"/>
        <v>0</v>
      </c>
      <c r="L130" s="62" t="b">
        <f t="shared" si="6"/>
        <v>0</v>
      </c>
      <c r="M130" s="60" t="str">
        <f>IFERROR(__xludf.DUMMYFUNCTION("if(regexmatch(B130,""e(.*)$""),regexextract(B130,""e(.*)$""),"""")"),"-35")</f>
        <v>-35</v>
      </c>
    </row>
    <row r="131">
      <c r="A131" s="17" t="s">
        <v>2018</v>
      </c>
      <c r="B131" s="17" t="s">
        <v>4268</v>
      </c>
      <c r="C131" s="17" t="s">
        <v>4269</v>
      </c>
      <c r="E131" s="60" t="str">
        <f>VLOOKUP($A131,nist_names_ids!A:B,2,false)</f>
        <v>mhsme</v>
      </c>
      <c r="F131" s="61">
        <f>countif(Constants!A:A,E131)</f>
        <v>1</v>
      </c>
      <c r="G131" s="62" t="str">
        <f t="shared" si="1"/>
        <v>5495.8852754</v>
      </c>
      <c r="H131" s="62">
        <f t="shared" si="2"/>
        <v>5495.885275</v>
      </c>
      <c r="I131" s="62" t="str">
        <f t="shared" si="3"/>
        <v>0.0000050</v>
      </c>
      <c r="J131" s="62">
        <f t="shared" si="4"/>
        <v>0.000005</v>
      </c>
      <c r="K131" s="62" t="b">
        <f t="shared" si="5"/>
        <v>0</v>
      </c>
      <c r="L131" s="62" t="b">
        <f t="shared" si="6"/>
        <v>0</v>
      </c>
      <c r="M131" s="60" t="str">
        <f>IFERROR(__xludf.DUMMYFUNCTION("if(regexmatch(B131,""e(.*)$""),regexextract(B131,""e(.*)$""),"""")"),"")</f>
        <v/>
      </c>
    </row>
    <row r="132">
      <c r="A132" s="17" t="s">
        <v>2024</v>
      </c>
      <c r="B132" s="17" t="s">
        <v>4274</v>
      </c>
      <c r="C132" s="17" t="s">
        <v>3032</v>
      </c>
      <c r="E132" s="60" t="str">
        <f>VLOOKUP($A132,nist_names_ids!A:B,2,false)</f>
        <v>ghn</v>
      </c>
      <c r="F132" s="61">
        <f>countif(Constants!A:A,E132)</f>
        <v>1</v>
      </c>
      <c r="G132" s="62" t="str">
        <f t="shared" si="1"/>
        <v>-4.255250613</v>
      </c>
      <c r="H132" s="62">
        <f t="shared" si="2"/>
        <v>-4.255250613</v>
      </c>
      <c r="I132" s="62" t="str">
        <f t="shared" si="3"/>
        <v>0.000000050</v>
      </c>
      <c r="J132" s="62">
        <f t="shared" si="4"/>
        <v>0.00000005</v>
      </c>
      <c r="K132" s="62" t="b">
        <f t="shared" si="5"/>
        <v>0</v>
      </c>
      <c r="L132" s="62" t="b">
        <f t="shared" si="6"/>
        <v>0</v>
      </c>
      <c r="M132" s="60" t="str">
        <f>IFERROR(__xludf.DUMMYFUNCTION("if(regexmatch(B132,""e(.*)$""),regexextract(B132,""e(.*)$""),"""")"),"")</f>
        <v/>
      </c>
    </row>
    <row r="133">
      <c r="A133" s="17" t="s">
        <v>2036</v>
      </c>
      <c r="B133" s="17" t="s">
        <v>4275</v>
      </c>
      <c r="C133" s="17" t="s">
        <v>4276</v>
      </c>
      <c r="D133" s="17" t="s">
        <v>964</v>
      </c>
      <c r="E133" s="60" t="str">
        <f>VLOOKUP($A133,nist_names_ids!A:B,2,false)</f>
        <v>muh</v>
      </c>
      <c r="F133" s="61">
        <f>countif(Constants!A:A,E133)</f>
        <v>1</v>
      </c>
      <c r="G133" s="62" t="str">
        <f t="shared" si="1"/>
        <v>-1.074617486e-26</v>
      </c>
      <c r="H133" s="62">
        <f t="shared" si="2"/>
        <v>0</v>
      </c>
      <c r="I133" s="62" t="str">
        <f t="shared" si="3"/>
        <v>0.000000027e-26</v>
      </c>
      <c r="J133" s="62">
        <f t="shared" si="4"/>
        <v>0</v>
      </c>
      <c r="K133" s="62" t="b">
        <f t="shared" si="5"/>
        <v>0</v>
      </c>
      <c r="L133" s="62" t="b">
        <f t="shared" si="6"/>
        <v>0</v>
      </c>
      <c r="M133" s="60" t="str">
        <f>IFERROR(__xludf.DUMMYFUNCTION("if(regexmatch(B133,""e(.*)$""),regexextract(B133,""e(.*)$""),"""")"),"-26")</f>
        <v>-26</v>
      </c>
    </row>
    <row r="134">
      <c r="A134" s="17" t="s">
        <v>2042</v>
      </c>
      <c r="B134" s="17" t="s">
        <v>3035</v>
      </c>
      <c r="C134" s="17" t="s">
        <v>3036</v>
      </c>
      <c r="E134" s="60" t="str">
        <f>VLOOKUP($A134,nist_names_ids!A:B,2,false)</f>
        <v>muhsmub</v>
      </c>
      <c r="F134" s="61">
        <f>countif(Constants!A:A,E134)</f>
        <v>1</v>
      </c>
      <c r="G134" s="62" t="str">
        <f t="shared" si="1"/>
        <v>-1.158740958e-3</v>
      </c>
      <c r="H134" s="62">
        <f t="shared" si="2"/>
        <v>-0.001158740958</v>
      </c>
      <c r="I134" s="62" t="str">
        <f t="shared" si="3"/>
        <v>0.000000014e-3</v>
      </c>
      <c r="J134" s="62">
        <f t="shared" si="4"/>
        <v>0</v>
      </c>
      <c r="K134" s="62" t="b">
        <f t="shared" si="5"/>
        <v>0</v>
      </c>
      <c r="L134" s="62" t="b">
        <f t="shared" si="6"/>
        <v>0</v>
      </c>
      <c r="M134" s="60" t="str">
        <f>IFERROR(__xludf.DUMMYFUNCTION("if(regexmatch(B134,""e(.*)$""),regexextract(B134,""e(.*)$""),"""")"),"-3")</f>
        <v>-3</v>
      </c>
    </row>
    <row r="135">
      <c r="A135" s="17" t="s">
        <v>2045</v>
      </c>
      <c r="B135" s="17" t="s">
        <v>4279</v>
      </c>
      <c r="C135" s="17" t="s">
        <v>3043</v>
      </c>
      <c r="E135" s="60" t="str">
        <f>VLOOKUP($A135,nist_names_ids!A:B,2,false)</f>
        <v>muhsmun</v>
      </c>
      <c r="F135" s="61">
        <f>countif(Constants!A:A,E135)</f>
        <v>1</v>
      </c>
      <c r="G135" s="62" t="str">
        <f t="shared" si="1"/>
        <v>-2.127625306</v>
      </c>
      <c r="H135" s="62">
        <f t="shared" si="2"/>
        <v>-2.127625306</v>
      </c>
      <c r="I135" s="62" t="str">
        <f t="shared" si="3"/>
        <v>0.000000025</v>
      </c>
      <c r="J135" s="62">
        <f t="shared" si="4"/>
        <v>0.000000025</v>
      </c>
      <c r="K135" s="62" t="b">
        <f t="shared" si="5"/>
        <v>0</v>
      </c>
      <c r="L135" s="62" t="b">
        <f t="shared" si="6"/>
        <v>0</v>
      </c>
      <c r="M135" s="60" t="str">
        <f>IFERROR(__xludf.DUMMYFUNCTION("if(regexmatch(B135,""e(.*)$""),regexextract(B135,""e(.*)$""),"""")"),"")</f>
        <v/>
      </c>
    </row>
    <row r="136">
      <c r="A136" s="17" t="s">
        <v>2052</v>
      </c>
      <c r="B136" s="17" t="s">
        <v>4280</v>
      </c>
      <c r="C136" s="17" t="s">
        <v>4281</v>
      </c>
      <c r="D136" s="17" t="s">
        <v>98</v>
      </c>
      <c r="E136" s="60" t="str">
        <f>VLOOKUP($A136,nist_names_ids!A:B,2,false)</f>
        <v>mh</v>
      </c>
      <c r="F136" s="61">
        <f>countif(Constants!A:A,E136)</f>
        <v>1</v>
      </c>
      <c r="G136" s="62" t="str">
        <f t="shared" si="1"/>
        <v>5.00641234e-27</v>
      </c>
      <c r="H136" s="62">
        <f t="shared" si="2"/>
        <v>0</v>
      </c>
      <c r="I136" s="62" t="str">
        <f t="shared" si="3"/>
        <v>0.00000022e-27</v>
      </c>
      <c r="J136" s="62">
        <f t="shared" si="4"/>
        <v>0</v>
      </c>
      <c r="K136" s="62" t="b">
        <f t="shared" si="5"/>
        <v>0</v>
      </c>
      <c r="L136" s="62" t="b">
        <f t="shared" si="6"/>
        <v>0</v>
      </c>
      <c r="M136" s="60" t="str">
        <f>IFERROR(__xludf.DUMMYFUNCTION("if(regexmatch(B136,""e(.*)$""),regexextract(B136,""e(.*)$""),"""")"),"-27")</f>
        <v>-27</v>
      </c>
    </row>
    <row r="137">
      <c r="A137" s="17" t="s">
        <v>2056</v>
      </c>
      <c r="B137" s="17" t="s">
        <v>4284</v>
      </c>
      <c r="C137" s="17" t="s">
        <v>4285</v>
      </c>
      <c r="D137" s="17" t="s">
        <v>173</v>
      </c>
      <c r="E137" s="60" t="str">
        <f>VLOOKUP($A137,nist_names_ids!A:B,2,false)</f>
        <v>mhc2</v>
      </c>
      <c r="F137" s="61">
        <f>countif(Constants!A:A,E137)</f>
        <v>1</v>
      </c>
      <c r="G137" s="62" t="str">
        <f t="shared" si="1"/>
        <v>4.49953902e-10</v>
      </c>
      <c r="H137" s="62">
        <f t="shared" si="2"/>
        <v>0.000000000449953902</v>
      </c>
      <c r="I137" s="62" t="str">
        <f t="shared" si="3"/>
        <v>0.00000020e-10</v>
      </c>
      <c r="J137" s="62">
        <f t="shared" si="4"/>
        <v>0</v>
      </c>
      <c r="K137" s="62" t="b">
        <f t="shared" si="5"/>
        <v>0</v>
      </c>
      <c r="L137" s="62" t="b">
        <f t="shared" si="6"/>
        <v>0</v>
      </c>
      <c r="M137" s="60" t="str">
        <f>IFERROR(__xludf.DUMMYFUNCTION("if(regexmatch(B137,""e(.*)$""),regexextract(B137,""e(.*)$""),"""")"),"-10")</f>
        <v>-10</v>
      </c>
    </row>
    <row r="138">
      <c r="A138" s="17" t="s">
        <v>2063</v>
      </c>
      <c r="B138" s="17" t="s">
        <v>4286</v>
      </c>
      <c r="C138" s="17" t="s">
        <v>4287</v>
      </c>
      <c r="D138" s="17" t="s">
        <v>224</v>
      </c>
      <c r="E138" s="60" t="str">
        <f>VLOOKUP($A138,nist_names_ids!A:B,2,false)</f>
        <v>mhc2mev</v>
      </c>
      <c r="F138" s="61">
        <f>countif(Constants!A:A,E138)</f>
        <v>1</v>
      </c>
      <c r="G138" s="62" t="str">
        <f t="shared" si="1"/>
        <v>2808.391482</v>
      </c>
      <c r="H138" s="62">
        <f t="shared" si="2"/>
        <v>2808.391482</v>
      </c>
      <c r="I138" s="62" t="str">
        <f t="shared" si="3"/>
        <v>0.000062</v>
      </c>
      <c r="J138" s="62">
        <f t="shared" si="4"/>
        <v>0.000062</v>
      </c>
      <c r="K138" s="62" t="b">
        <f t="shared" si="5"/>
        <v>0</v>
      </c>
      <c r="L138" s="62" t="b">
        <f t="shared" si="6"/>
        <v>0</v>
      </c>
      <c r="M138" s="60" t="str">
        <f>IFERROR(__xludf.DUMMYFUNCTION("if(regexmatch(B138,""e(.*)$""),regexextract(B138,""e(.*)$""),"""")"),"")</f>
        <v/>
      </c>
    </row>
    <row r="139">
      <c r="A139" s="17" t="s">
        <v>2067</v>
      </c>
      <c r="B139" s="17" t="s">
        <v>4289</v>
      </c>
      <c r="C139" s="17" t="s">
        <v>2369</v>
      </c>
      <c r="D139" s="17" t="s">
        <v>249</v>
      </c>
      <c r="E139" s="60" t="str">
        <f>VLOOKUP($A139,nist_names_ids!A:B,2,false)</f>
        <v>mhu</v>
      </c>
      <c r="F139" s="61">
        <f>countif(Constants!A:A,E139)</f>
        <v>1</v>
      </c>
      <c r="G139" s="62" t="str">
        <f t="shared" si="1"/>
        <v>3.0149322468</v>
      </c>
      <c r="H139" s="62">
        <f t="shared" si="2"/>
        <v>3.014932247</v>
      </c>
      <c r="I139" s="62" t="str">
        <f t="shared" si="3"/>
        <v>0.0000000025</v>
      </c>
      <c r="J139" s="62">
        <f t="shared" si="4"/>
        <v>0.0000000025</v>
      </c>
      <c r="K139" s="62" t="b">
        <f t="shared" si="5"/>
        <v>0</v>
      </c>
      <c r="L139" s="62" t="b">
        <f t="shared" si="6"/>
        <v>0</v>
      </c>
      <c r="M139" s="60" t="str">
        <f>IFERROR(__xludf.DUMMYFUNCTION("if(regexmatch(B139,""e(.*)$""),regexextract(B139,""e(.*)$""),"""")"),"")</f>
        <v/>
      </c>
    </row>
    <row r="140">
      <c r="A140" s="17" t="s">
        <v>2070</v>
      </c>
      <c r="B140" s="17" t="s">
        <v>4291</v>
      </c>
      <c r="C140" s="17" t="s">
        <v>3791</v>
      </c>
      <c r="D140" s="17" t="s">
        <v>286</v>
      </c>
      <c r="E140" s="60" t="str">
        <f>VLOOKUP($A140,nist_names_ids!A:B,2,false)</f>
        <v>mmh</v>
      </c>
      <c r="F140" s="61">
        <f>countif(Constants!A:A,E140)</f>
        <v>1</v>
      </c>
      <c r="G140" s="62" t="str">
        <f t="shared" si="1"/>
        <v>3.0149322468e-3</v>
      </c>
      <c r="H140" s="62">
        <f t="shared" si="2"/>
        <v>0.003014932247</v>
      </c>
      <c r="I140" s="62" t="str">
        <f t="shared" si="3"/>
        <v>0.0000000025e-3</v>
      </c>
      <c r="J140" s="62">
        <f t="shared" si="4"/>
        <v>0</v>
      </c>
      <c r="K140" s="62" t="b">
        <f t="shared" si="5"/>
        <v>0</v>
      </c>
      <c r="L140" s="62" t="b">
        <f t="shared" si="6"/>
        <v>0</v>
      </c>
      <c r="M140" s="60" t="str">
        <f>IFERROR(__xludf.DUMMYFUNCTION("if(regexmatch(B140,""e(.*)$""),regexextract(B140,""e(.*)$""),"""")"),"-3")</f>
        <v>-3</v>
      </c>
    </row>
    <row r="141">
      <c r="A141" s="17" t="s">
        <v>2073</v>
      </c>
      <c r="B141" s="17" t="s">
        <v>4293</v>
      </c>
      <c r="C141" s="17" t="s">
        <v>2369</v>
      </c>
      <c r="E141" s="60" t="str">
        <f>VLOOKUP($A141,nist_names_ids!A:B,2,false)</f>
        <v>mhsmp</v>
      </c>
      <c r="F141" s="61">
        <f>countif(Constants!A:A,E141)</f>
        <v>1</v>
      </c>
      <c r="G141" s="62" t="str">
        <f t="shared" si="1"/>
        <v>2.9931526707</v>
      </c>
      <c r="H141" s="62">
        <f t="shared" si="2"/>
        <v>2.993152671</v>
      </c>
      <c r="I141" s="62" t="str">
        <f t="shared" si="3"/>
        <v>0.0000000025</v>
      </c>
      <c r="J141" s="62">
        <f t="shared" si="4"/>
        <v>0.0000000025</v>
      </c>
      <c r="K141" s="62" t="b">
        <f t="shared" si="5"/>
        <v>0</v>
      </c>
      <c r="L141" s="62" t="b">
        <f t="shared" si="6"/>
        <v>0</v>
      </c>
      <c r="M141" s="60" t="str">
        <f>IFERROR(__xludf.DUMMYFUNCTION("if(regexmatch(B141,""e(.*)$""),regexextract(B141,""e(.*)$""),"""")"),"")</f>
        <v/>
      </c>
    </row>
    <row r="142">
      <c r="A142" s="17" t="s">
        <v>2093</v>
      </c>
      <c r="B142" s="17" t="s">
        <v>4294</v>
      </c>
      <c r="C142" s="17" t="s">
        <v>4295</v>
      </c>
      <c r="D142" s="17" t="s">
        <v>249</v>
      </c>
      <c r="E142" s="60" t="str">
        <f>VLOOKUP($A142,nist_names_ids!A:B,2,false)</f>
        <v>hzu</v>
      </c>
      <c r="F142" s="61">
        <f>countif(Constants!A:A,E142)</f>
        <v>1</v>
      </c>
      <c r="G142" s="62" t="str">
        <f t="shared" si="1"/>
        <v>4.4398216689e-24</v>
      </c>
      <c r="H142" s="62">
        <f t="shared" si="2"/>
        <v>0</v>
      </c>
      <c r="I142" s="62" t="str">
        <f t="shared" si="3"/>
        <v>0.0000000031e-24</v>
      </c>
      <c r="J142" s="62">
        <f t="shared" si="4"/>
        <v>0</v>
      </c>
      <c r="K142" s="62" t="b">
        <f t="shared" si="5"/>
        <v>0</v>
      </c>
      <c r="L142" s="62" t="b">
        <f t="shared" si="6"/>
        <v>0</v>
      </c>
      <c r="M142" s="60" t="str">
        <f>IFERROR(__xludf.DUMMYFUNCTION("if(regexmatch(B142,""e(.*)$""),regexextract(B142,""e(.*)$""),"""")"),"-24")</f>
        <v>-24</v>
      </c>
    </row>
    <row r="143">
      <c r="A143" s="17" t="s">
        <v>2099</v>
      </c>
      <c r="B143" s="17" t="s">
        <v>4298</v>
      </c>
      <c r="C143" s="17" t="s">
        <v>4299</v>
      </c>
      <c r="D143" s="17" t="s">
        <v>181</v>
      </c>
      <c r="E143" s="60" t="str">
        <f>VLOOKUP($A143,nist_names_ids!A:B,2,false)</f>
        <v>hzev</v>
      </c>
      <c r="F143" s="61">
        <f>countif(Constants!A:A,E143)</f>
        <v>1</v>
      </c>
      <c r="G143" s="62" t="str">
        <f t="shared" si="1"/>
        <v>4.135667516e-15</v>
      </c>
      <c r="H143" s="62">
        <f t="shared" si="2"/>
        <v>0</v>
      </c>
      <c r="I143" s="62" t="str">
        <f t="shared" si="3"/>
        <v>0.000000091e-15</v>
      </c>
      <c r="J143" s="62">
        <f t="shared" si="4"/>
        <v>0</v>
      </c>
      <c r="K143" s="62" t="b">
        <f t="shared" si="5"/>
        <v>0</v>
      </c>
      <c r="L143" s="62" t="b">
        <f t="shared" si="6"/>
        <v>0</v>
      </c>
      <c r="M143" s="60" t="str">
        <f>IFERROR(__xludf.DUMMYFUNCTION("if(regexmatch(B143,""e(.*)$""),regexextract(B143,""e(.*)$""),"""")"),"-15")</f>
        <v>-15</v>
      </c>
    </row>
    <row r="144">
      <c r="A144" s="17" t="s">
        <v>2103</v>
      </c>
      <c r="B144" s="17" t="s">
        <v>4301</v>
      </c>
      <c r="C144" s="17" t="s">
        <v>4302</v>
      </c>
      <c r="D144" s="17" t="s">
        <v>170</v>
      </c>
      <c r="E144" s="60" t="str">
        <f>VLOOKUP($A144,nist_names_ids!A:B,2,false)</f>
        <v>hzhr</v>
      </c>
      <c r="F144" s="61">
        <f>countif(Constants!A:A,E144)</f>
        <v>1</v>
      </c>
      <c r="G144" s="62" t="str">
        <f t="shared" si="1"/>
        <v>1.5198298460045e-16</v>
      </c>
      <c r="H144" s="62">
        <f t="shared" si="2"/>
        <v>0</v>
      </c>
      <c r="I144" s="62" t="str">
        <f t="shared" si="3"/>
        <v>0.0000000000076e-16</v>
      </c>
      <c r="J144" s="62">
        <f t="shared" si="4"/>
        <v>0</v>
      </c>
      <c r="K144" s="62" t="b">
        <f t="shared" si="5"/>
        <v>0</v>
      </c>
      <c r="L144" s="62" t="b">
        <f t="shared" si="6"/>
        <v>0</v>
      </c>
      <c r="M144" s="60" t="str">
        <f>IFERROR(__xludf.DUMMYFUNCTION("if(regexmatch(B144,""e(.*)$""),regexextract(B144,""e(.*)$""),"""")"),"-16")</f>
        <v>-16</v>
      </c>
    </row>
    <row r="145">
      <c r="A145" s="17" t="s">
        <v>2108</v>
      </c>
      <c r="B145" s="17" t="s">
        <v>3081</v>
      </c>
      <c r="C145" s="17" t="s">
        <v>1501</v>
      </c>
      <c r="D145" s="17" t="s">
        <v>561</v>
      </c>
      <c r="E145" s="60" t="str">
        <f>VLOOKUP($A145,nist_names_ids!A:B,2,false)</f>
        <v>hzminv</v>
      </c>
      <c r="F145" s="61">
        <f>countif(Constants!A:A,E145)</f>
        <v>1</v>
      </c>
      <c r="G145" s="62" t="str">
        <f t="shared" si="1"/>
        <v>3.335640951e-9</v>
      </c>
      <c r="H145" s="62">
        <f t="shared" si="2"/>
        <v>0.000000003335640951</v>
      </c>
      <c r="I145" s="62" t="str">
        <f t="shared" si="3"/>
        <v>(exact)</v>
      </c>
      <c r="J145" s="62" t="str">
        <f t="shared" si="4"/>
        <v/>
      </c>
      <c r="K145" s="62" t="b">
        <f t="shared" si="5"/>
        <v>1</v>
      </c>
      <c r="L145" s="62" t="b">
        <f t="shared" si="6"/>
        <v>1</v>
      </c>
      <c r="M145" s="60" t="str">
        <f>IFERROR(__xludf.DUMMYFUNCTION("if(regexmatch(B145,""e(.*)$""),regexextract(B145,""e(.*)$""),"""")"),"-9")</f>
        <v>-9</v>
      </c>
    </row>
    <row r="146">
      <c r="A146" s="17" t="s">
        <v>2110</v>
      </c>
      <c r="B146" s="17" t="s">
        <v>4306</v>
      </c>
      <c r="C146" s="17" t="s">
        <v>4308</v>
      </c>
      <c r="D146" s="17" t="s">
        <v>173</v>
      </c>
      <c r="E146" s="60" t="str">
        <f>VLOOKUP($A146,nist_names_ids!A:B,2,false)</f>
        <v>hzj</v>
      </c>
      <c r="F146" s="61">
        <f>countif(Constants!A:A,E146)</f>
        <v>1</v>
      </c>
      <c r="G146" s="62" t="str">
        <f t="shared" si="1"/>
        <v>6.62606957e-34</v>
      </c>
      <c r="H146" s="62">
        <f t="shared" si="2"/>
        <v>0</v>
      </c>
      <c r="I146" s="62" t="str">
        <f t="shared" si="3"/>
        <v>0.00000029e-34</v>
      </c>
      <c r="J146" s="62">
        <f t="shared" si="4"/>
        <v>0</v>
      </c>
      <c r="K146" s="62" t="b">
        <f t="shared" si="5"/>
        <v>0</v>
      </c>
      <c r="L146" s="62" t="b">
        <f t="shared" si="6"/>
        <v>0</v>
      </c>
      <c r="M146" s="60" t="str">
        <f>IFERROR(__xludf.DUMMYFUNCTION("if(regexmatch(B146,""e(.*)$""),regexextract(B146,""e(.*)$""),"""")"),"-34")</f>
        <v>-34</v>
      </c>
    </row>
    <row r="147">
      <c r="A147" s="17" t="s">
        <v>2116</v>
      </c>
      <c r="B147" s="17" t="s">
        <v>4312</v>
      </c>
      <c r="C147" s="17" t="s">
        <v>4313</v>
      </c>
      <c r="D147" s="17" t="s">
        <v>345</v>
      </c>
      <c r="E147" s="60" t="str">
        <f>VLOOKUP($A147,nist_names_ids!A:B,2,false)</f>
        <v>hzk</v>
      </c>
      <c r="F147" s="61">
        <f>countif(Constants!A:A,E147)</f>
        <v>1</v>
      </c>
      <c r="G147" s="62" t="str">
        <f t="shared" si="1"/>
        <v>4.7992434e-11</v>
      </c>
      <c r="H147" s="62">
        <f t="shared" si="2"/>
        <v>0</v>
      </c>
      <c r="I147" s="62" t="str">
        <f t="shared" si="3"/>
        <v>0.0000044e-11</v>
      </c>
      <c r="J147" s="62">
        <f t="shared" si="4"/>
        <v>0</v>
      </c>
      <c r="K147" s="62" t="b">
        <f t="shared" si="5"/>
        <v>0</v>
      </c>
      <c r="L147" s="62" t="b">
        <f t="shared" si="6"/>
        <v>0</v>
      </c>
      <c r="M147" s="60" t="str">
        <f>IFERROR(__xludf.DUMMYFUNCTION("if(regexmatch(B147,""e(.*)$""),regexextract(B147,""e(.*)$""),"""")"),"-11")</f>
        <v>-11</v>
      </c>
    </row>
    <row r="148">
      <c r="A148" s="17" t="s">
        <v>2119</v>
      </c>
      <c r="B148" s="17" t="s">
        <v>4315</v>
      </c>
      <c r="C148" s="17" t="s">
        <v>4316</v>
      </c>
      <c r="D148" s="17" t="s">
        <v>98</v>
      </c>
      <c r="E148" s="60" t="str">
        <f>VLOOKUP($A148,nist_names_ids!A:B,2,false)</f>
        <v>hzkg</v>
      </c>
      <c r="F148" s="61">
        <f>countif(Constants!A:A,E148)</f>
        <v>1</v>
      </c>
      <c r="G148" s="62" t="str">
        <f t="shared" si="1"/>
        <v>7.37249668e-51</v>
      </c>
      <c r="H148" s="62">
        <f t="shared" si="2"/>
        <v>0</v>
      </c>
      <c r="I148" s="62" t="str">
        <f t="shared" si="3"/>
        <v>0.00000033e-51</v>
      </c>
      <c r="J148" s="62">
        <f t="shared" si="4"/>
        <v>0</v>
      </c>
      <c r="K148" s="62" t="b">
        <f t="shared" si="5"/>
        <v>0</v>
      </c>
      <c r="L148" s="62" t="b">
        <f t="shared" si="6"/>
        <v>0</v>
      </c>
      <c r="M148" s="60" t="str">
        <f>IFERROR(__xludf.DUMMYFUNCTION("if(regexmatch(B148,""e(.*)$""),regexextract(B148,""e(.*)$""),"""")"),"-51")</f>
        <v>-51</v>
      </c>
    </row>
    <row r="149">
      <c r="A149" s="17" t="s">
        <v>2126</v>
      </c>
      <c r="B149" s="17" t="s">
        <v>4318</v>
      </c>
      <c r="C149" s="17" t="s">
        <v>4319</v>
      </c>
      <c r="E149" s="60" t="str">
        <f>VLOOKUP($A149,nist_names_ids!A:B,2,false)</f>
        <v>alphinv</v>
      </c>
      <c r="F149" s="61">
        <f>countif(Constants!A:A,E149)</f>
        <v>1</v>
      </c>
      <c r="G149" s="62" t="str">
        <f t="shared" si="1"/>
        <v>137.035999074</v>
      </c>
      <c r="H149" s="62">
        <f t="shared" si="2"/>
        <v>137.0359991</v>
      </c>
      <c r="I149" s="62" t="str">
        <f t="shared" si="3"/>
        <v>0.000000044</v>
      </c>
      <c r="J149" s="62">
        <f t="shared" si="4"/>
        <v>0.000000044</v>
      </c>
      <c r="K149" s="62" t="b">
        <f t="shared" si="5"/>
        <v>0</v>
      </c>
      <c r="L149" s="62" t="b">
        <f t="shared" si="6"/>
        <v>0</v>
      </c>
      <c r="M149" s="60" t="str">
        <f>IFERROR(__xludf.DUMMYFUNCTION("if(regexmatch(B149,""e(.*)$""),regexextract(B149,""e(.*)$""),"""")"),"")</f>
        <v/>
      </c>
    </row>
    <row r="150">
      <c r="A150" s="17" t="s">
        <v>2130</v>
      </c>
      <c r="B150" s="17" t="s">
        <v>4321</v>
      </c>
      <c r="C150" s="17" t="s">
        <v>4322</v>
      </c>
      <c r="D150" s="17" t="s">
        <v>249</v>
      </c>
      <c r="E150" s="60" t="str">
        <f>VLOOKUP($A150,nist_names_ids!A:B,2,false)</f>
        <v>minvu</v>
      </c>
      <c r="F150" s="61">
        <f>countif(Constants!A:A,E150)</f>
        <v>1</v>
      </c>
      <c r="G150" s="62" t="str">
        <f t="shared" si="1"/>
        <v>1.33102505120e-15</v>
      </c>
      <c r="H150" s="62">
        <f t="shared" si="2"/>
        <v>0</v>
      </c>
      <c r="I150" s="62" t="str">
        <f t="shared" si="3"/>
        <v>0.00000000094e-15</v>
      </c>
      <c r="J150" s="62">
        <f t="shared" si="4"/>
        <v>0</v>
      </c>
      <c r="K150" s="62" t="b">
        <f t="shared" si="5"/>
        <v>0</v>
      </c>
      <c r="L150" s="62" t="b">
        <f t="shared" si="6"/>
        <v>0</v>
      </c>
      <c r="M150" s="60" t="str">
        <f>IFERROR(__xludf.DUMMYFUNCTION("if(regexmatch(B150,""e(.*)$""),regexextract(B150,""e(.*)$""),"""")"),"-15")</f>
        <v>-15</v>
      </c>
    </row>
    <row r="151">
      <c r="A151" s="17" t="s">
        <v>2134</v>
      </c>
      <c r="B151" s="17" t="s">
        <v>4328</v>
      </c>
      <c r="C151" s="17" t="s">
        <v>4329</v>
      </c>
      <c r="D151" s="17" t="s">
        <v>181</v>
      </c>
      <c r="E151" s="60" t="str">
        <f>VLOOKUP($A151,nist_names_ids!A:B,2,false)</f>
        <v>minvev</v>
      </c>
      <c r="F151" s="61">
        <f>countif(Constants!A:A,E151)</f>
        <v>1</v>
      </c>
      <c r="G151" s="62" t="str">
        <f t="shared" si="1"/>
        <v>1.239841930e-6</v>
      </c>
      <c r="H151" s="62">
        <f t="shared" si="2"/>
        <v>0.00000123984193</v>
      </c>
      <c r="I151" s="62" t="str">
        <f t="shared" si="3"/>
        <v>0.000000027e-6</v>
      </c>
      <c r="J151" s="62">
        <f t="shared" si="4"/>
        <v>0</v>
      </c>
      <c r="K151" s="62" t="b">
        <f t="shared" si="5"/>
        <v>0</v>
      </c>
      <c r="L151" s="62" t="b">
        <f t="shared" si="6"/>
        <v>0</v>
      </c>
      <c r="M151" s="60" t="str">
        <f>IFERROR(__xludf.DUMMYFUNCTION("if(regexmatch(B151,""e(.*)$""),regexextract(B151,""e(.*)$""),"""")"),"-6")</f>
        <v>-6</v>
      </c>
    </row>
    <row r="152">
      <c r="A152" s="17" t="s">
        <v>2137</v>
      </c>
      <c r="B152" s="17" t="s">
        <v>4330</v>
      </c>
      <c r="C152" s="17" t="s">
        <v>4331</v>
      </c>
      <c r="D152" s="17" t="s">
        <v>170</v>
      </c>
      <c r="E152" s="60" t="str">
        <f>VLOOKUP($A152,nist_names_ids!A:B,2,false)</f>
        <v>minvhr</v>
      </c>
      <c r="F152" s="61">
        <f>countif(Constants!A:A,E152)</f>
        <v>1</v>
      </c>
      <c r="G152" s="62" t="str">
        <f t="shared" si="1"/>
        <v>4.556335252755e-8</v>
      </c>
      <c r="H152" s="62">
        <f t="shared" si="2"/>
        <v>0.00000004556335253</v>
      </c>
      <c r="I152" s="62" t="str">
        <f t="shared" si="3"/>
        <v>0.000000000023e-8</v>
      </c>
      <c r="J152" s="62">
        <f t="shared" si="4"/>
        <v>0</v>
      </c>
      <c r="K152" s="62" t="b">
        <f t="shared" si="5"/>
        <v>0</v>
      </c>
      <c r="L152" s="62" t="b">
        <f t="shared" si="6"/>
        <v>0</v>
      </c>
      <c r="M152" s="60" t="str">
        <f>IFERROR(__xludf.DUMMYFUNCTION("if(regexmatch(B152,""e(.*)$""),regexextract(B152,""e(.*)$""),"""")"),"-8")</f>
        <v>-8</v>
      </c>
    </row>
    <row r="153">
      <c r="A153" s="17" t="s">
        <v>2144</v>
      </c>
      <c r="B153" s="17" t="s">
        <v>3106</v>
      </c>
      <c r="C153" s="17" t="s">
        <v>1501</v>
      </c>
      <c r="D153" s="17" t="s">
        <v>257</v>
      </c>
      <c r="E153" s="60" t="str">
        <f>VLOOKUP($A153,nist_names_ids!A:B,2,false)</f>
        <v>minvhz</v>
      </c>
      <c r="F153" s="61">
        <f>countif(Constants!A:A,E153)</f>
        <v>1</v>
      </c>
      <c r="G153" s="62" t="str">
        <f t="shared" si="1"/>
        <v>299792458</v>
      </c>
      <c r="H153" s="62">
        <f t="shared" si="2"/>
        <v>299792458</v>
      </c>
      <c r="I153" s="62" t="str">
        <f t="shared" si="3"/>
        <v>(exact)</v>
      </c>
      <c r="J153" s="62" t="str">
        <f t="shared" si="4"/>
        <v/>
      </c>
      <c r="K153" s="62" t="b">
        <f t="shared" si="5"/>
        <v>1</v>
      </c>
      <c r="L153" s="62" t="b">
        <f t="shared" si="6"/>
        <v>0</v>
      </c>
      <c r="M153" s="60" t="str">
        <f>IFERROR(__xludf.DUMMYFUNCTION("if(regexmatch(B153,""e(.*)$""),regexextract(B153,""e(.*)$""),"""")"),"")</f>
        <v/>
      </c>
    </row>
    <row r="154">
      <c r="A154" s="17" t="s">
        <v>2147</v>
      </c>
      <c r="B154" s="17" t="s">
        <v>4334</v>
      </c>
      <c r="C154" s="17" t="s">
        <v>4335</v>
      </c>
      <c r="D154" s="17" t="s">
        <v>173</v>
      </c>
      <c r="E154" s="60" t="str">
        <f>VLOOKUP($A154,nist_names_ids!A:B,2,false)</f>
        <v>minvj</v>
      </c>
      <c r="F154" s="61">
        <f>countif(Constants!A:A,E154)</f>
        <v>1</v>
      </c>
      <c r="G154" s="62" t="str">
        <f t="shared" si="1"/>
        <v>1.986445684e-25</v>
      </c>
      <c r="H154" s="62">
        <f t="shared" si="2"/>
        <v>0</v>
      </c>
      <c r="I154" s="62" t="str">
        <f t="shared" si="3"/>
        <v>0.000000088e-25</v>
      </c>
      <c r="J154" s="62">
        <f t="shared" si="4"/>
        <v>0</v>
      </c>
      <c r="K154" s="62" t="b">
        <f t="shared" si="5"/>
        <v>0</v>
      </c>
      <c r="L154" s="62" t="b">
        <f t="shared" si="6"/>
        <v>0</v>
      </c>
      <c r="M154" s="60" t="str">
        <f>IFERROR(__xludf.DUMMYFUNCTION("if(regexmatch(B154,""e(.*)$""),regexextract(B154,""e(.*)$""),"""")"),"-25")</f>
        <v>-25</v>
      </c>
    </row>
    <row r="155">
      <c r="A155" s="17" t="s">
        <v>2150</v>
      </c>
      <c r="B155" s="17" t="s">
        <v>4339</v>
      </c>
      <c r="C155" s="17" t="s">
        <v>4340</v>
      </c>
      <c r="D155" s="17" t="s">
        <v>345</v>
      </c>
      <c r="E155" s="60" t="str">
        <f>VLOOKUP($A155,nist_names_ids!A:B,2,false)</f>
        <v>minvk</v>
      </c>
      <c r="F155" s="61">
        <f>countif(Constants!A:A,E155)</f>
        <v>1</v>
      </c>
      <c r="G155" s="62" t="str">
        <f t="shared" si="1"/>
        <v>1.4387770e-2</v>
      </c>
      <c r="H155" s="62">
        <f t="shared" si="2"/>
        <v>0.01438777</v>
      </c>
      <c r="I155" s="62" t="str">
        <f t="shared" si="3"/>
        <v>0.0000013e-2</v>
      </c>
      <c r="J155" s="62">
        <f t="shared" si="4"/>
        <v>0.000000013</v>
      </c>
      <c r="K155" s="62" t="b">
        <f t="shared" si="5"/>
        <v>0</v>
      </c>
      <c r="L155" s="62" t="b">
        <f t="shared" si="6"/>
        <v>0</v>
      </c>
      <c r="M155" s="60" t="str">
        <f>IFERROR(__xludf.DUMMYFUNCTION("if(regexmatch(B155,""e(.*)$""),regexextract(B155,""e(.*)$""),"""")"),"-2")</f>
        <v>-2</v>
      </c>
    </row>
    <row r="156">
      <c r="A156" s="17" t="s">
        <v>2153</v>
      </c>
      <c r="B156" s="17" t="s">
        <v>4342</v>
      </c>
      <c r="C156" s="17" t="s">
        <v>4343</v>
      </c>
      <c r="D156" s="17" t="s">
        <v>98</v>
      </c>
      <c r="E156" s="60" t="str">
        <f>VLOOKUP($A156,nist_names_ids!A:B,2,false)</f>
        <v>minvkg</v>
      </c>
      <c r="F156" s="61">
        <f>countif(Constants!A:A,E156)</f>
        <v>1</v>
      </c>
      <c r="G156" s="62" t="str">
        <f t="shared" si="1"/>
        <v>2.210218902e-42</v>
      </c>
      <c r="H156" s="62">
        <f t="shared" si="2"/>
        <v>0</v>
      </c>
      <c r="I156" s="62" t="str">
        <f t="shared" si="3"/>
        <v>0.000000098e-42</v>
      </c>
      <c r="J156" s="62">
        <f t="shared" si="4"/>
        <v>0</v>
      </c>
      <c r="K156" s="62" t="b">
        <f t="shared" si="5"/>
        <v>0</v>
      </c>
      <c r="L156" s="62" t="b">
        <f t="shared" si="6"/>
        <v>0</v>
      </c>
      <c r="M156" s="60" t="str">
        <f>IFERROR(__xludf.DUMMYFUNCTION("if(regexmatch(B156,""e(.*)$""),regexextract(B156,""e(.*)$""),"""")"),"-42")</f>
        <v>-42</v>
      </c>
    </row>
    <row r="157">
      <c r="A157" s="17" t="s">
        <v>2159</v>
      </c>
      <c r="B157" s="17" t="s">
        <v>4346</v>
      </c>
      <c r="C157" s="17" t="s">
        <v>4347</v>
      </c>
      <c r="D157" s="17" t="s">
        <v>500</v>
      </c>
      <c r="E157" s="60" t="str">
        <f>VLOOKUP($A157,nist_names_ids!A:B,2,false)</f>
        <v>invconqu</v>
      </c>
      <c r="F157" s="61">
        <f>countif(Constants!A:A,E157)</f>
        <v>1</v>
      </c>
      <c r="G157" s="62" t="str">
        <f t="shared" si="1"/>
        <v>12906.4037217</v>
      </c>
      <c r="H157" s="62">
        <f t="shared" si="2"/>
        <v>12906.40372</v>
      </c>
      <c r="I157" s="62" t="str">
        <f t="shared" si="3"/>
        <v>0.0000042</v>
      </c>
      <c r="J157" s="62">
        <f t="shared" si="4"/>
        <v>0.0000042</v>
      </c>
      <c r="K157" s="62" t="b">
        <f t="shared" si="5"/>
        <v>0</v>
      </c>
      <c r="L157" s="62" t="b">
        <f t="shared" si="6"/>
        <v>0</v>
      </c>
      <c r="M157" s="60" t="str">
        <f>IFERROR(__xludf.DUMMYFUNCTION("if(regexmatch(B157,""e(.*)$""),regexextract(B157,""e(.*)$""),"""")"),"")</f>
        <v/>
      </c>
    </row>
    <row r="158">
      <c r="A158" s="17" t="s">
        <v>2162</v>
      </c>
      <c r="B158" s="17" t="s">
        <v>4350</v>
      </c>
      <c r="C158" s="64" t="s">
        <v>4351</v>
      </c>
      <c r="D158" s="17" t="s">
        <v>1447</v>
      </c>
      <c r="E158" s="60" t="str">
        <f>VLOOKUP($A158,nist_names_ids!A:B,2,false)</f>
        <v>kjos</v>
      </c>
      <c r="F158" s="61">
        <f>countif(Constants!A:A,E158)</f>
        <v>1</v>
      </c>
      <c r="G158" s="62" t="str">
        <f t="shared" si="1"/>
        <v>483597.870e9</v>
      </c>
      <c r="H158" s="62">
        <f t="shared" si="2"/>
        <v>483597870000000</v>
      </c>
      <c r="I158" s="62" t="str">
        <f t="shared" si="3"/>
        <v>0.011e9</v>
      </c>
      <c r="J158" s="62">
        <f t="shared" si="4"/>
        <v>11000000</v>
      </c>
      <c r="K158" s="62" t="b">
        <f t="shared" si="5"/>
        <v>0</v>
      </c>
      <c r="L158" s="62" t="b">
        <f t="shared" si="6"/>
        <v>0</v>
      </c>
      <c r="M158" s="60" t="str">
        <f>IFERROR(__xludf.DUMMYFUNCTION("if(regexmatch(B158,""e(.*)$""),regexextract(B158,""e(.*)$""),"""")"),"9")</f>
        <v>9</v>
      </c>
    </row>
    <row r="159">
      <c r="A159" s="17" t="s">
        <v>2166</v>
      </c>
      <c r="B159" s="17" t="s">
        <v>4353</v>
      </c>
      <c r="C159" s="17" t="s">
        <v>4354</v>
      </c>
      <c r="D159" s="17" t="s">
        <v>249</v>
      </c>
      <c r="E159" s="60" t="str">
        <f>VLOOKUP($A159,nist_names_ids!A:B,2,false)</f>
        <v>ju</v>
      </c>
      <c r="F159" s="61">
        <f>countif(Constants!A:A,E159)</f>
        <v>1</v>
      </c>
      <c r="G159" s="62" t="str">
        <f t="shared" si="1"/>
        <v>6.70053585e9</v>
      </c>
      <c r="H159" s="62">
        <f t="shared" si="2"/>
        <v>6700535850</v>
      </c>
      <c r="I159" s="62" t="str">
        <f t="shared" si="3"/>
        <v>0.00000030e9</v>
      </c>
      <c r="J159" s="62">
        <f t="shared" si="4"/>
        <v>300</v>
      </c>
      <c r="K159" s="62" t="b">
        <f t="shared" si="5"/>
        <v>0</v>
      </c>
      <c r="L159" s="62" t="b">
        <f t="shared" si="6"/>
        <v>0</v>
      </c>
      <c r="M159" s="60" t="str">
        <f>IFERROR(__xludf.DUMMYFUNCTION("if(regexmatch(B159,""e(.*)$""),regexextract(B159,""e(.*)$""),"""")"),"9")</f>
        <v>9</v>
      </c>
    </row>
    <row r="160">
      <c r="A160" s="17" t="s">
        <v>2172</v>
      </c>
      <c r="B160" s="17" t="s">
        <v>4356</v>
      </c>
      <c r="C160" s="17" t="s">
        <v>4357</v>
      </c>
      <c r="D160" s="17" t="s">
        <v>181</v>
      </c>
      <c r="E160" s="60" t="str">
        <f>VLOOKUP($A160,nist_names_ids!A:B,2,false)</f>
        <v>jev</v>
      </c>
      <c r="F160" s="61">
        <f>countif(Constants!A:A,E160)</f>
        <v>1</v>
      </c>
      <c r="G160" s="62" t="str">
        <f t="shared" si="1"/>
        <v>6.24150934e18</v>
      </c>
      <c r="H160" s="62">
        <f t="shared" si="2"/>
        <v>6.24151E+18</v>
      </c>
      <c r="I160" s="62" t="str">
        <f t="shared" si="3"/>
        <v>0.00000014e18</v>
      </c>
      <c r="J160" s="62">
        <f t="shared" si="4"/>
        <v>140000000000</v>
      </c>
      <c r="K160" s="62" t="b">
        <f t="shared" si="5"/>
        <v>0</v>
      </c>
      <c r="L160" s="62" t="b">
        <f t="shared" si="6"/>
        <v>0</v>
      </c>
      <c r="M160" s="60" t="str">
        <f>IFERROR(__xludf.DUMMYFUNCTION("if(regexmatch(B160,""e(.*)$""),regexextract(B160,""e(.*)$""),"""")"),"18")</f>
        <v>18</v>
      </c>
    </row>
    <row r="161">
      <c r="A161" s="17" t="s">
        <v>2176</v>
      </c>
      <c r="B161" s="17" t="s">
        <v>4362</v>
      </c>
      <c r="C161" s="17" t="s">
        <v>4363</v>
      </c>
      <c r="D161" s="17" t="s">
        <v>170</v>
      </c>
      <c r="E161" s="60" t="str">
        <f>VLOOKUP($A161,nist_names_ids!A:B,2,false)</f>
        <v>jhr</v>
      </c>
      <c r="F161" s="61">
        <f>countif(Constants!A:A,E161)</f>
        <v>1</v>
      </c>
      <c r="G161" s="62" t="str">
        <f t="shared" si="1"/>
        <v>2.29371248e17</v>
      </c>
      <c r="H161" s="62">
        <f t="shared" si="2"/>
        <v>2.29371E+17</v>
      </c>
      <c r="I161" s="62" t="str">
        <f t="shared" si="3"/>
        <v>0.00000010e17</v>
      </c>
      <c r="J161" s="62">
        <f t="shared" si="4"/>
        <v>10000000000</v>
      </c>
      <c r="K161" s="62" t="b">
        <f t="shared" si="5"/>
        <v>0</v>
      </c>
      <c r="L161" s="62" t="b">
        <f t="shared" si="6"/>
        <v>0</v>
      </c>
      <c r="M161" s="60" t="str">
        <f>IFERROR(__xludf.DUMMYFUNCTION("if(regexmatch(B161,""e(.*)$""),regexextract(B161,""e(.*)$""),"""")"),"17")</f>
        <v>17</v>
      </c>
    </row>
    <row r="162">
      <c r="A162" s="17" t="s">
        <v>2180</v>
      </c>
      <c r="B162" s="17" t="s">
        <v>4365</v>
      </c>
      <c r="C162" s="17" t="s">
        <v>4366</v>
      </c>
      <c r="D162" s="17" t="s">
        <v>257</v>
      </c>
      <c r="E162" s="60" t="str">
        <f>VLOOKUP($A162,nist_names_ids!A:B,2,false)</f>
        <v>jhz</v>
      </c>
      <c r="F162" s="61">
        <f>countif(Constants!A:A,E162)</f>
        <v>1</v>
      </c>
      <c r="G162" s="62" t="str">
        <f t="shared" si="1"/>
        <v>1.509190311e33</v>
      </c>
      <c r="H162" s="62">
        <f t="shared" si="2"/>
        <v>1.50919E+33</v>
      </c>
      <c r="I162" s="62" t="str">
        <f t="shared" si="3"/>
        <v>0.000000067e33</v>
      </c>
      <c r="J162" s="62">
        <f t="shared" si="4"/>
        <v>6.7E+25</v>
      </c>
      <c r="K162" s="62" t="b">
        <f t="shared" si="5"/>
        <v>0</v>
      </c>
      <c r="L162" s="62" t="b">
        <f t="shared" si="6"/>
        <v>0</v>
      </c>
      <c r="M162" s="60" t="str">
        <f>IFERROR(__xludf.DUMMYFUNCTION("if(regexmatch(B162,""e(.*)$""),regexextract(B162,""e(.*)$""),"""")"),"33")</f>
        <v>33</v>
      </c>
    </row>
    <row r="163">
      <c r="A163" s="17" t="s">
        <v>2184</v>
      </c>
      <c r="B163" s="17" t="s">
        <v>4370</v>
      </c>
      <c r="C163" s="17" t="s">
        <v>4371</v>
      </c>
      <c r="D163" s="17" t="s">
        <v>561</v>
      </c>
      <c r="E163" s="60" t="str">
        <f>VLOOKUP($A163,nist_names_ids!A:B,2,false)</f>
        <v>jminv</v>
      </c>
      <c r="F163" s="61">
        <f>countif(Constants!A:A,E163)</f>
        <v>1</v>
      </c>
      <c r="G163" s="62" t="str">
        <f t="shared" si="1"/>
        <v>5.03411701e24</v>
      </c>
      <c r="H163" s="62">
        <f t="shared" si="2"/>
        <v>5.03412E+24</v>
      </c>
      <c r="I163" s="62" t="str">
        <f t="shared" si="3"/>
        <v>0.00000022e24</v>
      </c>
      <c r="J163" s="62">
        <f t="shared" si="4"/>
        <v>2.2E+17</v>
      </c>
      <c r="K163" s="62" t="b">
        <f t="shared" si="5"/>
        <v>0</v>
      </c>
      <c r="L163" s="62" t="b">
        <f t="shared" si="6"/>
        <v>0</v>
      </c>
      <c r="M163" s="60" t="str">
        <f>IFERROR(__xludf.DUMMYFUNCTION("if(regexmatch(B163,""e(.*)$""),regexextract(B163,""e(.*)$""),"""")"),"24")</f>
        <v>24</v>
      </c>
    </row>
    <row r="164">
      <c r="A164" s="17" t="s">
        <v>2190</v>
      </c>
      <c r="B164" s="17" t="s">
        <v>4373</v>
      </c>
      <c r="C164" s="17" t="s">
        <v>4374</v>
      </c>
      <c r="D164" s="17" t="s">
        <v>345</v>
      </c>
      <c r="E164" s="60" t="str">
        <f>VLOOKUP($A164,nist_names_ids!A:B,2,false)</f>
        <v>jk</v>
      </c>
      <c r="F164" s="61">
        <f>countif(Constants!A:A,E164)</f>
        <v>1</v>
      </c>
      <c r="G164" s="62" t="str">
        <f t="shared" si="1"/>
        <v>7.2429716e22</v>
      </c>
      <c r="H164" s="62">
        <f t="shared" si="2"/>
        <v>7.24297E+22</v>
      </c>
      <c r="I164" s="62" t="str">
        <f t="shared" si="3"/>
        <v>0.0000066e22</v>
      </c>
      <c r="J164" s="62">
        <f t="shared" si="4"/>
        <v>6.6E+16</v>
      </c>
      <c r="K164" s="62" t="b">
        <f t="shared" si="5"/>
        <v>0</v>
      </c>
      <c r="L164" s="62" t="b">
        <f t="shared" si="6"/>
        <v>0</v>
      </c>
      <c r="M164" s="60" t="str">
        <f>IFERROR(__xludf.DUMMYFUNCTION("if(regexmatch(B164,""e(.*)$""),regexextract(B164,""e(.*)$""),"""")"),"22")</f>
        <v>22</v>
      </c>
    </row>
    <row r="165">
      <c r="A165" s="17" t="s">
        <v>2193</v>
      </c>
      <c r="B165" s="17" t="s">
        <v>3152</v>
      </c>
      <c r="C165" s="17" t="s">
        <v>1501</v>
      </c>
      <c r="D165" s="17" t="s">
        <v>98</v>
      </c>
      <c r="E165" s="60" t="str">
        <f>VLOOKUP($A165,nist_names_ids!A:B,2,false)</f>
        <v>jkg</v>
      </c>
      <c r="F165" s="61">
        <f>countif(Constants!A:A,E165)</f>
        <v>1</v>
      </c>
      <c r="G165" s="62" t="str">
        <f t="shared" si="1"/>
        <v>1.112650056e-17</v>
      </c>
      <c r="H165" s="62">
        <f t="shared" si="2"/>
        <v>0</v>
      </c>
      <c r="I165" s="62" t="str">
        <f t="shared" si="3"/>
        <v>(exact)</v>
      </c>
      <c r="J165" s="62" t="str">
        <f t="shared" si="4"/>
        <v/>
      </c>
      <c r="K165" s="62" t="b">
        <f t="shared" si="5"/>
        <v>1</v>
      </c>
      <c r="L165" s="62" t="b">
        <f t="shared" si="6"/>
        <v>1</v>
      </c>
      <c r="M165" s="60" t="str">
        <f>IFERROR(__xludf.DUMMYFUNCTION("if(regexmatch(B165,""e(.*)$""),regexextract(B165,""e(.*)$""),"""")"),"-17")</f>
        <v>-17</v>
      </c>
    </row>
    <row r="166">
      <c r="A166" s="17" t="s">
        <v>2196</v>
      </c>
      <c r="B166" s="17" t="s">
        <v>4382</v>
      </c>
      <c r="C166" s="17" t="s">
        <v>4383</v>
      </c>
      <c r="D166" s="17" t="s">
        <v>249</v>
      </c>
      <c r="E166" s="60" t="str">
        <f>VLOOKUP($A166,nist_names_ids!A:B,2,false)</f>
        <v>ku</v>
      </c>
      <c r="F166" s="61">
        <f>countif(Constants!A:A,E166)</f>
        <v>1</v>
      </c>
      <c r="G166" s="62" t="str">
        <f t="shared" si="1"/>
        <v>9.2510868e-14</v>
      </c>
      <c r="H166" s="62">
        <f t="shared" si="2"/>
        <v>0</v>
      </c>
      <c r="I166" s="62" t="str">
        <f t="shared" si="3"/>
        <v>0.0000084e-14</v>
      </c>
      <c r="J166" s="62">
        <f t="shared" si="4"/>
        <v>0</v>
      </c>
      <c r="K166" s="62" t="b">
        <f t="shared" si="5"/>
        <v>0</v>
      </c>
      <c r="L166" s="62" t="b">
        <f t="shared" si="6"/>
        <v>0</v>
      </c>
      <c r="M166" s="60" t="str">
        <f>IFERROR(__xludf.DUMMYFUNCTION("if(regexmatch(B166,""e(.*)$""),regexextract(B166,""e(.*)$""),"""")"),"-14")</f>
        <v>-14</v>
      </c>
    </row>
    <row r="167">
      <c r="A167" s="17" t="s">
        <v>2200</v>
      </c>
      <c r="B167" s="17" t="s">
        <v>3960</v>
      </c>
      <c r="C167" s="17" t="s">
        <v>3961</v>
      </c>
      <c r="D167" s="17" t="s">
        <v>181</v>
      </c>
      <c r="E167" s="60" t="str">
        <f>VLOOKUP($A167,nist_names_ids!A:B,2,false)</f>
        <v>kev</v>
      </c>
      <c r="F167" s="61">
        <f>countif(Constants!A:A,E167)</f>
        <v>1</v>
      </c>
      <c r="G167" s="62" t="str">
        <f t="shared" si="1"/>
        <v>8.6173324e-5</v>
      </c>
      <c r="H167" s="62">
        <f t="shared" si="2"/>
        <v>0.000086173324</v>
      </c>
      <c r="I167" s="62" t="str">
        <f t="shared" si="3"/>
        <v>0.0000078e-5</v>
      </c>
      <c r="J167" s="62">
        <f t="shared" si="4"/>
        <v>0</v>
      </c>
      <c r="K167" s="62" t="b">
        <f t="shared" si="5"/>
        <v>0</v>
      </c>
      <c r="L167" s="62" t="b">
        <f t="shared" si="6"/>
        <v>0</v>
      </c>
      <c r="M167" s="60" t="str">
        <f>IFERROR(__xludf.DUMMYFUNCTION("if(regexmatch(B167,""e(.*)$""),regexextract(B167,""e(.*)$""),"""")"),"-5")</f>
        <v>-5</v>
      </c>
    </row>
    <row r="168">
      <c r="A168" s="17" t="s">
        <v>2204</v>
      </c>
      <c r="B168" s="17" t="s">
        <v>4388</v>
      </c>
      <c r="C168" s="17" t="s">
        <v>4389</v>
      </c>
      <c r="D168" s="17" t="s">
        <v>170</v>
      </c>
      <c r="E168" s="60" t="str">
        <f>VLOOKUP($A168,nist_names_ids!A:B,2,false)</f>
        <v>khr</v>
      </c>
      <c r="F168" s="61">
        <f>countif(Constants!A:A,E168)</f>
        <v>1</v>
      </c>
      <c r="G168" s="62" t="str">
        <f t="shared" si="1"/>
        <v>3.1668114e-6</v>
      </c>
      <c r="H168" s="62">
        <f t="shared" si="2"/>
        <v>0.0000031668114</v>
      </c>
      <c r="I168" s="62" t="str">
        <f t="shared" si="3"/>
        <v>0.0000029e-6</v>
      </c>
      <c r="J168" s="62">
        <f t="shared" si="4"/>
        <v>0</v>
      </c>
      <c r="K168" s="62" t="b">
        <f t="shared" si="5"/>
        <v>0</v>
      </c>
      <c r="L168" s="62" t="b">
        <f t="shared" si="6"/>
        <v>0</v>
      </c>
      <c r="M168" s="60" t="str">
        <f>IFERROR(__xludf.DUMMYFUNCTION("if(regexmatch(B168,""e(.*)$""),regexextract(B168,""e(.*)$""),"""")"),"-6")</f>
        <v>-6</v>
      </c>
    </row>
    <row r="169">
      <c r="A169" s="17" t="s">
        <v>2208</v>
      </c>
      <c r="B169" s="17" t="s">
        <v>3963</v>
      </c>
      <c r="C169" s="17" t="s">
        <v>3964</v>
      </c>
      <c r="D169" s="17" t="s">
        <v>257</v>
      </c>
      <c r="E169" s="60" t="str">
        <f>VLOOKUP($A169,nist_names_ids!A:B,2,false)</f>
        <v>khz</v>
      </c>
      <c r="F169" s="61">
        <f>countif(Constants!A:A,E169)</f>
        <v>1</v>
      </c>
      <c r="G169" s="62" t="str">
        <f t="shared" si="1"/>
        <v>2.0836618e10</v>
      </c>
      <c r="H169" s="62">
        <f t="shared" si="2"/>
        <v>20836618000</v>
      </c>
      <c r="I169" s="62" t="str">
        <f t="shared" si="3"/>
        <v>0.0000019e10</v>
      </c>
      <c r="J169" s="62">
        <f t="shared" si="4"/>
        <v>19000</v>
      </c>
      <c r="K169" s="62" t="b">
        <f t="shared" si="5"/>
        <v>0</v>
      </c>
      <c r="L169" s="62" t="b">
        <f t="shared" si="6"/>
        <v>0</v>
      </c>
      <c r="M169" s="60" t="str">
        <f>IFERROR(__xludf.DUMMYFUNCTION("if(regexmatch(B169,""e(.*)$""),regexextract(B169,""e(.*)$""),"""")"),"10")</f>
        <v>10</v>
      </c>
    </row>
    <row r="170">
      <c r="A170" s="17" t="s">
        <v>2217</v>
      </c>
      <c r="B170" s="17" t="s">
        <v>3967</v>
      </c>
      <c r="C170" s="17" t="s">
        <v>3968</v>
      </c>
      <c r="D170" s="17" t="s">
        <v>561</v>
      </c>
      <c r="E170" s="60" t="str">
        <f>VLOOKUP($A170,nist_names_ids!A:B,2,false)</f>
        <v>kminv</v>
      </c>
      <c r="F170" s="61">
        <f>countif(Constants!A:A,E170)</f>
        <v>1</v>
      </c>
      <c r="G170" s="62" t="str">
        <f t="shared" si="1"/>
        <v>69.503476</v>
      </c>
      <c r="H170" s="62">
        <f t="shared" si="2"/>
        <v>69.503476</v>
      </c>
      <c r="I170" s="62" t="str">
        <f t="shared" si="3"/>
        <v>0.000063</v>
      </c>
      <c r="J170" s="62">
        <f t="shared" si="4"/>
        <v>0.000063</v>
      </c>
      <c r="K170" s="62" t="b">
        <f t="shared" si="5"/>
        <v>0</v>
      </c>
      <c r="L170" s="62" t="b">
        <f t="shared" si="6"/>
        <v>0</v>
      </c>
      <c r="M170" s="60" t="str">
        <f>IFERROR(__xludf.DUMMYFUNCTION("if(regexmatch(B170,""e(.*)$""),regexextract(B170,""e(.*)$""),"""")"),"")</f>
        <v/>
      </c>
    </row>
    <row r="171">
      <c r="A171" s="17" t="s">
        <v>2219</v>
      </c>
      <c r="B171" s="17" t="s">
        <v>3956</v>
      </c>
      <c r="C171" s="17" t="s">
        <v>3957</v>
      </c>
      <c r="D171" s="17" t="s">
        <v>173</v>
      </c>
      <c r="E171" s="60" t="str">
        <f>VLOOKUP($A171,nist_names_ids!A:B,2,false)</f>
        <v>kj</v>
      </c>
      <c r="F171" s="61">
        <f>countif(Constants!A:A,E171)</f>
        <v>1</v>
      </c>
      <c r="G171" s="62" t="str">
        <f t="shared" si="1"/>
        <v>1.3806488e-23</v>
      </c>
      <c r="H171" s="62">
        <f t="shared" si="2"/>
        <v>0</v>
      </c>
      <c r="I171" s="62" t="str">
        <f t="shared" si="3"/>
        <v>0.0000013e-23</v>
      </c>
      <c r="J171" s="62">
        <f t="shared" si="4"/>
        <v>0</v>
      </c>
      <c r="K171" s="62" t="b">
        <f t="shared" si="5"/>
        <v>0</v>
      </c>
      <c r="L171" s="62" t="b">
        <f t="shared" si="6"/>
        <v>0</v>
      </c>
      <c r="M171" s="60" t="str">
        <f>IFERROR(__xludf.DUMMYFUNCTION("if(regexmatch(B171,""e(.*)$""),regexextract(B171,""e(.*)$""),"""")"),"-23")</f>
        <v>-23</v>
      </c>
    </row>
    <row r="172">
      <c r="A172" s="17" t="s">
        <v>2222</v>
      </c>
      <c r="B172" s="17" t="s">
        <v>4397</v>
      </c>
      <c r="C172" s="17" t="s">
        <v>4398</v>
      </c>
      <c r="D172" s="17" t="s">
        <v>98</v>
      </c>
      <c r="E172" s="60" t="str">
        <f>VLOOKUP($A172,nist_names_ids!A:B,2,false)</f>
        <v>kkg</v>
      </c>
      <c r="F172" s="61">
        <f>countif(Constants!A:A,E172)</f>
        <v>1</v>
      </c>
      <c r="G172" s="62" t="str">
        <f t="shared" si="1"/>
        <v>1.5361790e-40</v>
      </c>
      <c r="H172" s="62">
        <f t="shared" si="2"/>
        <v>0</v>
      </c>
      <c r="I172" s="62" t="str">
        <f t="shared" si="3"/>
        <v>0.0000014e-40</v>
      </c>
      <c r="J172" s="62">
        <f t="shared" si="4"/>
        <v>0</v>
      </c>
      <c r="K172" s="62" t="b">
        <f t="shared" si="5"/>
        <v>0</v>
      </c>
      <c r="L172" s="62" t="b">
        <f t="shared" si="6"/>
        <v>0</v>
      </c>
      <c r="M172" s="60" t="str">
        <f>IFERROR(__xludf.DUMMYFUNCTION("if(regexmatch(B172,""e(.*)$""),regexextract(B172,""e(.*)$""),"""")"),"-40")</f>
        <v>-40</v>
      </c>
    </row>
    <row r="173">
      <c r="A173" s="17" t="s">
        <v>2226</v>
      </c>
      <c r="B173" s="17" t="s">
        <v>4403</v>
      </c>
      <c r="C173" s="17" t="s">
        <v>4404</v>
      </c>
      <c r="D173" s="17" t="s">
        <v>249</v>
      </c>
      <c r="E173" s="60" t="str">
        <f>VLOOKUP($A173,nist_names_ids!A:B,2,false)</f>
        <v>kgu</v>
      </c>
      <c r="F173" s="61">
        <f>countif(Constants!A:A,E173)</f>
        <v>1</v>
      </c>
      <c r="G173" s="62" t="str">
        <f t="shared" si="1"/>
        <v>6.02214129e26</v>
      </c>
      <c r="H173" s="62">
        <f t="shared" si="2"/>
        <v>6.02214E+26</v>
      </c>
      <c r="I173" s="62" t="str">
        <f t="shared" si="3"/>
        <v>0.00000027e26</v>
      </c>
      <c r="J173" s="62">
        <f t="shared" si="4"/>
        <v>2.7E+19</v>
      </c>
      <c r="K173" s="62" t="b">
        <f t="shared" si="5"/>
        <v>0</v>
      </c>
      <c r="L173" s="62" t="b">
        <f t="shared" si="6"/>
        <v>0</v>
      </c>
      <c r="M173" s="60" t="str">
        <f>IFERROR(__xludf.DUMMYFUNCTION("if(regexmatch(B173,""e(.*)$""),regexextract(B173,""e(.*)$""),"""")"),"26")</f>
        <v>26</v>
      </c>
    </row>
    <row r="174">
      <c r="A174" s="17" t="s">
        <v>2232</v>
      </c>
      <c r="B174" s="17" t="s">
        <v>4406</v>
      </c>
      <c r="C174" s="17" t="s">
        <v>4407</v>
      </c>
      <c r="D174" s="17" t="s">
        <v>181</v>
      </c>
      <c r="E174" s="60" t="str">
        <f>VLOOKUP($A174,nist_names_ids!A:B,2,false)</f>
        <v>kgev</v>
      </c>
      <c r="F174" s="61">
        <f>countif(Constants!A:A,E174)</f>
        <v>1</v>
      </c>
      <c r="G174" s="62" t="str">
        <f t="shared" si="1"/>
        <v>5.60958885e35</v>
      </c>
      <c r="H174" s="62">
        <f t="shared" si="2"/>
        <v>5.60959E+35</v>
      </c>
      <c r="I174" s="62" t="str">
        <f t="shared" si="3"/>
        <v>0.00000012e35</v>
      </c>
      <c r="J174" s="62">
        <f t="shared" si="4"/>
        <v>1.2E+28</v>
      </c>
      <c r="K174" s="62" t="b">
        <f t="shared" si="5"/>
        <v>0</v>
      </c>
      <c r="L174" s="62" t="b">
        <f t="shared" si="6"/>
        <v>0</v>
      </c>
      <c r="M174" s="60" t="str">
        <f>IFERROR(__xludf.DUMMYFUNCTION("if(regexmatch(B174,""e(.*)$""),regexextract(B174,""e(.*)$""),"""")"),"35")</f>
        <v>35</v>
      </c>
    </row>
    <row r="175">
      <c r="A175" s="17" t="s">
        <v>2236</v>
      </c>
      <c r="B175" s="17" t="s">
        <v>4409</v>
      </c>
      <c r="C175" s="17" t="s">
        <v>4410</v>
      </c>
      <c r="D175" s="17" t="s">
        <v>170</v>
      </c>
      <c r="E175" s="60" t="str">
        <f>VLOOKUP($A175,nist_names_ids!A:B,2,false)</f>
        <v>kghr</v>
      </c>
      <c r="F175" s="61">
        <f>countif(Constants!A:A,E175)</f>
        <v>1</v>
      </c>
      <c r="G175" s="62" t="str">
        <f t="shared" si="1"/>
        <v>2.061485968e34</v>
      </c>
      <c r="H175" s="62">
        <f t="shared" si="2"/>
        <v>2.06149E+34</v>
      </c>
      <c r="I175" s="62" t="str">
        <f t="shared" si="3"/>
        <v>0.000000091e34</v>
      </c>
      <c r="J175" s="62">
        <f t="shared" si="4"/>
        <v>9.1E+26</v>
      </c>
      <c r="K175" s="62" t="b">
        <f t="shared" si="5"/>
        <v>0</v>
      </c>
      <c r="L175" s="62" t="b">
        <f t="shared" si="6"/>
        <v>0</v>
      </c>
      <c r="M175" s="60" t="str">
        <f>IFERROR(__xludf.DUMMYFUNCTION("if(regexmatch(B175,""e(.*)$""),regexextract(B175,""e(.*)$""),"""")"),"34")</f>
        <v>34</v>
      </c>
    </row>
    <row r="176">
      <c r="A176" s="17" t="s">
        <v>2243</v>
      </c>
      <c r="B176" s="17" t="s">
        <v>4413</v>
      </c>
      <c r="C176" s="17" t="s">
        <v>4414</v>
      </c>
      <c r="D176" s="17" t="s">
        <v>257</v>
      </c>
      <c r="E176" s="60" t="str">
        <f>VLOOKUP($A176,nist_names_ids!A:B,2,false)</f>
        <v>kghz</v>
      </c>
      <c r="F176" s="61">
        <f>countif(Constants!A:A,E176)</f>
        <v>1</v>
      </c>
      <c r="G176" s="62" t="str">
        <f t="shared" si="1"/>
        <v>1.356392608e50</v>
      </c>
      <c r="H176" s="62">
        <f t="shared" si="2"/>
        <v>1.35639E+50</v>
      </c>
      <c r="I176" s="62" t="str">
        <f t="shared" si="3"/>
        <v>0.000000060e50</v>
      </c>
      <c r="J176" s="62">
        <f t="shared" si="4"/>
        <v>6E+42</v>
      </c>
      <c r="K176" s="62" t="b">
        <f t="shared" si="5"/>
        <v>0</v>
      </c>
      <c r="L176" s="62" t="b">
        <f t="shared" si="6"/>
        <v>0</v>
      </c>
      <c r="M176" s="60" t="str">
        <f>IFERROR(__xludf.DUMMYFUNCTION("if(regexmatch(B176,""e(.*)$""),regexextract(B176,""e(.*)$""),"""")"),"50")</f>
        <v>50</v>
      </c>
    </row>
    <row r="177">
      <c r="A177" s="17" t="s">
        <v>2247</v>
      </c>
      <c r="B177" s="17" t="s">
        <v>4416</v>
      </c>
      <c r="C177" s="17" t="s">
        <v>4417</v>
      </c>
      <c r="D177" s="17" t="s">
        <v>561</v>
      </c>
      <c r="E177" s="60" t="str">
        <f>VLOOKUP($A177,nist_names_ids!A:B,2,false)</f>
        <v>kgminv</v>
      </c>
      <c r="F177" s="61">
        <f>countif(Constants!A:A,E177)</f>
        <v>1</v>
      </c>
      <c r="G177" s="62" t="str">
        <f t="shared" si="1"/>
        <v>4.52443873e41</v>
      </c>
      <c r="H177" s="62">
        <f t="shared" si="2"/>
        <v>4.52444E+41</v>
      </c>
      <c r="I177" s="62" t="str">
        <f t="shared" si="3"/>
        <v>0.00000020e41</v>
      </c>
      <c r="J177" s="62">
        <f t="shared" si="4"/>
        <v>2E+34</v>
      </c>
      <c r="K177" s="62" t="b">
        <f t="shared" si="5"/>
        <v>0</v>
      </c>
      <c r="L177" s="62" t="b">
        <f t="shared" si="6"/>
        <v>0</v>
      </c>
      <c r="M177" s="60" t="str">
        <f>IFERROR(__xludf.DUMMYFUNCTION("if(regexmatch(B177,""e(.*)$""),regexextract(B177,""e(.*)$""),"""")"),"41")</f>
        <v>41</v>
      </c>
    </row>
    <row r="178">
      <c r="A178" s="17" t="s">
        <v>2253</v>
      </c>
      <c r="B178" s="17" t="s">
        <v>3186</v>
      </c>
      <c r="C178" s="17" t="s">
        <v>1501</v>
      </c>
      <c r="D178" s="17" t="s">
        <v>173</v>
      </c>
      <c r="E178" s="60" t="str">
        <f>VLOOKUP($A178,nist_names_ids!A:B,2,false)</f>
        <v>kgj</v>
      </c>
      <c r="F178" s="61">
        <f>countif(Constants!A:A,E178)</f>
        <v>1</v>
      </c>
      <c r="G178" s="62" t="str">
        <f t="shared" si="1"/>
        <v>8.987551787e16</v>
      </c>
      <c r="H178" s="62">
        <f t="shared" si="2"/>
        <v>8.98755E+16</v>
      </c>
      <c r="I178" s="62" t="str">
        <f t="shared" si="3"/>
        <v>(exact)</v>
      </c>
      <c r="J178" s="62" t="str">
        <f t="shared" si="4"/>
        <v/>
      </c>
      <c r="K178" s="62" t="b">
        <f t="shared" si="5"/>
        <v>1</v>
      </c>
      <c r="L178" s="62" t="b">
        <f t="shared" si="6"/>
        <v>1</v>
      </c>
      <c r="M178" s="60" t="str">
        <f>IFERROR(__xludf.DUMMYFUNCTION("if(regexmatch(B178,""e(.*)$""),regexextract(B178,""e(.*)$""),"""")"),"16")</f>
        <v>16</v>
      </c>
    </row>
    <row r="179">
      <c r="A179" s="17" t="s">
        <v>2257</v>
      </c>
      <c r="B179" s="17" t="s">
        <v>4422</v>
      </c>
      <c r="C179" s="17" t="s">
        <v>4423</v>
      </c>
      <c r="D179" s="17" t="s">
        <v>345</v>
      </c>
      <c r="E179" s="60" t="str">
        <f>VLOOKUP($A179,nist_names_ids!A:B,2,false)</f>
        <v>kgk</v>
      </c>
      <c r="F179" s="61">
        <f>countif(Constants!A:A,E179)</f>
        <v>1</v>
      </c>
      <c r="G179" s="62" t="str">
        <f t="shared" si="1"/>
        <v>6.5096582e39</v>
      </c>
      <c r="H179" s="62">
        <f t="shared" si="2"/>
        <v>6.50966E+39</v>
      </c>
      <c r="I179" s="62" t="str">
        <f t="shared" si="3"/>
        <v>0.0000059e39</v>
      </c>
      <c r="J179" s="62">
        <f t="shared" si="4"/>
        <v>5.9E+33</v>
      </c>
      <c r="K179" s="62" t="b">
        <f t="shared" si="5"/>
        <v>0</v>
      </c>
      <c r="L179" s="62" t="b">
        <f t="shared" si="6"/>
        <v>0</v>
      </c>
      <c r="M179" s="60" t="str">
        <f>IFERROR(__xludf.DUMMYFUNCTION("if(regexmatch(B179,""e(.*)$""),regexextract(B179,""e(.*)$""),"""")"),"39")</f>
        <v>39</v>
      </c>
    </row>
    <row r="180">
      <c r="A180" s="17" t="s">
        <v>2260</v>
      </c>
      <c r="B180" s="17" t="s">
        <v>3717</v>
      </c>
      <c r="C180" s="17" t="s">
        <v>3718</v>
      </c>
      <c r="D180" s="17" t="s">
        <v>381</v>
      </c>
      <c r="E180" s="60" t="str">
        <f>VLOOKUP($A180,nist_names_ids!A:B,2,false)</f>
        <v>asil</v>
      </c>
      <c r="F180" s="61">
        <f>countif(Constants!A:A,E180)</f>
        <v>1</v>
      </c>
      <c r="G180" s="62" t="str">
        <f t="shared" si="1"/>
        <v>543.1020504e-12</v>
      </c>
      <c r="H180" s="62">
        <f t="shared" si="2"/>
        <v>0.0000000005431020504</v>
      </c>
      <c r="I180" s="62" t="str">
        <f t="shared" si="3"/>
        <v>0.0000089e-12</v>
      </c>
      <c r="J180" s="62">
        <f t="shared" si="4"/>
        <v>0</v>
      </c>
      <c r="K180" s="62" t="b">
        <f t="shared" si="5"/>
        <v>0</v>
      </c>
      <c r="L180" s="62" t="b">
        <f t="shared" si="6"/>
        <v>0</v>
      </c>
      <c r="M180" s="60" t="str">
        <f>IFERROR(__xludf.DUMMYFUNCTION("if(regexmatch(B180,""e(.*)$""),regexextract(B180,""e(.*)$""),"""")"),"-12")</f>
        <v>-12</v>
      </c>
    </row>
    <row r="181">
      <c r="A181" s="17" t="s">
        <v>2267</v>
      </c>
      <c r="B181" s="17" t="s">
        <v>4430</v>
      </c>
      <c r="C181" s="17" t="s">
        <v>4431</v>
      </c>
      <c r="D181" s="17" t="s">
        <v>2269</v>
      </c>
      <c r="E181" s="60" t="str">
        <f>VLOOKUP($A181,nist_names_ids!A:B,2,false)</f>
        <v>n0</v>
      </c>
      <c r="F181" s="61">
        <f>countif(Constants!A:A,E181)</f>
        <v>1</v>
      </c>
      <c r="G181" s="62" t="str">
        <f t="shared" si="1"/>
        <v>2.6516462e25</v>
      </c>
      <c r="H181" s="62">
        <f t="shared" si="2"/>
        <v>2.65165E+25</v>
      </c>
      <c r="I181" s="62" t="str">
        <f t="shared" si="3"/>
        <v>0.0000024e25</v>
      </c>
      <c r="J181" s="62">
        <f t="shared" si="4"/>
        <v>2.4E+19</v>
      </c>
      <c r="K181" s="62" t="b">
        <f t="shared" si="5"/>
        <v>0</v>
      </c>
      <c r="L181" s="62" t="b">
        <f t="shared" si="6"/>
        <v>0</v>
      </c>
      <c r="M181" s="60" t="str">
        <f>IFERROR(__xludf.DUMMYFUNCTION("if(regexmatch(B181,""e(.*)$""),regexextract(B181,""e(.*)$""),"""")"),"25")</f>
        <v>25</v>
      </c>
    </row>
    <row r="182">
      <c r="A182" s="17" t="s">
        <v>2273</v>
      </c>
      <c r="B182" s="17" t="s">
        <v>4434</v>
      </c>
      <c r="C182" s="17" t="s">
        <v>4431</v>
      </c>
      <c r="D182" s="17" t="s">
        <v>2269</v>
      </c>
      <c r="E182" s="60" t="str">
        <f>VLOOKUP($A182,nist_names_ids!A:B,2,false)</f>
        <v>n0std</v>
      </c>
      <c r="F182" s="61">
        <f>countif(Constants!A:A,E182)</f>
        <v>1</v>
      </c>
      <c r="G182" s="62" t="str">
        <f t="shared" si="1"/>
        <v>2.6867805e25</v>
      </c>
      <c r="H182" s="62">
        <f t="shared" si="2"/>
        <v>2.68678E+25</v>
      </c>
      <c r="I182" s="62" t="str">
        <f t="shared" si="3"/>
        <v>0.0000024e25</v>
      </c>
      <c r="J182" s="62">
        <f t="shared" si="4"/>
        <v>2.4E+19</v>
      </c>
      <c r="K182" s="62" t="b">
        <f t="shared" si="5"/>
        <v>0</v>
      </c>
      <c r="L182" s="62" t="b">
        <f t="shared" si="6"/>
        <v>0</v>
      </c>
      <c r="M182" s="60" t="str">
        <f>IFERROR(__xludf.DUMMYFUNCTION("if(regexmatch(B182,""e(.*)$""),regexextract(B182,""e(.*)$""),"""")"),"25")</f>
        <v>25</v>
      </c>
    </row>
    <row r="183">
      <c r="A183" s="17" t="s">
        <v>3300</v>
      </c>
      <c r="B183" s="17" t="s">
        <v>3728</v>
      </c>
      <c r="C183" s="17" t="s">
        <v>1501</v>
      </c>
      <c r="D183" s="17" t="s">
        <v>3011</v>
      </c>
      <c r="E183" s="60" t="str">
        <f>VLOOKUP($A183,nist_names_ids!A:B,2,false)</f>
        <v>mu0</v>
      </c>
      <c r="F183" s="61">
        <f>countif(Constants!A:A,E183)</f>
        <v>1</v>
      </c>
      <c r="G183" s="62" t="str">
        <f t="shared" si="1"/>
        <v>12.566370614e-7</v>
      </c>
      <c r="H183" s="62">
        <f t="shared" si="2"/>
        <v>0.000001256637061</v>
      </c>
      <c r="I183" s="62" t="str">
        <f t="shared" si="3"/>
        <v>(exact)</v>
      </c>
      <c r="J183" s="62" t="str">
        <f t="shared" si="4"/>
        <v/>
      </c>
      <c r="K183" s="62" t="b">
        <f t="shared" si="5"/>
        <v>1</v>
      </c>
      <c r="L183" s="62" t="b">
        <f t="shared" si="6"/>
        <v>1</v>
      </c>
      <c r="M183" s="60" t="str">
        <f>IFERROR(__xludf.DUMMYFUNCTION("if(regexmatch(B183,""e(.*)$""),regexextract(B183,""e(.*)$""),"""")"),"-7")</f>
        <v>-7</v>
      </c>
    </row>
    <row r="184">
      <c r="A184" s="17" t="s">
        <v>2280</v>
      </c>
      <c r="B184" s="17" t="s">
        <v>4443</v>
      </c>
      <c r="C184" s="17" t="s">
        <v>4445</v>
      </c>
      <c r="D184" s="17" t="s">
        <v>622</v>
      </c>
      <c r="E184" s="60" t="str">
        <f>VLOOKUP($A184,nist_names_ids!A:B,2,false)</f>
        <v>flxquhs2e</v>
      </c>
      <c r="F184" s="61">
        <f>countif(Constants!A:A,E184)</f>
        <v>1</v>
      </c>
      <c r="G184" s="62" t="str">
        <f t="shared" si="1"/>
        <v>2.067833758e-15</v>
      </c>
      <c r="H184" s="62">
        <f t="shared" si="2"/>
        <v>0</v>
      </c>
      <c r="I184" s="62" t="str">
        <f t="shared" si="3"/>
        <v>0.000000046e-15</v>
      </c>
      <c r="J184" s="62">
        <f t="shared" si="4"/>
        <v>0</v>
      </c>
      <c r="K184" s="62" t="b">
        <f t="shared" si="5"/>
        <v>0</v>
      </c>
      <c r="L184" s="62" t="b">
        <f t="shared" si="6"/>
        <v>0</v>
      </c>
      <c r="M184" s="60" t="str">
        <f>IFERROR(__xludf.DUMMYFUNCTION("if(regexmatch(B184,""e(.*)$""),regexextract(B184,""e(.*)$""),"""")"),"-15")</f>
        <v>-15</v>
      </c>
    </row>
    <row r="185">
      <c r="A185" s="17" t="s">
        <v>2284</v>
      </c>
      <c r="B185" s="17" t="s">
        <v>4448</v>
      </c>
      <c r="C185" s="17" t="s">
        <v>4449</v>
      </c>
      <c r="D185" s="17" t="s">
        <v>2286</v>
      </c>
      <c r="E185" s="60" t="str">
        <f>VLOOKUP($A185,nist_names_ids!A:B,2,false)</f>
        <v>r</v>
      </c>
      <c r="F185" s="61">
        <f>countif(Constants!A:A,E185)</f>
        <v>1</v>
      </c>
      <c r="G185" s="62" t="str">
        <f t="shared" si="1"/>
        <v>8.3144621</v>
      </c>
      <c r="H185" s="62">
        <f t="shared" si="2"/>
        <v>8.3144621</v>
      </c>
      <c r="I185" s="62" t="str">
        <f t="shared" si="3"/>
        <v>0.0000075</v>
      </c>
      <c r="J185" s="62">
        <f t="shared" si="4"/>
        <v>0.0000075</v>
      </c>
      <c r="K185" s="62" t="b">
        <f t="shared" si="5"/>
        <v>0</v>
      </c>
      <c r="L185" s="62" t="b">
        <f t="shared" si="6"/>
        <v>0</v>
      </c>
      <c r="M185" s="60" t="str">
        <f>IFERROR(__xludf.DUMMYFUNCTION("if(regexmatch(B185,""e(.*)$""),regexextract(B185,""e(.*)$""),"""")"),"")</f>
        <v/>
      </c>
    </row>
    <row r="186">
      <c r="A186" s="17" t="s">
        <v>2287</v>
      </c>
      <c r="B186" s="64" t="s">
        <v>3739</v>
      </c>
      <c r="C186" s="17" t="s">
        <v>1501</v>
      </c>
      <c r="D186" s="17" t="s">
        <v>286</v>
      </c>
      <c r="E186" s="60" t="str">
        <f>VLOOKUP($A186,nist_names_ids!A:B,2,false)</f>
        <v>mu</v>
      </c>
      <c r="F186" s="61">
        <f>countif(Constants!A:A,E186)</f>
        <v>1</v>
      </c>
      <c r="G186" s="62" t="str">
        <f t="shared" si="1"/>
        <v>1e-3</v>
      </c>
      <c r="H186" s="62">
        <f t="shared" si="2"/>
        <v>0.001</v>
      </c>
      <c r="I186" s="62" t="str">
        <f t="shared" si="3"/>
        <v>(exact)</v>
      </c>
      <c r="J186" s="62" t="str">
        <f t="shared" si="4"/>
        <v/>
      </c>
      <c r="K186" s="62" t="b">
        <f t="shared" si="5"/>
        <v>1</v>
      </c>
      <c r="L186" s="62" t="b">
        <f t="shared" si="6"/>
        <v>0</v>
      </c>
      <c r="M186" s="60" t="str">
        <f>IFERROR(__xludf.DUMMYFUNCTION("if(regexmatch(B186,""e(.*)$""),regexextract(B186,""e(.*)$""),"""")"),"-3")</f>
        <v>-3</v>
      </c>
    </row>
    <row r="187">
      <c r="A187" s="17" t="s">
        <v>2290</v>
      </c>
      <c r="B187" s="64" t="s">
        <v>3744</v>
      </c>
      <c r="C187" s="17" t="s">
        <v>1501</v>
      </c>
      <c r="D187" s="17" t="s">
        <v>286</v>
      </c>
      <c r="E187" s="60" t="str">
        <f>VLOOKUP($A187,nist_names_ids!A:B,2,false)</f>
        <v>mm12c</v>
      </c>
      <c r="F187" s="61">
        <f>countif(Constants!A:A,E187)</f>
        <v>1</v>
      </c>
      <c r="G187" s="62" t="str">
        <f t="shared" si="1"/>
        <v>12e-3</v>
      </c>
      <c r="H187" s="62">
        <f t="shared" si="2"/>
        <v>0.012</v>
      </c>
      <c r="I187" s="62" t="str">
        <f t="shared" si="3"/>
        <v>(exact)</v>
      </c>
      <c r="J187" s="62" t="str">
        <f t="shared" si="4"/>
        <v/>
      </c>
      <c r="K187" s="62" t="b">
        <f t="shared" si="5"/>
        <v>1</v>
      </c>
      <c r="L187" s="62" t="b">
        <f t="shared" si="6"/>
        <v>0</v>
      </c>
      <c r="M187" s="60" t="str">
        <f>IFERROR(__xludf.DUMMYFUNCTION("if(regexmatch(B187,""e(.*)$""),regexextract(B187,""e(.*)$""),"""")"),"-3")</f>
        <v>-3</v>
      </c>
    </row>
    <row r="188">
      <c r="A188" s="17" t="s">
        <v>2295</v>
      </c>
      <c r="B188" s="17" t="s">
        <v>4462</v>
      </c>
      <c r="C188" s="17" t="s">
        <v>4463</v>
      </c>
      <c r="D188" s="17" t="s">
        <v>3748</v>
      </c>
      <c r="E188" s="60" t="str">
        <f>VLOOKUP($A188,nist_names_ids!A:B,2,false)</f>
        <v>nah</v>
      </c>
      <c r="F188" s="61">
        <f>countif(Constants!A:A,E188)</f>
        <v>1</v>
      </c>
      <c r="G188" s="62" t="str">
        <f t="shared" si="1"/>
        <v>3.9903127176e-10</v>
      </c>
      <c r="H188" s="62">
        <f t="shared" si="2"/>
        <v>0.0000000003990312718</v>
      </c>
      <c r="I188" s="62" t="str">
        <f t="shared" si="3"/>
        <v>0.0000000028e-10</v>
      </c>
      <c r="J188" s="62">
        <f t="shared" si="4"/>
        <v>0</v>
      </c>
      <c r="K188" s="62" t="b">
        <f t="shared" si="5"/>
        <v>0</v>
      </c>
      <c r="L188" s="62" t="b">
        <f t="shared" si="6"/>
        <v>0</v>
      </c>
      <c r="M188" s="60" t="str">
        <f>IFERROR(__xludf.DUMMYFUNCTION("if(regexmatch(B188,""e(.*)$""),regexextract(B188,""e(.*)$""),"""")"),"-10")</f>
        <v>-10</v>
      </c>
    </row>
    <row r="189">
      <c r="A189" s="17" t="s">
        <v>3311</v>
      </c>
      <c r="B189" s="17" t="s">
        <v>4470</v>
      </c>
      <c r="C189" s="17" t="s">
        <v>4471</v>
      </c>
      <c r="D189" s="17" t="s">
        <v>3314</v>
      </c>
      <c r="E189" s="60" t="str">
        <f>VLOOKUP($A189,nist_names_ids!A:B,2,false)</f>
        <v>nahc</v>
      </c>
      <c r="F189" s="61">
        <f>countif(Constants!A:A,E189)</f>
        <v>1</v>
      </c>
      <c r="G189" s="62" t="str">
        <f t="shared" si="1"/>
        <v>0.119626565779</v>
      </c>
      <c r="H189" s="62">
        <f t="shared" si="2"/>
        <v>0.1196265658</v>
      </c>
      <c r="I189" s="62" t="str">
        <f t="shared" si="3"/>
        <v>0.000000000084</v>
      </c>
      <c r="J189" s="62">
        <f t="shared" si="4"/>
        <v>0</v>
      </c>
      <c r="K189" s="62" t="b">
        <f t="shared" si="5"/>
        <v>0</v>
      </c>
      <c r="L189" s="62" t="b">
        <f t="shared" si="6"/>
        <v>0</v>
      </c>
      <c r="M189" s="60" t="str">
        <f>IFERROR(__xludf.DUMMYFUNCTION("if(regexmatch(B189,""e(.*)$""),regexextract(B189,""e(.*)$""),"""")"),"")</f>
        <v/>
      </c>
    </row>
    <row r="190">
      <c r="A190" s="17" t="s">
        <v>2300</v>
      </c>
      <c r="B190" s="17" t="s">
        <v>4475</v>
      </c>
      <c r="C190" s="17" t="s">
        <v>4476</v>
      </c>
      <c r="D190" s="17" t="s">
        <v>2302</v>
      </c>
      <c r="E190" s="60" t="str">
        <f>VLOOKUP($A190,nist_names_ids!A:B,2,false)</f>
        <v>mvol</v>
      </c>
      <c r="F190" s="61">
        <f>countif(Constants!A:A,E190)</f>
        <v>1</v>
      </c>
      <c r="G190" s="62" t="str">
        <f t="shared" si="1"/>
        <v>22.710953e-3</v>
      </c>
      <c r="H190" s="62">
        <f t="shared" si="2"/>
        <v>0.022710953</v>
      </c>
      <c r="I190" s="62" t="str">
        <f t="shared" si="3"/>
        <v>0.000021e-3</v>
      </c>
      <c r="J190" s="62">
        <f t="shared" si="4"/>
        <v>0.000000021</v>
      </c>
      <c r="K190" s="62" t="b">
        <f t="shared" si="5"/>
        <v>0</v>
      </c>
      <c r="L190" s="62" t="b">
        <f t="shared" si="6"/>
        <v>0</v>
      </c>
      <c r="M190" s="60" t="str">
        <f>IFERROR(__xludf.DUMMYFUNCTION("if(regexmatch(B190,""e(.*)$""),regexextract(B190,""e(.*)$""),"""")"),"-3")</f>
        <v>-3</v>
      </c>
    </row>
    <row r="191">
      <c r="A191" s="17" t="s">
        <v>2303</v>
      </c>
      <c r="B191" s="17" t="s">
        <v>4478</v>
      </c>
      <c r="C191" s="17" t="s">
        <v>4479</v>
      </c>
      <c r="D191" s="17" t="s">
        <v>2302</v>
      </c>
      <c r="E191" s="60" t="str">
        <f>VLOOKUP($A191,nist_names_ids!A:B,2,false)</f>
        <v>mvolstd</v>
      </c>
      <c r="F191" s="61">
        <f>countif(Constants!A:A,E191)</f>
        <v>1</v>
      </c>
      <c r="G191" s="62" t="str">
        <f t="shared" si="1"/>
        <v>22.413968e-3</v>
      </c>
      <c r="H191" s="62">
        <f t="shared" si="2"/>
        <v>0.022413968</v>
      </c>
      <c r="I191" s="62" t="str">
        <f t="shared" si="3"/>
        <v>0.000020e-3</v>
      </c>
      <c r="J191" s="62">
        <f t="shared" si="4"/>
        <v>0.00000002</v>
      </c>
      <c r="K191" s="62" t="b">
        <f t="shared" si="5"/>
        <v>0</v>
      </c>
      <c r="L191" s="62" t="b">
        <f t="shared" si="6"/>
        <v>0</v>
      </c>
      <c r="M191" s="60" t="str">
        <f>IFERROR(__xludf.DUMMYFUNCTION("if(regexmatch(B191,""e(.*)$""),regexextract(B191,""e(.*)$""),"""")"),"-3")</f>
        <v>-3</v>
      </c>
    </row>
    <row r="192">
      <c r="A192" s="17" t="s">
        <v>2308</v>
      </c>
      <c r="B192" s="17" t="s">
        <v>4483</v>
      </c>
      <c r="C192" s="17" t="s">
        <v>4484</v>
      </c>
      <c r="D192" s="17" t="s">
        <v>2302</v>
      </c>
      <c r="E192" s="60" t="str">
        <f>VLOOKUP($A192,nist_names_ids!A:B,2,false)</f>
        <v>mvolsil</v>
      </c>
      <c r="F192" s="61">
        <f>countif(Constants!A:A,E192)</f>
        <v>1</v>
      </c>
      <c r="G192" s="62" t="str">
        <f t="shared" si="1"/>
        <v>12.05883301e-6</v>
      </c>
      <c r="H192" s="62">
        <f t="shared" si="2"/>
        <v>0.00001205883301</v>
      </c>
      <c r="I192" s="62" t="str">
        <f t="shared" si="3"/>
        <v>0.00000080e-6</v>
      </c>
      <c r="J192" s="62">
        <f t="shared" si="4"/>
        <v>0</v>
      </c>
      <c r="K192" s="62" t="b">
        <f t="shared" si="5"/>
        <v>0</v>
      </c>
      <c r="L192" s="62" t="b">
        <f t="shared" si="6"/>
        <v>0</v>
      </c>
      <c r="M192" s="60" t="str">
        <f>IFERROR(__xludf.DUMMYFUNCTION("if(regexmatch(B192,""e(.*)$""),regexextract(B192,""e(.*)$""),"""")"),"-6")</f>
        <v>-6</v>
      </c>
    </row>
    <row r="193">
      <c r="A193" s="17" t="s">
        <v>3323</v>
      </c>
      <c r="B193" s="17" t="s">
        <v>3231</v>
      </c>
      <c r="C193" s="17" t="s">
        <v>2315</v>
      </c>
      <c r="D193" s="17" t="s">
        <v>381</v>
      </c>
      <c r="E193" s="60" t="str">
        <f>VLOOKUP($A193,nist_names_ids!A:B,2,false)</f>
        <v>xumokalph1</v>
      </c>
      <c r="F193" s="61">
        <f>countif(Constants!A:A,E193)</f>
        <v>1</v>
      </c>
      <c r="G193" s="62" t="str">
        <f t="shared" si="1"/>
        <v>1.00209952e-13</v>
      </c>
      <c r="H193" s="62">
        <f t="shared" si="2"/>
        <v>0</v>
      </c>
      <c r="I193" s="62" t="str">
        <f t="shared" si="3"/>
        <v>0.00000053e-13</v>
      </c>
      <c r="J193" s="62">
        <f t="shared" si="4"/>
        <v>0</v>
      </c>
      <c r="K193" s="62" t="b">
        <f t="shared" si="5"/>
        <v>0</v>
      </c>
      <c r="L193" s="62" t="b">
        <f t="shared" si="6"/>
        <v>0</v>
      </c>
      <c r="M193" s="60" t="str">
        <f>IFERROR(__xludf.DUMMYFUNCTION("if(regexmatch(B193,""e(.*)$""),regexextract(B193,""e(.*)$""),"""")"),"-13")</f>
        <v>-13</v>
      </c>
    </row>
    <row r="194">
      <c r="A194" s="17" t="s">
        <v>2318</v>
      </c>
      <c r="B194" s="17" t="s">
        <v>4492</v>
      </c>
      <c r="C194" s="17" t="s">
        <v>4493</v>
      </c>
      <c r="D194" s="17" t="s">
        <v>381</v>
      </c>
      <c r="E194" s="60" t="str">
        <f>VLOOKUP($A194,nist_names_ids!A:B,2,false)</f>
        <v>mcomwl</v>
      </c>
      <c r="F194" s="61">
        <f>countif(Constants!A:A,E194)</f>
        <v>1</v>
      </c>
      <c r="G194" s="62" t="str">
        <f t="shared" si="1"/>
        <v>11.73444103e-15</v>
      </c>
      <c r="H194" s="62">
        <f t="shared" si="2"/>
        <v>0</v>
      </c>
      <c r="I194" s="62" t="str">
        <f t="shared" si="3"/>
        <v>0.00000030e-15</v>
      </c>
      <c r="J194" s="62">
        <f t="shared" si="4"/>
        <v>0</v>
      </c>
      <c r="K194" s="62" t="b">
        <f t="shared" si="5"/>
        <v>0</v>
      </c>
      <c r="L194" s="62" t="b">
        <f t="shared" si="6"/>
        <v>0</v>
      </c>
      <c r="M194" s="60" t="str">
        <f>IFERROR(__xludf.DUMMYFUNCTION("if(regexmatch(B194,""e(.*)$""),regexextract(B194,""e(.*)$""),"""")"),"-15")</f>
        <v>-15</v>
      </c>
    </row>
    <row r="195">
      <c r="A195" s="17" t="s">
        <v>3398</v>
      </c>
      <c r="B195" s="17" t="s">
        <v>4494</v>
      </c>
      <c r="C195" s="17" t="s">
        <v>4495</v>
      </c>
      <c r="D195" s="17" t="s">
        <v>381</v>
      </c>
      <c r="E195" s="60" t="str">
        <f>VLOOKUP($A195,nist_names_ids!A:B,2,false)</f>
        <v>mcomwlbar</v>
      </c>
      <c r="F195" s="61">
        <f>countif(Constants!A:A,E195)</f>
        <v>1</v>
      </c>
      <c r="G195" s="62" t="str">
        <f t="shared" si="1"/>
        <v>1.867594294e-15</v>
      </c>
      <c r="H195" s="62">
        <f t="shared" si="2"/>
        <v>0</v>
      </c>
      <c r="I195" s="62" t="str">
        <f t="shared" si="3"/>
        <v>0.000000047e-15</v>
      </c>
      <c r="J195" s="62">
        <f t="shared" si="4"/>
        <v>0</v>
      </c>
      <c r="K195" s="62" t="b">
        <f t="shared" si="5"/>
        <v>0</v>
      </c>
      <c r="L195" s="62" t="b">
        <f t="shared" si="6"/>
        <v>0</v>
      </c>
      <c r="M195" s="60" t="str">
        <f>IFERROR(__xludf.DUMMYFUNCTION("if(regexmatch(B195,""e(.*)$""),regexextract(B195,""e(.*)$""),"""")"),"-15")</f>
        <v>-15</v>
      </c>
    </row>
    <row r="196">
      <c r="A196" s="17" t="s">
        <v>2326</v>
      </c>
      <c r="B196" s="17" t="s">
        <v>4496</v>
      </c>
      <c r="C196" s="17" t="s">
        <v>4153</v>
      </c>
      <c r="E196" s="60" t="str">
        <f>VLOOKUP($A196,nist_names_ids!A:B,2,false)</f>
        <v>mmusme</v>
      </c>
      <c r="F196" s="61">
        <f>countif(Constants!A:A,E196)</f>
        <v>1</v>
      </c>
      <c r="G196" s="62" t="str">
        <f t="shared" si="1"/>
        <v>206.7682843</v>
      </c>
      <c r="H196" s="62">
        <f t="shared" si="2"/>
        <v>206.7682843</v>
      </c>
      <c r="I196" s="62" t="str">
        <f t="shared" si="3"/>
        <v>0.0000052</v>
      </c>
      <c r="J196" s="62">
        <f t="shared" si="4"/>
        <v>0.0000052</v>
      </c>
      <c r="K196" s="62" t="b">
        <f t="shared" si="5"/>
        <v>0</v>
      </c>
      <c r="L196" s="62" t="b">
        <f t="shared" si="6"/>
        <v>0</v>
      </c>
      <c r="M196" s="60" t="str">
        <f>IFERROR(__xludf.DUMMYFUNCTION("if(regexmatch(B196,""e(.*)$""),regexextract(B196,""e(.*)$""),"""")"),"")</f>
        <v/>
      </c>
    </row>
    <row r="197">
      <c r="A197" s="17" t="s">
        <v>2330</v>
      </c>
      <c r="B197" s="17" t="s">
        <v>3240</v>
      </c>
      <c r="C197" s="17" t="s">
        <v>3241</v>
      </c>
      <c r="E197" s="60" t="str">
        <f>VLOOKUP($A197,nist_names_ids!A:B,2,false)</f>
        <v>gmum</v>
      </c>
      <c r="F197" s="61">
        <f>countif(Constants!A:A,E197)</f>
        <v>1</v>
      </c>
      <c r="G197" s="62" t="str">
        <f t="shared" si="1"/>
        <v>-2.0023318418</v>
      </c>
      <c r="H197" s="62">
        <f t="shared" si="2"/>
        <v>-2.002331842</v>
      </c>
      <c r="I197" s="62" t="str">
        <f t="shared" si="3"/>
        <v>0.0000000013</v>
      </c>
      <c r="J197" s="62">
        <f t="shared" si="4"/>
        <v>0.0000000013</v>
      </c>
      <c r="K197" s="62" t="b">
        <f t="shared" si="5"/>
        <v>0</v>
      </c>
      <c r="L197" s="62" t="b">
        <f t="shared" si="6"/>
        <v>0</v>
      </c>
      <c r="M197" s="60" t="str">
        <f>IFERROR(__xludf.DUMMYFUNCTION("if(regexmatch(B197,""e(.*)$""),regexextract(B197,""e(.*)$""),"""")"),"")</f>
        <v/>
      </c>
    </row>
    <row r="198">
      <c r="A198" s="17" t="s">
        <v>2333</v>
      </c>
      <c r="B198" s="17" t="s">
        <v>4498</v>
      </c>
      <c r="C198" s="17" t="s">
        <v>4499</v>
      </c>
      <c r="D198" s="17" t="s">
        <v>964</v>
      </c>
      <c r="E198" s="60" t="str">
        <f>VLOOKUP($A198,nist_names_ids!A:B,2,false)</f>
        <v>mumum</v>
      </c>
      <c r="F198" s="61">
        <f>countif(Constants!A:A,E198)</f>
        <v>1</v>
      </c>
      <c r="G198" s="62" t="str">
        <f t="shared" si="1"/>
        <v>-4.49044807e-26</v>
      </c>
      <c r="H198" s="62">
        <f t="shared" si="2"/>
        <v>0</v>
      </c>
      <c r="I198" s="62" t="str">
        <f t="shared" si="3"/>
        <v>0.00000015e-26</v>
      </c>
      <c r="J198" s="62">
        <f t="shared" si="4"/>
        <v>0</v>
      </c>
      <c r="K198" s="62" t="b">
        <f t="shared" si="5"/>
        <v>0</v>
      </c>
      <c r="L198" s="62" t="b">
        <f t="shared" si="6"/>
        <v>0</v>
      </c>
      <c r="M198" s="60" t="str">
        <f>IFERROR(__xludf.DUMMYFUNCTION("if(regexmatch(B198,""e(.*)$""),regexextract(B198,""e(.*)$""),"""")"),"-26")</f>
        <v>-26</v>
      </c>
    </row>
    <row r="199">
      <c r="A199" s="17" t="s">
        <v>2338</v>
      </c>
      <c r="B199" s="17" t="s">
        <v>4501</v>
      </c>
      <c r="C199" s="17" t="s">
        <v>3247</v>
      </c>
      <c r="E199" s="60" t="str">
        <f>VLOOKUP($A199,nist_names_ids!A:B,2,false)</f>
        <v>amu</v>
      </c>
      <c r="F199" s="61">
        <f>countif(Constants!A:A,E199)</f>
        <v>1</v>
      </c>
      <c r="G199" s="62" t="str">
        <f t="shared" si="1"/>
        <v>1.16592091e-3</v>
      </c>
      <c r="H199" s="62">
        <f t="shared" si="2"/>
        <v>0.00116592091</v>
      </c>
      <c r="I199" s="62" t="str">
        <f t="shared" si="3"/>
        <v>0.00000063e-3</v>
      </c>
      <c r="J199" s="62">
        <f t="shared" si="4"/>
        <v>0.00000000063</v>
      </c>
      <c r="K199" s="62" t="b">
        <f t="shared" si="5"/>
        <v>0</v>
      </c>
      <c r="L199" s="62" t="b">
        <f t="shared" si="6"/>
        <v>0</v>
      </c>
      <c r="M199" s="60" t="str">
        <f>IFERROR(__xludf.DUMMYFUNCTION("if(regexmatch(B199,""e(.*)$""),regexextract(B199,""e(.*)$""),"""")"),"-3")</f>
        <v>-3</v>
      </c>
    </row>
    <row r="200">
      <c r="A200" s="17" t="s">
        <v>2344</v>
      </c>
      <c r="B200" s="17" t="s">
        <v>4502</v>
      </c>
      <c r="C200" s="17" t="s">
        <v>4158</v>
      </c>
      <c r="E200" s="60" t="str">
        <f>VLOOKUP($A200,nist_names_ids!A:B,2,false)</f>
        <v>mumumsmub</v>
      </c>
      <c r="F200" s="61">
        <f>countif(Constants!A:A,E200)</f>
        <v>1</v>
      </c>
      <c r="G200" s="62" t="str">
        <f t="shared" si="1"/>
        <v>-4.84197044e-3</v>
      </c>
      <c r="H200" s="62">
        <f t="shared" si="2"/>
        <v>-0.00484197044</v>
      </c>
      <c r="I200" s="62" t="str">
        <f t="shared" si="3"/>
        <v>0.00000012e-3</v>
      </c>
      <c r="J200" s="62">
        <f t="shared" si="4"/>
        <v>0.00000000012</v>
      </c>
      <c r="K200" s="62" t="b">
        <f t="shared" si="5"/>
        <v>0</v>
      </c>
      <c r="L200" s="62" t="b">
        <f t="shared" si="6"/>
        <v>0</v>
      </c>
      <c r="M200" s="60" t="str">
        <f>IFERROR(__xludf.DUMMYFUNCTION("if(regexmatch(B200,""e(.*)$""),regexextract(B200,""e(.*)$""),"""")"),"-3")</f>
        <v>-3</v>
      </c>
    </row>
    <row r="201">
      <c r="A201" s="17" t="s">
        <v>2346</v>
      </c>
      <c r="B201" s="17" t="s">
        <v>4503</v>
      </c>
      <c r="C201" s="17" t="s">
        <v>4504</v>
      </c>
      <c r="E201" s="60" t="str">
        <f>VLOOKUP($A201,nist_names_ids!A:B,2,false)</f>
        <v>mumumsmun</v>
      </c>
      <c r="F201" s="61">
        <f>countif(Constants!A:A,E201)</f>
        <v>1</v>
      </c>
      <c r="G201" s="62" t="str">
        <f t="shared" si="1"/>
        <v>-8.89059697</v>
      </c>
      <c r="H201" s="62">
        <f t="shared" si="2"/>
        <v>-8.89059697</v>
      </c>
      <c r="I201" s="62" t="str">
        <f t="shared" si="3"/>
        <v>0.00000022</v>
      </c>
      <c r="J201" s="62">
        <f t="shared" si="4"/>
        <v>0.00000022</v>
      </c>
      <c r="K201" s="62" t="b">
        <f t="shared" si="5"/>
        <v>0</v>
      </c>
      <c r="L201" s="62" t="b">
        <f t="shared" si="6"/>
        <v>0</v>
      </c>
      <c r="M201" s="60" t="str">
        <f>IFERROR(__xludf.DUMMYFUNCTION("if(regexmatch(B201,""e(.*)$""),regexextract(B201,""e(.*)$""),"""")"),"")</f>
        <v/>
      </c>
    </row>
    <row r="202">
      <c r="A202" s="17" t="s">
        <v>2349</v>
      </c>
      <c r="B202" s="17" t="s">
        <v>4505</v>
      </c>
      <c r="C202" s="17" t="s">
        <v>4506</v>
      </c>
      <c r="D202" s="17" t="s">
        <v>98</v>
      </c>
      <c r="E202" s="60" t="str">
        <f>VLOOKUP($A202,nist_names_ids!A:B,2,false)</f>
        <v>mmu</v>
      </c>
      <c r="F202" s="61">
        <f>countif(Constants!A:A,E202)</f>
        <v>1</v>
      </c>
      <c r="G202" s="62" t="str">
        <f t="shared" si="1"/>
        <v>1.883531475e-28</v>
      </c>
      <c r="H202" s="62">
        <f t="shared" si="2"/>
        <v>0</v>
      </c>
      <c r="I202" s="62" t="str">
        <f t="shared" si="3"/>
        <v>0.000000096e-28</v>
      </c>
      <c r="J202" s="62">
        <f t="shared" si="4"/>
        <v>0</v>
      </c>
      <c r="K202" s="62" t="b">
        <f t="shared" si="5"/>
        <v>0</v>
      </c>
      <c r="L202" s="62" t="b">
        <f t="shared" si="6"/>
        <v>0</v>
      </c>
      <c r="M202" s="60" t="str">
        <f>IFERROR(__xludf.DUMMYFUNCTION("if(regexmatch(B202,""e(.*)$""),regexextract(B202,""e(.*)$""),"""")"),"-28")</f>
        <v>-28</v>
      </c>
    </row>
    <row r="203">
      <c r="A203" s="17" t="s">
        <v>2357</v>
      </c>
      <c r="B203" s="17" t="s">
        <v>4508</v>
      </c>
      <c r="C203" s="17" t="s">
        <v>4509</v>
      </c>
      <c r="D203" s="17" t="s">
        <v>173</v>
      </c>
      <c r="E203" s="60" t="str">
        <f>VLOOKUP($A203,nist_names_ids!A:B,2,false)</f>
        <v>mmuc2</v>
      </c>
      <c r="F203" s="61">
        <f>countif(Constants!A:A,E203)</f>
        <v>1</v>
      </c>
      <c r="G203" s="62" t="str">
        <f t="shared" si="1"/>
        <v>1.692833667e-11</v>
      </c>
      <c r="H203" s="62">
        <f t="shared" si="2"/>
        <v>0</v>
      </c>
      <c r="I203" s="62" t="str">
        <f t="shared" si="3"/>
        <v>0.000000086e-11</v>
      </c>
      <c r="J203" s="62">
        <f t="shared" si="4"/>
        <v>0</v>
      </c>
      <c r="K203" s="62" t="b">
        <f t="shared" si="5"/>
        <v>0</v>
      </c>
      <c r="L203" s="62" t="b">
        <f t="shared" si="6"/>
        <v>0</v>
      </c>
      <c r="M203" s="60" t="str">
        <f>IFERROR(__xludf.DUMMYFUNCTION("if(regexmatch(B203,""e(.*)$""),regexextract(B203,""e(.*)$""),"""")"),"-11")</f>
        <v>-11</v>
      </c>
    </row>
    <row r="204">
      <c r="A204" s="17" t="s">
        <v>2362</v>
      </c>
      <c r="B204" s="17" t="s">
        <v>4510</v>
      </c>
      <c r="C204" s="17" t="s">
        <v>4511</v>
      </c>
      <c r="D204" s="17" t="s">
        <v>224</v>
      </c>
      <c r="E204" s="60" t="str">
        <f>VLOOKUP($A204,nist_names_ids!A:B,2,false)</f>
        <v>mmuc2mev</v>
      </c>
      <c r="F204" s="61">
        <f>countif(Constants!A:A,E204)</f>
        <v>1</v>
      </c>
      <c r="G204" s="62" t="str">
        <f t="shared" si="1"/>
        <v>105.6583715</v>
      </c>
      <c r="H204" s="62">
        <f t="shared" si="2"/>
        <v>105.6583715</v>
      </c>
      <c r="I204" s="62" t="str">
        <f t="shared" si="3"/>
        <v>0.0000035</v>
      </c>
      <c r="J204" s="62">
        <f t="shared" si="4"/>
        <v>0.0000035</v>
      </c>
      <c r="K204" s="62" t="b">
        <f t="shared" si="5"/>
        <v>0</v>
      </c>
      <c r="L204" s="62" t="b">
        <f t="shared" si="6"/>
        <v>0</v>
      </c>
      <c r="M204" s="60" t="str">
        <f>IFERROR(__xludf.DUMMYFUNCTION("if(regexmatch(B204,""e(.*)$""),regexextract(B204,""e(.*)$""),"""")"),"")</f>
        <v/>
      </c>
    </row>
    <row r="205">
      <c r="A205" s="17" t="s">
        <v>2367</v>
      </c>
      <c r="B205" s="17" t="s">
        <v>4513</v>
      </c>
      <c r="C205" s="17" t="s">
        <v>4514</v>
      </c>
      <c r="D205" s="17" t="s">
        <v>249</v>
      </c>
      <c r="E205" s="60" t="str">
        <f>VLOOKUP($A205,nist_names_ids!A:B,2,false)</f>
        <v>mmuu</v>
      </c>
      <c r="F205" s="61">
        <f>countif(Constants!A:A,E205)</f>
        <v>1</v>
      </c>
      <c r="G205" s="62" t="str">
        <f t="shared" si="1"/>
        <v>0.1134289267</v>
      </c>
      <c r="H205" s="62">
        <f t="shared" si="2"/>
        <v>0.1134289267</v>
      </c>
      <c r="I205" s="62" t="str">
        <f t="shared" si="3"/>
        <v>0.0000000029</v>
      </c>
      <c r="J205" s="62">
        <f t="shared" si="4"/>
        <v>0.0000000029</v>
      </c>
      <c r="K205" s="62" t="b">
        <f t="shared" si="5"/>
        <v>0</v>
      </c>
      <c r="L205" s="62" t="b">
        <f t="shared" si="6"/>
        <v>0</v>
      </c>
      <c r="M205" s="60" t="str">
        <f>IFERROR(__xludf.DUMMYFUNCTION("if(regexmatch(B205,""e(.*)$""),regexextract(B205,""e(.*)$""),"""")"),"")</f>
        <v/>
      </c>
    </row>
    <row r="206">
      <c r="A206" s="17" t="s">
        <v>2372</v>
      </c>
      <c r="B206" s="17" t="s">
        <v>4515</v>
      </c>
      <c r="C206" s="17" t="s">
        <v>4516</v>
      </c>
      <c r="D206" s="17" t="s">
        <v>286</v>
      </c>
      <c r="E206" s="60" t="str">
        <f>VLOOKUP($A206,nist_names_ids!A:B,2,false)</f>
        <v>mmmu</v>
      </c>
      <c r="F206" s="61">
        <f>countif(Constants!A:A,E206)</f>
        <v>1</v>
      </c>
      <c r="G206" s="62" t="str">
        <f t="shared" si="1"/>
        <v>0.1134289267e-3</v>
      </c>
      <c r="H206" s="62">
        <f t="shared" si="2"/>
        <v>0.0001134289267</v>
      </c>
      <c r="I206" s="62" t="str">
        <f t="shared" si="3"/>
        <v>0.0000000029e-3</v>
      </c>
      <c r="J206" s="62">
        <f t="shared" si="4"/>
        <v>0</v>
      </c>
      <c r="K206" s="62" t="b">
        <f t="shared" si="5"/>
        <v>0</v>
      </c>
      <c r="L206" s="62" t="b">
        <f t="shared" si="6"/>
        <v>0</v>
      </c>
      <c r="M206" s="60" t="str">
        <f>IFERROR(__xludf.DUMMYFUNCTION("if(regexmatch(B206,""e(.*)$""),regexextract(B206,""e(.*)$""),"""")"),"-3")</f>
        <v>-3</v>
      </c>
    </row>
    <row r="207">
      <c r="A207" s="17" t="s">
        <v>2381</v>
      </c>
      <c r="B207" s="17" t="s">
        <v>4519</v>
      </c>
      <c r="C207" s="17" t="s">
        <v>4520</v>
      </c>
      <c r="E207" s="60" t="str">
        <f>VLOOKUP($A207,nist_names_ids!A:B,2,false)</f>
        <v>mmusmn</v>
      </c>
      <c r="F207" s="61">
        <f>countif(Constants!A:A,E207)</f>
        <v>1</v>
      </c>
      <c r="G207" s="62" t="str">
        <f t="shared" si="1"/>
        <v>0.1124545177</v>
      </c>
      <c r="H207" s="62">
        <f t="shared" si="2"/>
        <v>0.1124545177</v>
      </c>
      <c r="I207" s="62" t="str">
        <f t="shared" si="3"/>
        <v>0.0000000028</v>
      </c>
      <c r="J207" s="62">
        <f t="shared" si="4"/>
        <v>0.0000000028</v>
      </c>
      <c r="K207" s="62" t="b">
        <f t="shared" si="5"/>
        <v>0</v>
      </c>
      <c r="L207" s="62" t="b">
        <f t="shared" si="6"/>
        <v>0</v>
      </c>
      <c r="M207" s="60" t="str">
        <f>IFERROR(__xludf.DUMMYFUNCTION("if(regexmatch(B207,""e(.*)$""),regexextract(B207,""e(.*)$""),"""")"),"")</f>
        <v/>
      </c>
    </row>
    <row r="208">
      <c r="A208" s="17" t="s">
        <v>2385</v>
      </c>
      <c r="B208" s="17" t="s">
        <v>4523</v>
      </c>
      <c r="C208" s="17" t="s">
        <v>4124</v>
      </c>
      <c r="E208" s="60" t="str">
        <f>VLOOKUP($A208,nist_names_ids!A:B,2,false)</f>
        <v>mumumsmup</v>
      </c>
      <c r="F208" s="61">
        <f>countif(Constants!A:A,E208)</f>
        <v>1</v>
      </c>
      <c r="G208" s="62" t="str">
        <f t="shared" si="1"/>
        <v>-3.183345107</v>
      </c>
      <c r="H208" s="62">
        <f t="shared" si="2"/>
        <v>-3.183345107</v>
      </c>
      <c r="I208" s="62" t="str">
        <f t="shared" si="3"/>
        <v>0.000000084</v>
      </c>
      <c r="J208" s="62">
        <f t="shared" si="4"/>
        <v>0.000000084</v>
      </c>
      <c r="K208" s="62" t="b">
        <f t="shared" si="5"/>
        <v>0</v>
      </c>
      <c r="L208" s="62" t="b">
        <f t="shared" si="6"/>
        <v>0</v>
      </c>
      <c r="M208" s="60" t="str">
        <f>IFERROR(__xludf.DUMMYFUNCTION("if(regexmatch(B208,""e(.*)$""),regexextract(B208,""e(.*)$""),"""")"),"")</f>
        <v/>
      </c>
    </row>
    <row r="209">
      <c r="A209" s="17" t="s">
        <v>2388</v>
      </c>
      <c r="B209" s="17" t="s">
        <v>4527</v>
      </c>
      <c r="C209" s="17" t="s">
        <v>4520</v>
      </c>
      <c r="E209" s="60" t="str">
        <f>VLOOKUP($A209,nist_names_ids!A:B,2,false)</f>
        <v>mmusmp</v>
      </c>
      <c r="F209" s="61">
        <f>countif(Constants!A:A,E209)</f>
        <v>1</v>
      </c>
      <c r="G209" s="62" t="str">
        <f t="shared" si="1"/>
        <v>0.1126095272</v>
      </c>
      <c r="H209" s="62">
        <f t="shared" si="2"/>
        <v>0.1126095272</v>
      </c>
      <c r="I209" s="62" t="str">
        <f t="shared" si="3"/>
        <v>0.0000000028</v>
      </c>
      <c r="J209" s="62">
        <f t="shared" si="4"/>
        <v>0.0000000028</v>
      </c>
      <c r="K209" s="62" t="b">
        <f t="shared" si="5"/>
        <v>0</v>
      </c>
      <c r="L209" s="62" t="b">
        <f t="shared" si="6"/>
        <v>0</v>
      </c>
      <c r="M209" s="60" t="str">
        <f>IFERROR(__xludf.DUMMYFUNCTION("if(regexmatch(B209,""e(.*)$""),regexextract(B209,""e(.*)$""),"""")"),"")</f>
        <v/>
      </c>
    </row>
    <row r="210">
      <c r="A210" s="17" t="s">
        <v>2392</v>
      </c>
      <c r="B210" s="17" t="s">
        <v>3807</v>
      </c>
      <c r="C210" s="17" t="s">
        <v>3808</v>
      </c>
      <c r="E210" s="60" t="str">
        <f>VLOOKUP($A210,nist_names_ids!A:B,2,false)</f>
        <v>mmusmtau</v>
      </c>
      <c r="F210" s="61">
        <f>countif(Constants!A:A,E210)</f>
        <v>1</v>
      </c>
      <c r="G210" s="62" t="str">
        <f t="shared" si="1"/>
        <v>5.94649e-2</v>
      </c>
      <c r="H210" s="62">
        <f t="shared" si="2"/>
        <v>0.0594649</v>
      </c>
      <c r="I210" s="62" t="str">
        <f t="shared" si="3"/>
        <v>0.00054e-2</v>
      </c>
      <c r="J210" s="62">
        <f t="shared" si="4"/>
        <v>0.0000054</v>
      </c>
      <c r="K210" s="62" t="b">
        <f t="shared" si="5"/>
        <v>0</v>
      </c>
      <c r="L210" s="62" t="b">
        <f t="shared" si="6"/>
        <v>0</v>
      </c>
      <c r="M210" s="60" t="str">
        <f>IFERROR(__xludf.DUMMYFUNCTION("if(regexmatch(B210,""e(.*)$""),regexextract(B210,""e(.*)$""),"""")"),"-2")</f>
        <v>-2</v>
      </c>
    </row>
    <row r="211">
      <c r="A211" s="17" t="s">
        <v>2399</v>
      </c>
      <c r="B211" s="17" t="s">
        <v>3849</v>
      </c>
      <c r="C211" s="17" t="s">
        <v>3851</v>
      </c>
      <c r="D211" s="17" t="s">
        <v>714</v>
      </c>
      <c r="E211" s="60" t="str">
        <f>VLOOKUP($A211,nist_names_ids!A:B,2,false)</f>
        <v>thbar</v>
      </c>
      <c r="F211" s="61">
        <f>countif(Constants!A:A,E211)</f>
        <v>1</v>
      </c>
      <c r="G211" s="62" t="str">
        <f t="shared" si="1"/>
        <v>1.054571726e-34</v>
      </c>
      <c r="H211" s="62">
        <f t="shared" si="2"/>
        <v>0</v>
      </c>
      <c r="I211" s="62" t="str">
        <f t="shared" si="3"/>
        <v>0.000000047e-34</v>
      </c>
      <c r="J211" s="62">
        <f t="shared" si="4"/>
        <v>0</v>
      </c>
      <c r="K211" s="62" t="b">
        <f t="shared" si="5"/>
        <v>0</v>
      </c>
      <c r="L211" s="62" t="b">
        <f t="shared" si="6"/>
        <v>0</v>
      </c>
      <c r="M211" s="60" t="str">
        <f>IFERROR(__xludf.DUMMYFUNCTION("if(regexmatch(B211,""e(.*)$""),regexextract(B211,""e(.*)$""),"""")"),"-34")</f>
        <v>-34</v>
      </c>
    </row>
    <row r="212">
      <c r="A212" s="17" t="s">
        <v>2400</v>
      </c>
      <c r="B212" s="17" t="s">
        <v>4535</v>
      </c>
      <c r="C212" s="17" t="s">
        <v>4536</v>
      </c>
      <c r="D212" s="17" t="s">
        <v>2402</v>
      </c>
      <c r="E212" s="60" t="str">
        <f>VLOOKUP($A212,nist_names_ids!A:B,2,false)</f>
        <v>thbarev</v>
      </c>
      <c r="F212" s="61">
        <f>countif(Constants!A:A,E212)</f>
        <v>1</v>
      </c>
      <c r="G212" s="62" t="str">
        <f t="shared" si="1"/>
        <v>6.58211928e-16</v>
      </c>
      <c r="H212" s="62">
        <f t="shared" si="2"/>
        <v>0</v>
      </c>
      <c r="I212" s="62" t="str">
        <f t="shared" si="3"/>
        <v>0.00000015e-16</v>
      </c>
      <c r="J212" s="62">
        <f t="shared" si="4"/>
        <v>0</v>
      </c>
      <c r="K212" s="62" t="b">
        <f t="shared" si="5"/>
        <v>0</v>
      </c>
      <c r="L212" s="62" t="b">
        <f t="shared" si="6"/>
        <v>0</v>
      </c>
      <c r="M212" s="60" t="str">
        <f>IFERROR(__xludf.DUMMYFUNCTION("if(regexmatch(B212,""e(.*)$""),regexextract(B212,""e(.*)$""),"""")"),"-16")</f>
        <v>-16</v>
      </c>
    </row>
    <row r="213">
      <c r="A213" s="17" t="s">
        <v>2405</v>
      </c>
      <c r="B213" s="17" t="s">
        <v>4136</v>
      </c>
      <c r="C213" s="17" t="s">
        <v>4137</v>
      </c>
      <c r="D213" s="17" t="s">
        <v>173</v>
      </c>
      <c r="E213" s="60" t="str">
        <f>VLOOKUP($A213,nist_names_ids!A:B,2,false)</f>
        <v>tmec2</v>
      </c>
      <c r="F213" s="61">
        <f>countif(Constants!A:A,E213)</f>
        <v>1</v>
      </c>
      <c r="G213" s="62" t="str">
        <f t="shared" si="1"/>
        <v>8.18710506e-14</v>
      </c>
      <c r="H213" s="62">
        <f t="shared" si="2"/>
        <v>0</v>
      </c>
      <c r="I213" s="62" t="str">
        <f t="shared" si="3"/>
        <v>0.00000036e-14</v>
      </c>
      <c r="J213" s="62">
        <f t="shared" si="4"/>
        <v>0</v>
      </c>
      <c r="K213" s="62" t="b">
        <f t="shared" si="5"/>
        <v>0</v>
      </c>
      <c r="L213" s="62" t="b">
        <f t="shared" si="6"/>
        <v>0</v>
      </c>
      <c r="M213" s="60" t="str">
        <f>IFERROR(__xludf.DUMMYFUNCTION("if(regexmatch(B213,""e(.*)$""),regexextract(B213,""e(.*)$""),"""")"),"-14")</f>
        <v>-14</v>
      </c>
    </row>
    <row r="214">
      <c r="A214" s="17" t="s">
        <v>2409</v>
      </c>
      <c r="B214" s="17" t="s">
        <v>4140</v>
      </c>
      <c r="C214" s="17" t="s">
        <v>2865</v>
      </c>
      <c r="D214" s="17" t="s">
        <v>224</v>
      </c>
      <c r="E214" s="60" t="str">
        <f>VLOOKUP($A214,nist_names_ids!A:B,2,false)</f>
        <v>tmec2mev</v>
      </c>
      <c r="F214" s="61">
        <f>countif(Constants!A:A,E214)</f>
        <v>1</v>
      </c>
      <c r="G214" s="62" t="str">
        <f t="shared" si="1"/>
        <v>0.510998928</v>
      </c>
      <c r="H214" s="62">
        <f t="shared" si="2"/>
        <v>0.510998928</v>
      </c>
      <c r="I214" s="62" t="str">
        <f t="shared" si="3"/>
        <v>0.000000011</v>
      </c>
      <c r="J214" s="62">
        <f t="shared" si="4"/>
        <v>0.000000011</v>
      </c>
      <c r="K214" s="62" t="b">
        <f t="shared" si="5"/>
        <v>0</v>
      </c>
      <c r="L214" s="62" t="b">
        <f t="shared" si="6"/>
        <v>0</v>
      </c>
      <c r="M214" s="60" t="str">
        <f>IFERROR(__xludf.DUMMYFUNCTION("if(regexmatch(B214,""e(.*)$""),regexextract(B214,""e(.*)$""),"""")"),"")</f>
        <v/>
      </c>
    </row>
    <row r="215">
      <c r="A215" s="17" t="s">
        <v>2410</v>
      </c>
      <c r="B215" s="17" t="s">
        <v>3984</v>
      </c>
      <c r="C215" s="17" t="s">
        <v>3985</v>
      </c>
      <c r="D215" s="17" t="s">
        <v>381</v>
      </c>
      <c r="E215" s="60" t="str">
        <f>VLOOKUP($A215,nist_names_ids!A:B,2,false)</f>
        <v>tecomwlbar</v>
      </c>
      <c r="F215" s="61">
        <f>countif(Constants!A:A,E215)</f>
        <v>1</v>
      </c>
      <c r="G215" s="62" t="str">
        <f t="shared" si="1"/>
        <v>386.15926800e-15</v>
      </c>
      <c r="H215" s="62">
        <f t="shared" si="2"/>
        <v>0</v>
      </c>
      <c r="I215" s="62" t="str">
        <f t="shared" si="3"/>
        <v>0.00000025e-15</v>
      </c>
      <c r="J215" s="62">
        <f t="shared" si="4"/>
        <v>0</v>
      </c>
      <c r="K215" s="62" t="b">
        <f t="shared" si="5"/>
        <v>0</v>
      </c>
      <c r="L215" s="62" t="b">
        <f t="shared" si="6"/>
        <v>0</v>
      </c>
      <c r="M215" s="60" t="str">
        <f>IFERROR(__xludf.DUMMYFUNCTION("if(regexmatch(B215,""e(.*)$""),regexextract(B215,""e(.*)$""),"""")"),"-15")</f>
        <v>-15</v>
      </c>
    </row>
    <row r="216">
      <c r="A216" s="17" t="s">
        <v>2414</v>
      </c>
      <c r="B216" s="17" t="s">
        <v>3912</v>
      </c>
      <c r="C216" s="17" t="s">
        <v>3913</v>
      </c>
      <c r="D216" s="17" t="s">
        <v>98</v>
      </c>
      <c r="E216" s="60" t="str">
        <f>VLOOKUP($A216,nist_names_ids!A:B,2,false)</f>
        <v>tme</v>
      </c>
      <c r="F216" s="61">
        <f>countif(Constants!A:A,E216)</f>
        <v>1</v>
      </c>
      <c r="G216" s="62" t="str">
        <f t="shared" si="1"/>
        <v>9.10938291e-31</v>
      </c>
      <c r="H216" s="62">
        <f t="shared" si="2"/>
        <v>0</v>
      </c>
      <c r="I216" s="62" t="str">
        <f t="shared" si="3"/>
        <v>0.00000040e-31</v>
      </c>
      <c r="J216" s="62">
        <f t="shared" si="4"/>
        <v>0</v>
      </c>
      <c r="K216" s="62" t="b">
        <f t="shared" si="5"/>
        <v>0</v>
      </c>
      <c r="L216" s="62" t="b">
        <f t="shared" si="6"/>
        <v>0</v>
      </c>
      <c r="M216" s="60" t="str">
        <f>IFERROR(__xludf.DUMMYFUNCTION("if(regexmatch(B216,""e(.*)$""),regexextract(B216,""e(.*)$""),"""")"),"-31")</f>
        <v>-31</v>
      </c>
    </row>
    <row r="217">
      <c r="A217" s="17" t="s">
        <v>3831</v>
      </c>
      <c r="B217" s="17" t="s">
        <v>4548</v>
      </c>
      <c r="C217" s="17" t="s">
        <v>4549</v>
      </c>
      <c r="D217" s="17" t="s">
        <v>1058</v>
      </c>
      <c r="E217" s="60" t="str">
        <f>VLOOKUP($A217,nist_names_ids!A:B,2,false)</f>
        <v>mec</v>
      </c>
      <c r="F217" s="61">
        <f>countif(Constants!A:A,E217)</f>
        <v>1</v>
      </c>
      <c r="G217" s="62" t="str">
        <f t="shared" si="1"/>
        <v>2.73092429e-22</v>
      </c>
      <c r="H217" s="62">
        <f t="shared" si="2"/>
        <v>0</v>
      </c>
      <c r="I217" s="62" t="str">
        <f t="shared" si="3"/>
        <v>0.00000012e-22</v>
      </c>
      <c r="J217" s="62">
        <f t="shared" si="4"/>
        <v>0</v>
      </c>
      <c r="K217" s="62" t="b">
        <f t="shared" si="5"/>
        <v>0</v>
      </c>
      <c r="L217" s="62" t="b">
        <f t="shared" si="6"/>
        <v>0</v>
      </c>
      <c r="M217" s="60" t="str">
        <f>IFERROR(__xludf.DUMMYFUNCTION("if(regexmatch(B217,""e(.*)$""),regexextract(B217,""e(.*)$""),"""")"),"-22")</f>
        <v>-22</v>
      </c>
    </row>
    <row r="218">
      <c r="A218" s="17" t="s">
        <v>3835</v>
      </c>
      <c r="B218" s="17" t="s">
        <v>4140</v>
      </c>
      <c r="C218" s="17" t="s">
        <v>2865</v>
      </c>
      <c r="D218" s="17" t="s">
        <v>2425</v>
      </c>
      <c r="E218" s="60" t="str">
        <f>VLOOKUP($A218,nist_names_ids!A:B,2,false)</f>
        <v>mecmevsc</v>
      </c>
      <c r="F218" s="61">
        <f>countif(Constants!A:A,E218)</f>
        <v>1</v>
      </c>
      <c r="G218" s="62" t="str">
        <f t="shared" si="1"/>
        <v>0.510998928</v>
      </c>
      <c r="H218" s="62">
        <f t="shared" si="2"/>
        <v>0.510998928</v>
      </c>
      <c r="I218" s="62" t="str">
        <f t="shared" si="3"/>
        <v>0.000000011</v>
      </c>
      <c r="J218" s="62">
        <f t="shared" si="4"/>
        <v>0.000000011</v>
      </c>
      <c r="K218" s="62" t="b">
        <f t="shared" si="5"/>
        <v>0</v>
      </c>
      <c r="L218" s="62" t="b">
        <f t="shared" si="6"/>
        <v>0</v>
      </c>
      <c r="M218" s="60" t="str">
        <f>IFERROR(__xludf.DUMMYFUNCTION("if(regexmatch(B218,""e(.*)$""),regexextract(B218,""e(.*)$""),"""")"),"")</f>
        <v/>
      </c>
    </row>
    <row r="219">
      <c r="A219" s="17" t="s">
        <v>2427</v>
      </c>
      <c r="B219" s="17" t="s">
        <v>4555</v>
      </c>
      <c r="C219" s="17" t="s">
        <v>4556</v>
      </c>
      <c r="D219" s="17" t="s">
        <v>520</v>
      </c>
      <c r="E219" s="60" t="str">
        <f>VLOOKUP($A219,nist_names_ids!A:B,2,false)</f>
        <v>nut</v>
      </c>
      <c r="F219" s="61">
        <f>countif(Constants!A:A,E219)</f>
        <v>1</v>
      </c>
      <c r="G219" s="62" t="str">
        <f t="shared" si="1"/>
        <v>1.28808866833e-21</v>
      </c>
      <c r="H219" s="62">
        <f t="shared" si="2"/>
        <v>0</v>
      </c>
      <c r="I219" s="62" t="str">
        <f t="shared" si="3"/>
        <v>0.00000000083e-21</v>
      </c>
      <c r="J219" s="62">
        <f t="shared" si="4"/>
        <v>0</v>
      </c>
      <c r="K219" s="62" t="b">
        <f t="shared" si="5"/>
        <v>0</v>
      </c>
      <c r="L219" s="62" t="b">
        <f t="shared" si="6"/>
        <v>0</v>
      </c>
      <c r="M219" s="60" t="str">
        <f>IFERROR(__xludf.DUMMYFUNCTION("if(regexmatch(B219,""e(.*)$""),regexextract(B219,""e(.*)$""),"""")"),"-21")</f>
        <v>-21</v>
      </c>
    </row>
    <row r="220">
      <c r="A220" s="17" t="s">
        <v>2433</v>
      </c>
      <c r="B220" s="17" t="s">
        <v>3106</v>
      </c>
      <c r="C220" s="17" t="s">
        <v>1501</v>
      </c>
      <c r="D220" s="17" t="s">
        <v>1109</v>
      </c>
      <c r="E220" s="60" t="str">
        <f>VLOOKUP($A220,nist_names_ids!A:B,2,false)</f>
        <v>tc</v>
      </c>
      <c r="F220" s="61">
        <f>countif(Constants!A:A,E220)</f>
        <v>1</v>
      </c>
      <c r="G220" s="62" t="str">
        <f t="shared" si="1"/>
        <v>299792458</v>
      </c>
      <c r="H220" s="62">
        <f t="shared" si="2"/>
        <v>299792458</v>
      </c>
      <c r="I220" s="62" t="str">
        <f t="shared" si="3"/>
        <v>(exact)</v>
      </c>
      <c r="J220" s="62" t="str">
        <f t="shared" si="4"/>
        <v/>
      </c>
      <c r="K220" s="62" t="b">
        <f t="shared" si="5"/>
        <v>1</v>
      </c>
      <c r="L220" s="62" t="b">
        <f t="shared" si="6"/>
        <v>0</v>
      </c>
      <c r="M220" s="60" t="str">
        <f>IFERROR(__xludf.DUMMYFUNCTION("if(regexmatch(B220,""e(.*)$""),regexextract(B220,""e(.*)$""),"""")"),"")</f>
        <v/>
      </c>
    </row>
    <row r="221">
      <c r="A221" s="17" t="s">
        <v>2439</v>
      </c>
      <c r="B221" s="17" t="s">
        <v>4563</v>
      </c>
      <c r="C221" s="17" t="s">
        <v>4564</v>
      </c>
      <c r="D221" s="17" t="s">
        <v>381</v>
      </c>
      <c r="E221" s="60" t="str">
        <f>VLOOKUP($A221,nist_names_ids!A:B,2,false)</f>
        <v>ncomwl</v>
      </c>
      <c r="F221" s="61">
        <f>countif(Constants!A:A,E221)</f>
        <v>1</v>
      </c>
      <c r="G221" s="62" t="str">
        <f t="shared" si="1"/>
        <v>1.3195909068e-15</v>
      </c>
      <c r="H221" s="62">
        <f t="shared" si="2"/>
        <v>0</v>
      </c>
      <c r="I221" s="62" t="str">
        <f t="shared" si="3"/>
        <v>0.0000000011e-15</v>
      </c>
      <c r="J221" s="62">
        <f t="shared" si="4"/>
        <v>0</v>
      </c>
      <c r="K221" s="62" t="b">
        <f t="shared" si="5"/>
        <v>0</v>
      </c>
      <c r="L221" s="62" t="b">
        <f t="shared" si="6"/>
        <v>0</v>
      </c>
      <c r="M221" s="60" t="str">
        <f>IFERROR(__xludf.DUMMYFUNCTION("if(regexmatch(B221,""e(.*)$""),regexextract(B221,""e(.*)$""),"""")"),"-15")</f>
        <v>-15</v>
      </c>
    </row>
    <row r="222">
      <c r="A222" s="17" t="s">
        <v>3674</v>
      </c>
      <c r="B222" s="17" t="s">
        <v>4566</v>
      </c>
      <c r="C222" s="17" t="s">
        <v>4567</v>
      </c>
      <c r="D222" s="17" t="s">
        <v>381</v>
      </c>
      <c r="E222" s="60" t="str">
        <f>VLOOKUP($A222,nist_names_ids!A:B,2,false)</f>
        <v>ncomwlbar</v>
      </c>
      <c r="F222" s="61">
        <f>countif(Constants!A:A,E222)</f>
        <v>1</v>
      </c>
      <c r="G222" s="62" t="str">
        <f t="shared" si="1"/>
        <v>0.21001941568e-15</v>
      </c>
      <c r="H222" s="62">
        <f t="shared" si="2"/>
        <v>0</v>
      </c>
      <c r="I222" s="62" t="str">
        <f t="shared" si="3"/>
        <v>0.00000000017e-15</v>
      </c>
      <c r="J222" s="62">
        <f t="shared" si="4"/>
        <v>0</v>
      </c>
      <c r="K222" s="62" t="b">
        <f t="shared" si="5"/>
        <v>0</v>
      </c>
      <c r="L222" s="62" t="b">
        <f t="shared" si="6"/>
        <v>0</v>
      </c>
      <c r="M222" s="60" t="str">
        <f>IFERROR(__xludf.DUMMYFUNCTION("if(regexmatch(B222,""e(.*)$""),regexextract(B222,""e(.*)$""),"""")"),"-15")</f>
        <v>-15</v>
      </c>
    </row>
    <row r="223">
      <c r="A223" s="17" t="s">
        <v>2443</v>
      </c>
      <c r="B223" s="17" t="s">
        <v>3302</v>
      </c>
      <c r="C223" s="17" t="s">
        <v>2476</v>
      </c>
      <c r="E223" s="60" t="str">
        <f>VLOOKUP($A223,nist_names_ids!A:B,2,false)</f>
        <v>munsmue</v>
      </c>
      <c r="F223" s="61">
        <f>countif(Constants!A:A,E223)</f>
        <v>1</v>
      </c>
      <c r="G223" s="62" t="str">
        <f t="shared" si="1"/>
        <v>1.04066882e-3</v>
      </c>
      <c r="H223" s="62">
        <f t="shared" si="2"/>
        <v>0.00104066882</v>
      </c>
      <c r="I223" s="62" t="str">
        <f t="shared" si="3"/>
        <v>0.00000025e-3</v>
      </c>
      <c r="J223" s="62">
        <f t="shared" si="4"/>
        <v>0.00000000025</v>
      </c>
      <c r="K223" s="62" t="b">
        <f t="shared" si="5"/>
        <v>0</v>
      </c>
      <c r="L223" s="62" t="b">
        <f t="shared" si="6"/>
        <v>0</v>
      </c>
      <c r="M223" s="60" t="str">
        <f>IFERROR(__xludf.DUMMYFUNCTION("if(regexmatch(B223,""e(.*)$""),regexextract(B223,""e(.*)$""),"""")"),"-3")</f>
        <v>-3</v>
      </c>
    </row>
    <row r="224">
      <c r="A224" s="17" t="s">
        <v>2448</v>
      </c>
      <c r="B224" s="17" t="s">
        <v>4571</v>
      </c>
      <c r="C224" s="17" t="s">
        <v>2325</v>
      </c>
      <c r="E224" s="60" t="str">
        <f>VLOOKUP($A224,nist_names_ids!A:B,2,false)</f>
        <v>mnsme</v>
      </c>
      <c r="F224" s="61">
        <f>countif(Constants!A:A,E224)</f>
        <v>1</v>
      </c>
      <c r="G224" s="62" t="str">
        <f t="shared" si="1"/>
        <v>1838.6836605</v>
      </c>
      <c r="H224" s="62">
        <f t="shared" si="2"/>
        <v>1838.683661</v>
      </c>
      <c r="I224" s="62" t="str">
        <f t="shared" si="3"/>
        <v>0.0000011</v>
      </c>
      <c r="J224" s="62">
        <f t="shared" si="4"/>
        <v>0.0000011</v>
      </c>
      <c r="K224" s="62" t="b">
        <f t="shared" si="5"/>
        <v>0</v>
      </c>
      <c r="L224" s="62" t="b">
        <f t="shared" si="6"/>
        <v>0</v>
      </c>
      <c r="M224" s="60" t="str">
        <f>IFERROR(__xludf.DUMMYFUNCTION("if(regexmatch(B224,""e(.*)$""),regexextract(B224,""e(.*)$""),"""")"),"")</f>
        <v/>
      </c>
    </row>
    <row r="225">
      <c r="A225" s="17" t="s">
        <v>2454</v>
      </c>
      <c r="B225" s="17" t="s">
        <v>3313</v>
      </c>
      <c r="C225" s="17" t="s">
        <v>2456</v>
      </c>
      <c r="E225" s="60" t="str">
        <f>VLOOKUP($A225,nist_names_ids!A:B,2,false)</f>
        <v>gnn</v>
      </c>
      <c r="F225" s="61">
        <f>countif(Constants!A:A,E225)</f>
        <v>1</v>
      </c>
      <c r="G225" s="62" t="str">
        <f t="shared" si="1"/>
        <v>-3.82608545</v>
      </c>
      <c r="H225" s="62">
        <f t="shared" si="2"/>
        <v>-3.82608545</v>
      </c>
      <c r="I225" s="62" t="str">
        <f t="shared" si="3"/>
        <v>0.00000090</v>
      </c>
      <c r="J225" s="62">
        <f t="shared" si="4"/>
        <v>0.0000009</v>
      </c>
      <c r="K225" s="62" t="b">
        <f t="shared" si="5"/>
        <v>0</v>
      </c>
      <c r="L225" s="62" t="b">
        <f t="shared" si="6"/>
        <v>0</v>
      </c>
      <c r="M225" s="60" t="str">
        <f>IFERROR(__xludf.DUMMYFUNCTION("if(regexmatch(B225,""e(.*)$""),regexextract(B225,""e(.*)$""),"""")"),"")</f>
        <v/>
      </c>
    </row>
    <row r="226">
      <c r="A226" s="17" t="s">
        <v>2459</v>
      </c>
      <c r="B226" s="17" t="s">
        <v>4575</v>
      </c>
      <c r="C226" s="17" t="s">
        <v>2461</v>
      </c>
      <c r="D226" s="17" t="s">
        <v>1717</v>
      </c>
      <c r="E226" s="60" t="str">
        <f>VLOOKUP($A226,nist_names_ids!A:B,2,false)</f>
        <v>gamman</v>
      </c>
      <c r="F226" s="61">
        <f>countif(Constants!A:A,E226)</f>
        <v>1</v>
      </c>
      <c r="G226" s="62" t="str">
        <f t="shared" si="1"/>
        <v>1.83247179e8</v>
      </c>
      <c r="H226" s="62">
        <f t="shared" si="2"/>
        <v>183247179</v>
      </c>
      <c r="I226" s="62" t="str">
        <f t="shared" si="3"/>
        <v>0.00000043e8</v>
      </c>
      <c r="J226" s="62">
        <f t="shared" si="4"/>
        <v>43</v>
      </c>
      <c r="K226" s="62" t="b">
        <f t="shared" si="5"/>
        <v>0</v>
      </c>
      <c r="L226" s="62" t="b">
        <f t="shared" si="6"/>
        <v>0</v>
      </c>
      <c r="M226" s="60" t="str">
        <f>IFERROR(__xludf.DUMMYFUNCTION("if(regexmatch(B226,""e(.*)$""),regexextract(B226,""e(.*)$""),"""")"),"8")</f>
        <v>8</v>
      </c>
    </row>
    <row r="227">
      <c r="A227" s="17" t="s">
        <v>3715</v>
      </c>
      <c r="B227" s="17" t="s">
        <v>4578</v>
      </c>
      <c r="C227" s="17" t="s">
        <v>2466</v>
      </c>
      <c r="D227" s="17" t="s">
        <v>1733</v>
      </c>
      <c r="E227" s="60" t="str">
        <f>VLOOKUP($A227,nist_names_ids!A:B,2,false)</f>
        <v>gammanbar</v>
      </c>
      <c r="F227" s="61">
        <f>countif(Constants!A:A,E227)</f>
        <v>1</v>
      </c>
      <c r="G227" s="62" t="str">
        <f t="shared" si="1"/>
        <v>29.1646943</v>
      </c>
      <c r="H227" s="62">
        <f t="shared" si="2"/>
        <v>29.1646943</v>
      </c>
      <c r="I227" s="62" t="str">
        <f t="shared" si="3"/>
        <v>0.0000069</v>
      </c>
      <c r="J227" s="62">
        <f t="shared" si="4"/>
        <v>0.0000069</v>
      </c>
      <c r="K227" s="62" t="b">
        <f t="shared" si="5"/>
        <v>0</v>
      </c>
      <c r="L227" s="62" t="b">
        <f t="shared" si="6"/>
        <v>0</v>
      </c>
      <c r="M227" s="60" t="str">
        <f>IFERROR(__xludf.DUMMYFUNCTION("if(regexmatch(B227,""e(.*)$""),regexextract(B227,""e(.*)$""),"""")"),"")</f>
        <v/>
      </c>
    </row>
    <row r="228">
      <c r="A228" s="17" t="s">
        <v>2469</v>
      </c>
      <c r="B228" s="17" t="s">
        <v>4580</v>
      </c>
      <c r="C228" s="17" t="s">
        <v>3880</v>
      </c>
      <c r="D228" s="17" t="s">
        <v>964</v>
      </c>
      <c r="E228" s="60" t="str">
        <f>VLOOKUP($A228,nist_names_ids!A:B,2,false)</f>
        <v>munn</v>
      </c>
      <c r="F228" s="61">
        <f>countif(Constants!A:A,E228)</f>
        <v>1</v>
      </c>
      <c r="G228" s="62" t="str">
        <f t="shared" si="1"/>
        <v>-0.96623647e-26</v>
      </c>
      <c r="H228" s="62">
        <f t="shared" si="2"/>
        <v>0</v>
      </c>
      <c r="I228" s="62" t="str">
        <f t="shared" si="3"/>
        <v>0.00000023e-26</v>
      </c>
      <c r="J228" s="62">
        <f t="shared" si="4"/>
        <v>0</v>
      </c>
      <c r="K228" s="62" t="b">
        <f t="shared" si="5"/>
        <v>0</v>
      </c>
      <c r="L228" s="62" t="b">
        <f t="shared" si="6"/>
        <v>0</v>
      </c>
      <c r="M228" s="60" t="str">
        <f>IFERROR(__xludf.DUMMYFUNCTION("if(regexmatch(B228,""e(.*)$""),regexextract(B228,""e(.*)$""),"""")"),"-26")</f>
        <v>-26</v>
      </c>
    </row>
    <row r="229">
      <c r="A229" s="17" t="s">
        <v>2473</v>
      </c>
      <c r="B229" s="17" t="s">
        <v>3322</v>
      </c>
      <c r="C229" s="17" t="s">
        <v>2476</v>
      </c>
      <c r="E229" s="60" t="str">
        <f>VLOOKUP($A229,nist_names_ids!A:B,2,false)</f>
        <v>munsmub</v>
      </c>
      <c r="F229" s="61">
        <f>countif(Constants!A:A,E229)</f>
        <v>1</v>
      </c>
      <c r="G229" s="62" t="str">
        <f t="shared" si="1"/>
        <v>-1.04187563e-3</v>
      </c>
      <c r="H229" s="62">
        <f t="shared" si="2"/>
        <v>-0.00104187563</v>
      </c>
      <c r="I229" s="62" t="str">
        <f t="shared" si="3"/>
        <v>0.00000025e-3</v>
      </c>
      <c r="J229" s="62">
        <f t="shared" si="4"/>
        <v>0.00000000025</v>
      </c>
      <c r="K229" s="62" t="b">
        <f t="shared" si="5"/>
        <v>0</v>
      </c>
      <c r="L229" s="62" t="b">
        <f t="shared" si="6"/>
        <v>0</v>
      </c>
      <c r="M229" s="60" t="str">
        <f>IFERROR(__xludf.DUMMYFUNCTION("if(regexmatch(B229,""e(.*)$""),regexextract(B229,""e(.*)$""),"""")"),"-3")</f>
        <v>-3</v>
      </c>
    </row>
    <row r="230">
      <c r="A230" s="17" t="s">
        <v>2478</v>
      </c>
      <c r="B230" s="17" t="s">
        <v>4588</v>
      </c>
      <c r="C230" s="17" t="s">
        <v>2482</v>
      </c>
      <c r="E230" s="60" t="str">
        <f>VLOOKUP($A230,nist_names_ids!A:B,2,false)</f>
        <v>munsmun</v>
      </c>
      <c r="F230" s="61">
        <f>countif(Constants!A:A,E230)</f>
        <v>1</v>
      </c>
      <c r="G230" s="62" t="str">
        <f t="shared" si="1"/>
        <v>-1.91304272</v>
      </c>
      <c r="H230" s="62">
        <f t="shared" si="2"/>
        <v>-1.91304272</v>
      </c>
      <c r="I230" s="62" t="str">
        <f t="shared" si="3"/>
        <v>0.00000045</v>
      </c>
      <c r="J230" s="62">
        <f t="shared" si="4"/>
        <v>0.00000045</v>
      </c>
      <c r="K230" s="62" t="b">
        <f t="shared" si="5"/>
        <v>0</v>
      </c>
      <c r="L230" s="62" t="b">
        <f t="shared" si="6"/>
        <v>0</v>
      </c>
      <c r="M230" s="60" t="str">
        <f>IFERROR(__xludf.DUMMYFUNCTION("if(regexmatch(B230,""e(.*)$""),regexextract(B230,""e(.*)$""),"""")"),"")</f>
        <v/>
      </c>
    </row>
    <row r="231">
      <c r="A231" s="17" t="s">
        <v>2483</v>
      </c>
      <c r="B231" s="17" t="s">
        <v>4590</v>
      </c>
      <c r="C231" s="17" t="s">
        <v>4591</v>
      </c>
      <c r="D231" s="17" t="s">
        <v>98</v>
      </c>
      <c r="E231" s="60" t="str">
        <f>VLOOKUP($A231,nist_names_ids!A:B,2,false)</f>
        <v>mn</v>
      </c>
      <c r="F231" s="61">
        <f>countif(Constants!A:A,E231)</f>
        <v>1</v>
      </c>
      <c r="G231" s="62" t="str">
        <f t="shared" si="1"/>
        <v>1.674927351e-27</v>
      </c>
      <c r="H231" s="62">
        <f t="shared" si="2"/>
        <v>0</v>
      </c>
      <c r="I231" s="62" t="str">
        <f t="shared" si="3"/>
        <v>0.000000074e-27</v>
      </c>
      <c r="J231" s="62">
        <f t="shared" si="4"/>
        <v>0</v>
      </c>
      <c r="K231" s="62" t="b">
        <f t="shared" si="5"/>
        <v>0</v>
      </c>
      <c r="L231" s="62" t="b">
        <f t="shared" si="6"/>
        <v>0</v>
      </c>
      <c r="M231" s="60" t="str">
        <f>IFERROR(__xludf.DUMMYFUNCTION("if(regexmatch(B231,""e(.*)$""),regexextract(B231,""e(.*)$""),"""")"),"-27")</f>
        <v>-27</v>
      </c>
    </row>
    <row r="232">
      <c r="A232" s="17" t="s">
        <v>2490</v>
      </c>
      <c r="B232" s="17" t="s">
        <v>4594</v>
      </c>
      <c r="C232" s="17" t="s">
        <v>3816</v>
      </c>
      <c r="D232" s="17" t="s">
        <v>173</v>
      </c>
      <c r="E232" s="60" t="str">
        <f>VLOOKUP($A232,nist_names_ids!A:B,2,false)</f>
        <v>mnc2</v>
      </c>
      <c r="F232" s="61">
        <f>countif(Constants!A:A,E232)</f>
        <v>1</v>
      </c>
      <c r="G232" s="62" t="str">
        <f t="shared" si="1"/>
        <v>1.505349631e-10</v>
      </c>
      <c r="H232" s="62">
        <f t="shared" si="2"/>
        <v>0.0000000001505349631</v>
      </c>
      <c r="I232" s="62" t="str">
        <f t="shared" si="3"/>
        <v>0.000000066e-10</v>
      </c>
      <c r="J232" s="62">
        <f t="shared" si="4"/>
        <v>0</v>
      </c>
      <c r="K232" s="62" t="b">
        <f t="shared" si="5"/>
        <v>0</v>
      </c>
      <c r="L232" s="62" t="b">
        <f t="shared" si="6"/>
        <v>0</v>
      </c>
      <c r="M232" s="60" t="str">
        <f>IFERROR(__xludf.DUMMYFUNCTION("if(regexmatch(B232,""e(.*)$""),regexextract(B232,""e(.*)$""),"""")"),"-10")</f>
        <v>-10</v>
      </c>
    </row>
    <row r="233">
      <c r="A233" s="17" t="s">
        <v>2495</v>
      </c>
      <c r="B233" s="17" t="s">
        <v>4597</v>
      </c>
      <c r="C233" s="17" t="s">
        <v>3546</v>
      </c>
      <c r="D233" s="17" t="s">
        <v>224</v>
      </c>
      <c r="E233" s="60" t="str">
        <f>VLOOKUP($A233,nist_names_ids!A:B,2,false)</f>
        <v>mnc2mev</v>
      </c>
      <c r="F233" s="61">
        <f>countif(Constants!A:A,E233)</f>
        <v>1</v>
      </c>
      <c r="G233" s="62" t="str">
        <f t="shared" si="1"/>
        <v>939.565379</v>
      </c>
      <c r="H233" s="62">
        <f t="shared" si="2"/>
        <v>939.565379</v>
      </c>
      <c r="I233" s="62" t="str">
        <f t="shared" si="3"/>
        <v>0.000021</v>
      </c>
      <c r="J233" s="62">
        <f t="shared" si="4"/>
        <v>0.000021</v>
      </c>
      <c r="K233" s="62" t="b">
        <f t="shared" si="5"/>
        <v>0</v>
      </c>
      <c r="L233" s="62" t="b">
        <f t="shared" si="6"/>
        <v>0</v>
      </c>
      <c r="M233" s="60" t="str">
        <f>IFERROR(__xludf.DUMMYFUNCTION("if(regexmatch(B233,""e(.*)$""),regexextract(B233,""e(.*)$""),"""")"),"")</f>
        <v/>
      </c>
    </row>
    <row r="234">
      <c r="A234" s="17" t="s">
        <v>2504</v>
      </c>
      <c r="B234" s="17" t="s">
        <v>4599</v>
      </c>
      <c r="C234" s="17" t="s">
        <v>4600</v>
      </c>
      <c r="D234" s="17" t="s">
        <v>249</v>
      </c>
      <c r="E234" s="60" t="str">
        <f>VLOOKUP($A234,nist_names_ids!A:B,2,false)</f>
        <v>mnu</v>
      </c>
      <c r="F234" s="61">
        <f>countif(Constants!A:A,E234)</f>
        <v>1</v>
      </c>
      <c r="G234" s="62" t="str">
        <f t="shared" si="1"/>
        <v>1.00866491600</v>
      </c>
      <c r="H234" s="62">
        <f t="shared" si="2"/>
        <v>1.008664916</v>
      </c>
      <c r="I234" s="62" t="str">
        <f t="shared" si="3"/>
        <v>0.00000000043</v>
      </c>
      <c r="J234" s="62">
        <f t="shared" si="4"/>
        <v>0.00000000043</v>
      </c>
      <c r="K234" s="62" t="b">
        <f t="shared" si="5"/>
        <v>0</v>
      </c>
      <c r="L234" s="62" t="b">
        <f t="shared" si="6"/>
        <v>0</v>
      </c>
      <c r="M234" s="60" t="str">
        <f>IFERROR(__xludf.DUMMYFUNCTION("if(regexmatch(B234,""e(.*)$""),regexextract(B234,""e(.*)$""),"""")"),"")</f>
        <v/>
      </c>
    </row>
    <row r="235">
      <c r="A235" s="17" t="s">
        <v>2508</v>
      </c>
      <c r="B235" s="17" t="s">
        <v>4604</v>
      </c>
      <c r="C235" s="17" t="s">
        <v>4605</v>
      </c>
      <c r="D235" s="17" t="s">
        <v>286</v>
      </c>
      <c r="E235" s="60" t="str">
        <f>VLOOKUP($A235,nist_names_ids!A:B,2,false)</f>
        <v>mmn</v>
      </c>
      <c r="F235" s="61">
        <f>countif(Constants!A:A,E235)</f>
        <v>1</v>
      </c>
      <c r="G235" s="62" t="str">
        <f t="shared" si="1"/>
        <v>1.00866491600e-3</v>
      </c>
      <c r="H235" s="62">
        <f t="shared" si="2"/>
        <v>0.001008664916</v>
      </c>
      <c r="I235" s="62" t="str">
        <f t="shared" si="3"/>
        <v>0.00000000043e-3</v>
      </c>
      <c r="J235" s="62">
        <f t="shared" si="4"/>
        <v>0</v>
      </c>
      <c r="K235" s="62" t="b">
        <f t="shared" si="5"/>
        <v>0</v>
      </c>
      <c r="L235" s="62" t="b">
        <f t="shared" si="6"/>
        <v>0</v>
      </c>
      <c r="M235" s="60" t="str">
        <f>IFERROR(__xludf.DUMMYFUNCTION("if(regexmatch(B235,""e(.*)$""),regexextract(B235,""e(.*)$""),"""")"),"-3")</f>
        <v>-3</v>
      </c>
    </row>
    <row r="236">
      <c r="A236" s="17" t="s">
        <v>2513</v>
      </c>
      <c r="B236" s="17" t="s">
        <v>4607</v>
      </c>
      <c r="C236" s="17" t="s">
        <v>4504</v>
      </c>
      <c r="E236" s="60" t="str">
        <f>VLOOKUP($A236,nist_names_ids!A:B,2,false)</f>
        <v>mnsmmu</v>
      </c>
      <c r="F236" s="61">
        <f>countif(Constants!A:A,E236)</f>
        <v>1</v>
      </c>
      <c r="G236" s="62" t="str">
        <f t="shared" si="1"/>
        <v>8.89248400</v>
      </c>
      <c r="H236" s="62">
        <f t="shared" si="2"/>
        <v>8.892484</v>
      </c>
      <c r="I236" s="62" t="str">
        <f t="shared" si="3"/>
        <v>0.00000022</v>
      </c>
      <c r="J236" s="62">
        <f t="shared" si="4"/>
        <v>0.00000022</v>
      </c>
      <c r="K236" s="62" t="b">
        <f t="shared" si="5"/>
        <v>0</v>
      </c>
      <c r="L236" s="62" t="b">
        <f t="shared" si="6"/>
        <v>0</v>
      </c>
      <c r="M236" s="60" t="str">
        <f>IFERROR(__xludf.DUMMYFUNCTION("if(regexmatch(B236,""e(.*)$""),regexextract(B236,""e(.*)$""),"""")"),"")</f>
        <v/>
      </c>
    </row>
    <row r="237">
      <c r="A237" s="17" t="s">
        <v>2516</v>
      </c>
      <c r="B237" s="17" t="s">
        <v>3350</v>
      </c>
      <c r="C237" s="17" t="s">
        <v>2020</v>
      </c>
      <c r="E237" s="60" t="str">
        <f>VLOOKUP($A237,nist_names_ids!A:B,2,false)</f>
        <v>munsmup</v>
      </c>
      <c r="F237" s="61">
        <f>countif(Constants!A:A,E237)</f>
        <v>1</v>
      </c>
      <c r="G237" s="62" t="str">
        <f t="shared" si="1"/>
        <v>-0.68497934</v>
      </c>
      <c r="H237" s="62">
        <f t="shared" si="2"/>
        <v>-0.68497934</v>
      </c>
      <c r="I237" s="62" t="str">
        <f t="shared" si="3"/>
        <v>0.00000016</v>
      </c>
      <c r="J237" s="62">
        <f t="shared" si="4"/>
        <v>0.00000016</v>
      </c>
      <c r="K237" s="62" t="b">
        <f t="shared" si="5"/>
        <v>0</v>
      </c>
      <c r="L237" s="62" t="b">
        <f t="shared" si="6"/>
        <v>0</v>
      </c>
      <c r="M237" s="60" t="str">
        <f>IFERROR(__xludf.DUMMYFUNCTION("if(regexmatch(B237,""e(.*)$""),regexextract(B237,""e(.*)$""),"""")"),"")</f>
        <v/>
      </c>
    </row>
    <row r="238">
      <c r="A238" s="17" t="s">
        <v>2523</v>
      </c>
      <c r="B238" s="17" t="s">
        <v>4609</v>
      </c>
      <c r="C238" s="17" t="s">
        <v>4610</v>
      </c>
      <c r="E238" s="60" t="str">
        <f>VLOOKUP($A238,nist_names_ids!A:B,2,false)</f>
        <v>mnmmp</v>
      </c>
      <c r="F238" s="61">
        <f>countif(Constants!A:A,E238)</f>
        <v>1</v>
      </c>
      <c r="G238" s="62" t="str">
        <f t="shared" si="1"/>
        <v>2.30557392e-30</v>
      </c>
      <c r="H238" s="62">
        <f t="shared" si="2"/>
        <v>0</v>
      </c>
      <c r="I238" s="62" t="str">
        <f t="shared" si="3"/>
        <v>0.00000076e-30</v>
      </c>
      <c r="J238" s="62">
        <f t="shared" si="4"/>
        <v>0</v>
      </c>
      <c r="K238" s="62" t="b">
        <f t="shared" si="5"/>
        <v>0</v>
      </c>
      <c r="L238" s="62" t="b">
        <f t="shared" si="6"/>
        <v>0</v>
      </c>
      <c r="M238" s="60" t="str">
        <f>IFERROR(__xludf.DUMMYFUNCTION("if(regexmatch(B238,""e(.*)$""),regexextract(B238,""e(.*)$""),"""")"),"-30")</f>
        <v>-30</v>
      </c>
    </row>
    <row r="239">
      <c r="A239" s="17" t="s">
        <v>2528</v>
      </c>
      <c r="B239" s="17" t="s">
        <v>4612</v>
      </c>
      <c r="C239" s="17" t="s">
        <v>4613</v>
      </c>
      <c r="E239" s="60" t="str">
        <f>VLOOKUP($A239,nist_names_ids!A:B,2,false)</f>
        <v>mnmmpc2</v>
      </c>
      <c r="F239" s="61">
        <f>countif(Constants!A:A,E239)</f>
        <v>1</v>
      </c>
      <c r="G239" s="62" t="str">
        <f t="shared" si="1"/>
        <v>2.07214650e-13</v>
      </c>
      <c r="H239" s="62">
        <f t="shared" si="2"/>
        <v>0</v>
      </c>
      <c r="I239" s="62" t="str">
        <f t="shared" si="3"/>
        <v>0.00000068e-13</v>
      </c>
      <c r="J239" s="62">
        <f t="shared" si="4"/>
        <v>0</v>
      </c>
      <c r="K239" s="62" t="b">
        <f t="shared" si="5"/>
        <v>0</v>
      </c>
      <c r="L239" s="62" t="b">
        <f t="shared" si="6"/>
        <v>0</v>
      </c>
      <c r="M239" s="60" t="str">
        <f>IFERROR(__xludf.DUMMYFUNCTION("if(regexmatch(B239,""e(.*)$""),regexextract(B239,""e(.*)$""),"""")"),"-13")</f>
        <v>-13</v>
      </c>
    </row>
    <row r="240">
      <c r="A240" s="17" t="s">
        <v>2532</v>
      </c>
      <c r="B240" s="17" t="s">
        <v>4617</v>
      </c>
      <c r="C240" s="17" t="s">
        <v>4618</v>
      </c>
      <c r="E240" s="60" t="str">
        <f>VLOOKUP($A240,nist_names_ids!A:B,2,false)</f>
        <v>mnmmpc2mev</v>
      </c>
      <c r="F240" s="61">
        <f>countif(Constants!A:A,E240)</f>
        <v>1</v>
      </c>
      <c r="G240" s="62" t="str">
        <f t="shared" si="1"/>
        <v>1.29333217</v>
      </c>
      <c r="H240" s="62">
        <f t="shared" si="2"/>
        <v>1.29333217</v>
      </c>
      <c r="I240" s="62" t="str">
        <f t="shared" si="3"/>
        <v>0.00000042</v>
      </c>
      <c r="J240" s="62">
        <f t="shared" si="4"/>
        <v>0.00000042</v>
      </c>
      <c r="K240" s="62" t="b">
        <f t="shared" si="5"/>
        <v>0</v>
      </c>
      <c r="L240" s="62" t="b">
        <f t="shared" si="6"/>
        <v>0</v>
      </c>
      <c r="M240" s="60" t="str">
        <f>IFERROR(__xludf.DUMMYFUNCTION("if(regexmatch(B240,""e(.*)$""),regexextract(B240,""e(.*)$""),"""")"),"")</f>
        <v/>
      </c>
    </row>
    <row r="241">
      <c r="A241" s="17" t="s">
        <v>2538</v>
      </c>
      <c r="B241" s="17" t="s">
        <v>4621</v>
      </c>
      <c r="C241" s="17" t="s">
        <v>3568</v>
      </c>
      <c r="E241" s="60" t="str">
        <f>VLOOKUP($A241,nist_names_ids!A:B,2,false)</f>
        <v>mnmmpu</v>
      </c>
      <c r="F241" s="61">
        <f>countif(Constants!A:A,E241)</f>
        <v>1</v>
      </c>
      <c r="G241" s="62" t="str">
        <f t="shared" si="1"/>
        <v>0.00138844919</v>
      </c>
      <c r="H241" s="62">
        <f t="shared" si="2"/>
        <v>0.00138844919</v>
      </c>
      <c r="I241" s="62" t="str">
        <f t="shared" si="3"/>
        <v>0.00000000045</v>
      </c>
      <c r="J241" s="62">
        <f t="shared" si="4"/>
        <v>0.00000000045</v>
      </c>
      <c r="K241" s="62" t="b">
        <f t="shared" si="5"/>
        <v>0</v>
      </c>
      <c r="L241" s="62" t="b">
        <f t="shared" si="6"/>
        <v>0</v>
      </c>
      <c r="M241" s="60" t="str">
        <f>IFERROR(__xludf.DUMMYFUNCTION("if(regexmatch(B241,""e(.*)$""),regexextract(B241,""e(.*)$""),"""")"),"")</f>
        <v/>
      </c>
    </row>
    <row r="242">
      <c r="A242" s="17" t="s">
        <v>2544</v>
      </c>
      <c r="B242" s="17" t="s">
        <v>4623</v>
      </c>
      <c r="C242" s="17" t="s">
        <v>3568</v>
      </c>
      <c r="E242" s="60" t="str">
        <f>VLOOKUP($A242,nist_names_ids!A:B,2,false)</f>
        <v>mnsmp</v>
      </c>
      <c r="F242" s="61">
        <f>countif(Constants!A:A,E242)</f>
        <v>1</v>
      </c>
      <c r="G242" s="62" t="str">
        <f t="shared" si="1"/>
        <v>1.00137841917</v>
      </c>
      <c r="H242" s="62">
        <f t="shared" si="2"/>
        <v>1.001378419</v>
      </c>
      <c r="I242" s="62" t="str">
        <f t="shared" si="3"/>
        <v>0.00000000045</v>
      </c>
      <c r="J242" s="62">
        <f t="shared" si="4"/>
        <v>0.00000000045</v>
      </c>
      <c r="K242" s="62" t="b">
        <f t="shared" si="5"/>
        <v>0</v>
      </c>
      <c r="L242" s="62" t="b">
        <f t="shared" si="6"/>
        <v>0</v>
      </c>
      <c r="M242" s="60" t="str">
        <f>IFERROR(__xludf.DUMMYFUNCTION("if(regexmatch(B242,""e(.*)$""),regexextract(B242,""e(.*)$""),"""")"),"")</f>
        <v/>
      </c>
    </row>
    <row r="243">
      <c r="A243" s="17" t="s">
        <v>2551</v>
      </c>
      <c r="B243" s="17" t="s">
        <v>3954</v>
      </c>
      <c r="C243" s="17" t="s">
        <v>3955</v>
      </c>
      <c r="E243" s="60" t="str">
        <f>VLOOKUP($A243,nist_names_ids!A:B,2,false)</f>
        <v>mnsmtau</v>
      </c>
      <c r="F243" s="61">
        <f>countif(Constants!A:A,E243)</f>
        <v>1</v>
      </c>
      <c r="G243" s="62" t="str">
        <f t="shared" si="1"/>
        <v>0.528790</v>
      </c>
      <c r="H243" s="62">
        <f t="shared" si="2"/>
        <v>0.52879</v>
      </c>
      <c r="I243" s="62" t="str">
        <f t="shared" si="3"/>
        <v>0.000048</v>
      </c>
      <c r="J243" s="62">
        <f t="shared" si="4"/>
        <v>0.000048</v>
      </c>
      <c r="K243" s="62" t="b">
        <f t="shared" si="5"/>
        <v>0</v>
      </c>
      <c r="L243" s="62" t="b">
        <f t="shared" si="6"/>
        <v>0</v>
      </c>
      <c r="M243" s="60" t="str">
        <f>IFERROR(__xludf.DUMMYFUNCTION("if(regexmatch(B243,""e(.*)$""),regexextract(B243,""e(.*)$""),"""")"),"")</f>
        <v/>
      </c>
    </row>
    <row r="244">
      <c r="A244" s="17" t="s">
        <v>2556</v>
      </c>
      <c r="B244" s="17" t="s">
        <v>3378</v>
      </c>
      <c r="C244" s="17" t="s">
        <v>2020</v>
      </c>
      <c r="E244" s="60" t="str">
        <f>VLOOKUP($A244,nist_names_ids!A:B,2,false)</f>
        <v>munsmupp</v>
      </c>
      <c r="F244" s="61">
        <f>countif(Constants!A:A,E244)</f>
        <v>1</v>
      </c>
      <c r="G244" s="62" t="str">
        <f t="shared" si="1"/>
        <v>-0.68499694</v>
      </c>
      <c r="H244" s="62">
        <f t="shared" si="2"/>
        <v>-0.68499694</v>
      </c>
      <c r="I244" s="62" t="str">
        <f t="shared" si="3"/>
        <v>0.00000016</v>
      </c>
      <c r="J244" s="62">
        <f t="shared" si="4"/>
        <v>0.00000016</v>
      </c>
      <c r="K244" s="62" t="b">
        <f t="shared" si="5"/>
        <v>0</v>
      </c>
      <c r="L244" s="62" t="b">
        <f t="shared" si="6"/>
        <v>0</v>
      </c>
      <c r="M244" s="60" t="str">
        <f>IFERROR(__xludf.DUMMYFUNCTION("if(regexmatch(B244,""e(.*)$""),regexextract(B244,""e(.*)$""),"""")"),"")</f>
        <v/>
      </c>
    </row>
    <row r="245">
      <c r="A245" s="17" t="s">
        <v>2558</v>
      </c>
      <c r="B245" s="17" t="s">
        <v>4632</v>
      </c>
      <c r="C245" s="17" t="s">
        <v>4633</v>
      </c>
      <c r="D245" s="17" t="s">
        <v>2561</v>
      </c>
      <c r="E245" s="60" t="str">
        <f>VLOOKUP($A245,nist_names_ids!A:B,2,false)</f>
        <v>bg</v>
      </c>
      <c r="F245" s="61">
        <f>countif(Constants!A:A,E245)</f>
        <v>1</v>
      </c>
      <c r="G245" s="62" t="str">
        <f t="shared" si="1"/>
        <v>6.67384e-11</v>
      </c>
      <c r="H245" s="62">
        <f t="shared" si="2"/>
        <v>0</v>
      </c>
      <c r="I245" s="62" t="str">
        <f t="shared" si="3"/>
        <v>0.00080e-11</v>
      </c>
      <c r="J245" s="62">
        <f t="shared" si="4"/>
        <v>0</v>
      </c>
      <c r="K245" s="62" t="b">
        <f t="shared" si="5"/>
        <v>0</v>
      </c>
      <c r="L245" s="62" t="b">
        <f t="shared" si="6"/>
        <v>0</v>
      </c>
      <c r="M245" s="60" t="str">
        <f>IFERROR(__xludf.DUMMYFUNCTION("if(regexmatch(B245,""e(.*)$""),regexextract(B245,""e(.*)$""),"""")"),"-11")</f>
        <v>-11</v>
      </c>
    </row>
    <row r="246">
      <c r="A246" s="17" t="s">
        <v>2566</v>
      </c>
      <c r="B246" s="17" t="s">
        <v>4636</v>
      </c>
      <c r="C246" s="17" t="s">
        <v>4637</v>
      </c>
      <c r="D246" s="17" t="s">
        <v>2569</v>
      </c>
      <c r="E246" s="60" t="str">
        <f>VLOOKUP($A246,nist_names_ids!A:B,2,false)</f>
        <v>bgspu</v>
      </c>
      <c r="F246" s="61">
        <f>countif(Constants!A:A,E246)</f>
        <v>1</v>
      </c>
      <c r="G246" s="62" t="str">
        <f t="shared" si="1"/>
        <v>6.70837e-39</v>
      </c>
      <c r="H246" s="62">
        <f t="shared" si="2"/>
        <v>0</v>
      </c>
      <c r="I246" s="62" t="str">
        <f t="shared" si="3"/>
        <v>0.00080e-39</v>
      </c>
      <c r="J246" s="62">
        <f t="shared" si="4"/>
        <v>0</v>
      </c>
      <c r="K246" s="62" t="b">
        <f t="shared" si="5"/>
        <v>0</v>
      </c>
      <c r="L246" s="62" t="b">
        <f t="shared" si="6"/>
        <v>0</v>
      </c>
      <c r="M246" s="60" t="str">
        <f>IFERROR(__xludf.DUMMYFUNCTION("if(regexmatch(B246,""e(.*)$""),regexextract(B246,""e(.*)$""),"""")"),"-39")</f>
        <v>-39</v>
      </c>
    </row>
    <row r="247">
      <c r="A247" s="17" t="s">
        <v>2572</v>
      </c>
      <c r="B247" s="17" t="s">
        <v>4639</v>
      </c>
      <c r="C247" s="17" t="s">
        <v>4640</v>
      </c>
      <c r="D247" s="17" t="s">
        <v>964</v>
      </c>
      <c r="E247" s="60" t="str">
        <f>VLOOKUP($A247,nist_names_ids!A:B,2,false)</f>
        <v>mun</v>
      </c>
      <c r="F247" s="61">
        <f>countif(Constants!A:A,E247)</f>
        <v>1</v>
      </c>
      <c r="G247" s="62" t="str">
        <f t="shared" si="1"/>
        <v>5.05078353e-27</v>
      </c>
      <c r="H247" s="62">
        <f t="shared" si="2"/>
        <v>0</v>
      </c>
      <c r="I247" s="62" t="str">
        <f t="shared" si="3"/>
        <v>0.00000011e-27</v>
      </c>
      <c r="J247" s="62">
        <f t="shared" si="4"/>
        <v>0</v>
      </c>
      <c r="K247" s="62" t="b">
        <f t="shared" si="5"/>
        <v>0</v>
      </c>
      <c r="L247" s="62" t="b">
        <f t="shared" si="6"/>
        <v>0</v>
      </c>
      <c r="M247" s="60" t="str">
        <f>IFERROR(__xludf.DUMMYFUNCTION("if(regexmatch(B247,""e(.*)$""),regexextract(B247,""e(.*)$""),"""")"),"-27")</f>
        <v>-27</v>
      </c>
    </row>
    <row r="248">
      <c r="A248" s="17" t="s">
        <v>2578</v>
      </c>
      <c r="B248" s="17" t="s">
        <v>4641</v>
      </c>
      <c r="C248" s="17" t="s">
        <v>4642</v>
      </c>
      <c r="D248" s="17" t="s">
        <v>1165</v>
      </c>
      <c r="E248" s="60" t="str">
        <f>VLOOKUP($A248,nist_names_ids!A:B,2,false)</f>
        <v>munev</v>
      </c>
      <c r="F248" s="61">
        <f>countif(Constants!A:A,E248)</f>
        <v>1</v>
      </c>
      <c r="G248" s="62" t="str">
        <f t="shared" si="1"/>
        <v>3.1524512605e-8</v>
      </c>
      <c r="H248" s="62">
        <f t="shared" si="2"/>
        <v>0.00000003152451261</v>
      </c>
      <c r="I248" s="62" t="str">
        <f t="shared" si="3"/>
        <v>0.0000000022e-8</v>
      </c>
      <c r="J248" s="62">
        <f t="shared" si="4"/>
        <v>0</v>
      </c>
      <c r="K248" s="62" t="b">
        <f t="shared" si="5"/>
        <v>0</v>
      </c>
      <c r="L248" s="62" t="b">
        <f t="shared" si="6"/>
        <v>0</v>
      </c>
      <c r="M248" s="60" t="str">
        <f>IFERROR(__xludf.DUMMYFUNCTION("if(regexmatch(B248,""e(.*)$""),regexextract(B248,""e(.*)$""),"""")"),"-8")</f>
        <v>-8</v>
      </c>
    </row>
    <row r="249">
      <c r="A249" s="17" t="s">
        <v>3969</v>
      </c>
      <c r="B249" s="17" t="s">
        <v>4645</v>
      </c>
      <c r="C249" s="17" t="s">
        <v>4646</v>
      </c>
      <c r="D249" s="17" t="s">
        <v>1205</v>
      </c>
      <c r="E249" s="60" t="str">
        <f>VLOOKUP($A249,nist_names_ids!A:B,2,false)</f>
        <v>munshcminv</v>
      </c>
      <c r="F249" s="61">
        <f>countif(Constants!A:A,E249)</f>
        <v>1</v>
      </c>
      <c r="G249" s="62" t="str">
        <f t="shared" si="1"/>
        <v>2.542623527e-2</v>
      </c>
      <c r="H249" s="62">
        <f t="shared" si="2"/>
        <v>0.02542623527</v>
      </c>
      <c r="I249" s="62" t="str">
        <f t="shared" si="3"/>
        <v>0.000000056e-2</v>
      </c>
      <c r="J249" s="62">
        <f t="shared" si="4"/>
        <v>0.00000000056</v>
      </c>
      <c r="K249" s="62" t="b">
        <f t="shared" si="5"/>
        <v>0</v>
      </c>
      <c r="L249" s="62" t="b">
        <f t="shared" si="6"/>
        <v>0</v>
      </c>
      <c r="M249" s="60" t="str">
        <f>IFERROR(__xludf.DUMMYFUNCTION("if(regexmatch(B249,""e(.*)$""),regexextract(B249,""e(.*)$""),"""")"),"-2")</f>
        <v>-2</v>
      </c>
    </row>
    <row r="250">
      <c r="A250" s="17" t="s">
        <v>2586</v>
      </c>
      <c r="B250" s="17" t="s">
        <v>4648</v>
      </c>
      <c r="C250" s="17" t="s">
        <v>4649</v>
      </c>
      <c r="D250" s="17" t="s">
        <v>1226</v>
      </c>
      <c r="E250" s="60" t="str">
        <f>VLOOKUP($A250,nist_names_ids!A:B,2,false)</f>
        <v>munskk</v>
      </c>
      <c r="F250" s="61">
        <f>countif(Constants!A:A,E250)</f>
        <v>1</v>
      </c>
      <c r="G250" s="62" t="str">
        <f t="shared" si="1"/>
        <v>3.6582682e-4</v>
      </c>
      <c r="H250" s="62">
        <f t="shared" si="2"/>
        <v>0.00036582682</v>
      </c>
      <c r="I250" s="62" t="str">
        <f t="shared" si="3"/>
        <v>0.0000033e-4</v>
      </c>
      <c r="J250" s="62">
        <f t="shared" si="4"/>
        <v>0.00000000033</v>
      </c>
      <c r="K250" s="62" t="b">
        <f t="shared" si="5"/>
        <v>0</v>
      </c>
      <c r="L250" s="62" t="b">
        <f t="shared" si="6"/>
        <v>0</v>
      </c>
      <c r="M250" s="60" t="str">
        <f>IFERROR(__xludf.DUMMYFUNCTION("if(regexmatch(B250,""e(.*)$""),regexextract(B250,""e(.*)$""),"""")"),"-4")</f>
        <v>-4</v>
      </c>
    </row>
    <row r="251">
      <c r="A251" s="17" t="s">
        <v>2589</v>
      </c>
      <c r="B251" s="17" t="s">
        <v>4650</v>
      </c>
      <c r="C251" s="17" t="s">
        <v>1419</v>
      </c>
      <c r="D251" s="17" t="s">
        <v>1733</v>
      </c>
      <c r="E251" s="60" t="str">
        <f>VLOOKUP($A251,nist_names_ids!A:B,2,false)</f>
        <v>munshhz</v>
      </c>
      <c r="F251" s="61">
        <f>countif(Constants!A:A,E251)</f>
        <v>1</v>
      </c>
      <c r="G251" s="62" t="str">
        <f t="shared" si="1"/>
        <v>7.62259357</v>
      </c>
      <c r="H251" s="62">
        <f t="shared" si="2"/>
        <v>7.62259357</v>
      </c>
      <c r="I251" s="62" t="str">
        <f t="shared" si="3"/>
        <v>0.00000017</v>
      </c>
      <c r="J251" s="62">
        <f t="shared" si="4"/>
        <v>0.00000017</v>
      </c>
      <c r="K251" s="62" t="b">
        <f t="shared" si="5"/>
        <v>0</v>
      </c>
      <c r="L251" s="62" t="b">
        <f t="shared" si="6"/>
        <v>0</v>
      </c>
      <c r="M251" s="60" t="str">
        <f>IFERROR(__xludf.DUMMYFUNCTION("if(regexmatch(B251,""e(.*)$""),regexextract(B251,""e(.*)$""),"""")"),"")</f>
        <v/>
      </c>
    </row>
    <row r="252">
      <c r="A252" s="17" t="s">
        <v>2595</v>
      </c>
      <c r="B252" s="17" t="s">
        <v>4306</v>
      </c>
      <c r="C252" s="17" t="s">
        <v>4308</v>
      </c>
      <c r="D252" s="17" t="s">
        <v>714</v>
      </c>
      <c r="E252" s="60" t="str">
        <f>VLOOKUP($A252,nist_names_ids!A:B,2,false)</f>
        <v>h</v>
      </c>
      <c r="F252" s="61">
        <f>countif(Constants!A:A,E252)</f>
        <v>1</v>
      </c>
      <c r="G252" s="62" t="str">
        <f t="shared" si="1"/>
        <v>6.62606957e-34</v>
      </c>
      <c r="H252" s="62">
        <f t="shared" si="2"/>
        <v>0</v>
      </c>
      <c r="I252" s="62" t="str">
        <f t="shared" si="3"/>
        <v>0.00000029e-34</v>
      </c>
      <c r="J252" s="62">
        <f t="shared" si="4"/>
        <v>0</v>
      </c>
      <c r="K252" s="62" t="b">
        <f t="shared" si="5"/>
        <v>0</v>
      </c>
      <c r="L252" s="62" t="b">
        <f t="shared" si="6"/>
        <v>0</v>
      </c>
      <c r="M252" s="60" t="str">
        <f>IFERROR(__xludf.DUMMYFUNCTION("if(regexmatch(B252,""e(.*)$""),regexextract(B252,""e(.*)$""),"""")"),"-34")</f>
        <v>-34</v>
      </c>
    </row>
    <row r="253">
      <c r="A253" s="17" t="s">
        <v>3997</v>
      </c>
      <c r="B253" s="17" t="s">
        <v>4298</v>
      </c>
      <c r="C253" s="17" t="s">
        <v>4299</v>
      </c>
      <c r="D253" s="17" t="s">
        <v>2402</v>
      </c>
      <c r="E253" s="60" t="str">
        <f>VLOOKUP($A253,nist_names_ids!A:B,2,false)</f>
        <v>hev</v>
      </c>
      <c r="F253" s="61">
        <f>countif(Constants!A:A,E253)</f>
        <v>1</v>
      </c>
      <c r="G253" s="62" t="str">
        <f t="shared" si="1"/>
        <v>4.135667516e-15</v>
      </c>
      <c r="H253" s="62">
        <f t="shared" si="2"/>
        <v>0</v>
      </c>
      <c r="I253" s="62" t="str">
        <f t="shared" si="3"/>
        <v>0.000000091e-15</v>
      </c>
      <c r="J253" s="62">
        <f t="shared" si="4"/>
        <v>0</v>
      </c>
      <c r="K253" s="62" t="b">
        <f t="shared" si="5"/>
        <v>0</v>
      </c>
      <c r="L253" s="62" t="b">
        <f t="shared" si="6"/>
        <v>0</v>
      </c>
      <c r="M253" s="60" t="str">
        <f>IFERROR(__xludf.DUMMYFUNCTION("if(regexmatch(B253,""e(.*)$""),regexextract(B253,""e(.*)$""),"""")"),"-15")</f>
        <v>-15</v>
      </c>
    </row>
    <row r="254">
      <c r="A254" s="17" t="s">
        <v>3998</v>
      </c>
      <c r="B254" s="17" t="s">
        <v>3849</v>
      </c>
      <c r="C254" s="17" t="s">
        <v>3851</v>
      </c>
      <c r="D254" s="17" t="s">
        <v>714</v>
      </c>
      <c r="E254" s="60" t="str">
        <f>VLOOKUP($A254,nist_names_ids!A:B,2,false)</f>
        <v>hbar</v>
      </c>
      <c r="F254" s="61">
        <f>countif(Constants!A:A,E254)</f>
        <v>1</v>
      </c>
      <c r="G254" s="62" t="str">
        <f t="shared" si="1"/>
        <v>1.054571726e-34</v>
      </c>
      <c r="H254" s="62">
        <f t="shared" si="2"/>
        <v>0</v>
      </c>
      <c r="I254" s="62" t="str">
        <f t="shared" si="3"/>
        <v>0.000000047e-34</v>
      </c>
      <c r="J254" s="62">
        <f t="shared" si="4"/>
        <v>0</v>
      </c>
      <c r="K254" s="62" t="b">
        <f t="shared" si="5"/>
        <v>0</v>
      </c>
      <c r="L254" s="62" t="b">
        <f t="shared" si="6"/>
        <v>0</v>
      </c>
      <c r="M254" s="60" t="str">
        <f>IFERROR(__xludf.DUMMYFUNCTION("if(regexmatch(B254,""e(.*)$""),regexextract(B254,""e(.*)$""),"""")"),"-34")</f>
        <v>-34</v>
      </c>
    </row>
    <row r="255">
      <c r="A255" s="17" t="s">
        <v>3999</v>
      </c>
      <c r="B255" s="17" t="s">
        <v>4535</v>
      </c>
      <c r="C255" s="17" t="s">
        <v>4536</v>
      </c>
      <c r="D255" s="17" t="s">
        <v>2402</v>
      </c>
      <c r="E255" s="60" t="str">
        <f>VLOOKUP($A255,nist_names_ids!A:B,2,false)</f>
        <v>hbarev</v>
      </c>
      <c r="F255" s="61">
        <f>countif(Constants!A:A,E255)</f>
        <v>1</v>
      </c>
      <c r="G255" s="62" t="str">
        <f t="shared" si="1"/>
        <v>6.58211928e-16</v>
      </c>
      <c r="H255" s="62">
        <f t="shared" si="2"/>
        <v>0</v>
      </c>
      <c r="I255" s="62" t="str">
        <f t="shared" si="3"/>
        <v>0.00000015e-16</v>
      </c>
      <c r="J255" s="62">
        <f t="shared" si="4"/>
        <v>0</v>
      </c>
      <c r="K255" s="62" t="b">
        <f t="shared" si="5"/>
        <v>0</v>
      </c>
      <c r="L255" s="62" t="b">
        <f t="shared" si="6"/>
        <v>0</v>
      </c>
      <c r="M255" s="60" t="str">
        <f>IFERROR(__xludf.DUMMYFUNCTION("if(regexmatch(B255,""e(.*)$""),regexextract(B255,""e(.*)$""),"""")"),"-16")</f>
        <v>-16</v>
      </c>
    </row>
    <row r="256">
      <c r="A256" s="17" t="s">
        <v>4001</v>
      </c>
      <c r="B256" s="17" t="s">
        <v>4660</v>
      </c>
      <c r="C256" s="17" t="s">
        <v>4661</v>
      </c>
      <c r="D256" s="17" t="s">
        <v>2754</v>
      </c>
      <c r="E256" s="60" t="str">
        <f>VLOOKUP($A256,nist_names_ids!A:B,2,false)</f>
        <v>hbcmevf</v>
      </c>
      <c r="F256" s="61">
        <f>countif(Constants!A:A,E256)</f>
        <v>1</v>
      </c>
      <c r="G256" s="62" t="str">
        <f t="shared" si="1"/>
        <v>197.3269718</v>
      </c>
      <c r="H256" s="62">
        <f t="shared" si="2"/>
        <v>197.3269718</v>
      </c>
      <c r="I256" s="62" t="str">
        <f t="shared" si="3"/>
        <v>0.0000044</v>
      </c>
      <c r="J256" s="62">
        <f t="shared" si="4"/>
        <v>0.0000044</v>
      </c>
      <c r="K256" s="62" t="b">
        <f t="shared" si="5"/>
        <v>0</v>
      </c>
      <c r="L256" s="62" t="b">
        <f t="shared" si="6"/>
        <v>0</v>
      </c>
      <c r="M256" s="60" t="str">
        <f>IFERROR(__xludf.DUMMYFUNCTION("if(regexmatch(B256,""e(.*)$""),regexextract(B256,""e(.*)$""),"""")"),"")</f>
        <v/>
      </c>
    </row>
    <row r="257">
      <c r="A257" s="17" t="s">
        <v>2605</v>
      </c>
      <c r="B257" s="17" t="s">
        <v>4667</v>
      </c>
      <c r="C257" s="17" t="s">
        <v>4668</v>
      </c>
      <c r="D257" s="17" t="s">
        <v>381</v>
      </c>
      <c r="E257" s="60" t="str">
        <f>VLOOKUP($A257,nist_names_ids!A:B,2,false)</f>
        <v>plkl</v>
      </c>
      <c r="F257" s="61">
        <f>countif(Constants!A:A,E257)</f>
        <v>1</v>
      </c>
      <c r="G257" s="62" t="str">
        <f t="shared" si="1"/>
        <v>1.616199e-35</v>
      </c>
      <c r="H257" s="62">
        <f t="shared" si="2"/>
        <v>0</v>
      </c>
      <c r="I257" s="62" t="str">
        <f t="shared" si="3"/>
        <v>0.000097e-35</v>
      </c>
      <c r="J257" s="62">
        <f t="shared" si="4"/>
        <v>0</v>
      </c>
      <c r="K257" s="62" t="b">
        <f t="shared" si="5"/>
        <v>0</v>
      </c>
      <c r="L257" s="62" t="b">
        <f t="shared" si="6"/>
        <v>0</v>
      </c>
      <c r="M257" s="60" t="str">
        <f>IFERROR(__xludf.DUMMYFUNCTION("if(regexmatch(B257,""e(.*)$""),regexextract(B257,""e(.*)$""),"""")"),"-35")</f>
        <v>-35</v>
      </c>
    </row>
    <row r="258">
      <c r="A258" s="17" t="s">
        <v>2608</v>
      </c>
      <c r="B258" s="17" t="s">
        <v>4669</v>
      </c>
      <c r="C258" s="17" t="s">
        <v>4670</v>
      </c>
      <c r="D258" s="17" t="s">
        <v>98</v>
      </c>
      <c r="E258" s="60" t="str">
        <f>VLOOKUP($A258,nist_names_ids!A:B,2,false)</f>
        <v>plkm</v>
      </c>
      <c r="F258" s="61">
        <f>countif(Constants!A:A,E258)</f>
        <v>1</v>
      </c>
      <c r="G258" s="62" t="str">
        <f t="shared" si="1"/>
        <v>2.17651e-8</v>
      </c>
      <c r="H258" s="62">
        <f t="shared" si="2"/>
        <v>0.0000000217651</v>
      </c>
      <c r="I258" s="62" t="str">
        <f t="shared" si="3"/>
        <v>0.00013e-8</v>
      </c>
      <c r="J258" s="62">
        <f t="shared" si="4"/>
        <v>0</v>
      </c>
      <c r="K258" s="62" t="b">
        <f t="shared" si="5"/>
        <v>0</v>
      </c>
      <c r="L258" s="62" t="b">
        <f t="shared" si="6"/>
        <v>0</v>
      </c>
      <c r="M258" s="60" t="str">
        <f>IFERROR(__xludf.DUMMYFUNCTION("if(regexmatch(B258,""e(.*)$""),regexextract(B258,""e(.*)$""),"""")"),"-8")</f>
        <v>-8</v>
      </c>
    </row>
    <row r="259">
      <c r="A259" s="17" t="s">
        <v>2614</v>
      </c>
      <c r="B259" s="17" t="s">
        <v>4672</v>
      </c>
      <c r="C259" s="17" t="s">
        <v>4673</v>
      </c>
      <c r="D259" s="17" t="s">
        <v>234</v>
      </c>
      <c r="E259" s="60" t="str">
        <f>VLOOKUP($A259,nist_names_ids!A:B,2,false)</f>
        <v>plkmc2gev</v>
      </c>
      <c r="F259" s="61">
        <f>countif(Constants!A:A,E259)</f>
        <v>1</v>
      </c>
      <c r="G259" s="62" t="str">
        <f t="shared" si="1"/>
        <v>1.220932e19</v>
      </c>
      <c r="H259" s="62">
        <f t="shared" si="2"/>
        <v>1.22093E+19</v>
      </c>
      <c r="I259" s="62" t="str">
        <f t="shared" si="3"/>
        <v>0.000073e19</v>
      </c>
      <c r="J259" s="62">
        <f t="shared" si="4"/>
        <v>730000000000000</v>
      </c>
      <c r="K259" s="62" t="b">
        <f t="shared" si="5"/>
        <v>0</v>
      </c>
      <c r="L259" s="62" t="b">
        <f t="shared" si="6"/>
        <v>0</v>
      </c>
      <c r="M259" s="60" t="str">
        <f>IFERROR(__xludf.DUMMYFUNCTION("if(regexmatch(B259,""e(.*)$""),regexextract(B259,""e(.*)$""),"""")"),"19")</f>
        <v>19</v>
      </c>
    </row>
    <row r="260">
      <c r="A260" s="17" t="s">
        <v>2619</v>
      </c>
      <c r="B260" s="17" t="s">
        <v>4675</v>
      </c>
      <c r="C260" s="17" t="s">
        <v>4676</v>
      </c>
      <c r="D260" s="17" t="s">
        <v>345</v>
      </c>
      <c r="E260" s="60" t="str">
        <f>VLOOKUP($A260,nist_names_ids!A:B,2,false)</f>
        <v>plktmp</v>
      </c>
      <c r="F260" s="61">
        <f>countif(Constants!A:A,E260)</f>
        <v>1</v>
      </c>
      <c r="G260" s="62" t="str">
        <f t="shared" si="1"/>
        <v>1.416833e32</v>
      </c>
      <c r="H260" s="62">
        <f t="shared" si="2"/>
        <v>1.41683E+32</v>
      </c>
      <c r="I260" s="62" t="str">
        <f t="shared" si="3"/>
        <v>0.000085e32</v>
      </c>
      <c r="J260" s="62">
        <f t="shared" si="4"/>
        <v>8.5E+27</v>
      </c>
      <c r="K260" s="62" t="b">
        <f t="shared" si="5"/>
        <v>0</v>
      </c>
      <c r="L260" s="62" t="b">
        <f t="shared" si="6"/>
        <v>0</v>
      </c>
      <c r="M260" s="60" t="str">
        <f>IFERROR(__xludf.DUMMYFUNCTION("if(regexmatch(B260,""e(.*)$""),regexextract(B260,""e(.*)$""),"""")"),"32")</f>
        <v>32</v>
      </c>
    </row>
    <row r="261">
      <c r="A261" s="17" t="s">
        <v>2623</v>
      </c>
      <c r="B261" s="17" t="s">
        <v>4677</v>
      </c>
      <c r="C261" s="17" t="s">
        <v>4678</v>
      </c>
      <c r="D261" s="17" t="s">
        <v>520</v>
      </c>
      <c r="E261" s="60" t="str">
        <f>VLOOKUP($A261,nist_names_ids!A:B,2,false)</f>
        <v>plkt</v>
      </c>
      <c r="F261" s="61">
        <f>countif(Constants!A:A,E261)</f>
        <v>1</v>
      </c>
      <c r="G261" s="62" t="str">
        <f t="shared" si="1"/>
        <v>5.39106e-44</v>
      </c>
      <c r="H261" s="62">
        <f t="shared" si="2"/>
        <v>0</v>
      </c>
      <c r="I261" s="62" t="str">
        <f t="shared" si="3"/>
        <v>0.00032e-44</v>
      </c>
      <c r="J261" s="62">
        <f t="shared" si="4"/>
        <v>0</v>
      </c>
      <c r="K261" s="62" t="b">
        <f t="shared" si="5"/>
        <v>0</v>
      </c>
      <c r="L261" s="62" t="b">
        <f t="shared" si="6"/>
        <v>0</v>
      </c>
      <c r="M261" s="60" t="str">
        <f>IFERROR(__xludf.DUMMYFUNCTION("if(regexmatch(B261,""e(.*)$""),regexextract(B261,""e(.*)$""),"""")"),"-44")</f>
        <v>-44</v>
      </c>
    </row>
    <row r="262">
      <c r="A262" s="17" t="s">
        <v>2628</v>
      </c>
      <c r="B262" s="17" t="s">
        <v>4680</v>
      </c>
      <c r="C262" s="17" t="s">
        <v>4681</v>
      </c>
      <c r="D262" s="17" t="s">
        <v>1689</v>
      </c>
      <c r="E262" s="60" t="str">
        <f>VLOOKUP($A262,nist_names_ids!A:B,2,false)</f>
        <v>esmp</v>
      </c>
      <c r="F262" s="61">
        <f>countif(Constants!A:A,E262)</f>
        <v>1</v>
      </c>
      <c r="G262" s="62" t="str">
        <f t="shared" si="1"/>
        <v>9.57883358e7</v>
      </c>
      <c r="H262" s="62">
        <f t="shared" si="2"/>
        <v>95788335.8</v>
      </c>
      <c r="I262" s="62" t="str">
        <f t="shared" si="3"/>
        <v>0.00000021e7</v>
      </c>
      <c r="J262" s="62">
        <f t="shared" si="4"/>
        <v>2.1</v>
      </c>
      <c r="K262" s="62" t="b">
        <f t="shared" si="5"/>
        <v>0</v>
      </c>
      <c r="L262" s="62" t="b">
        <f t="shared" si="6"/>
        <v>0</v>
      </c>
      <c r="M262" s="60" t="str">
        <f>IFERROR(__xludf.DUMMYFUNCTION("if(regexmatch(B262,""e(.*)$""),regexextract(B262,""e(.*)$""),"""")"),"7")</f>
        <v>7</v>
      </c>
    </row>
    <row r="263">
      <c r="A263" s="17" t="s">
        <v>2633</v>
      </c>
      <c r="B263" s="17" t="s">
        <v>4683</v>
      </c>
      <c r="C263" s="17" t="s">
        <v>4322</v>
      </c>
      <c r="D263" s="17" t="s">
        <v>381</v>
      </c>
      <c r="E263" s="60" t="str">
        <f>VLOOKUP($A263,nist_names_ids!A:B,2,false)</f>
        <v>pcomwl</v>
      </c>
      <c r="F263" s="61">
        <f>countif(Constants!A:A,E263)</f>
        <v>1</v>
      </c>
      <c r="G263" s="62" t="str">
        <f t="shared" si="1"/>
        <v>1.32140985623e-15</v>
      </c>
      <c r="H263" s="62">
        <f t="shared" si="2"/>
        <v>0</v>
      </c>
      <c r="I263" s="62" t="str">
        <f t="shared" si="3"/>
        <v>0.00000000094e-15</v>
      </c>
      <c r="J263" s="62">
        <f t="shared" si="4"/>
        <v>0</v>
      </c>
      <c r="K263" s="62" t="b">
        <f t="shared" si="5"/>
        <v>0</v>
      </c>
      <c r="L263" s="62" t="b">
        <f t="shared" si="6"/>
        <v>0</v>
      </c>
      <c r="M263" s="60" t="str">
        <f>IFERROR(__xludf.DUMMYFUNCTION("if(regexmatch(B263,""e(.*)$""),regexextract(B263,""e(.*)$""),"""")"),"-15")</f>
        <v>-15</v>
      </c>
    </row>
    <row r="264">
      <c r="A264" s="17" t="s">
        <v>4032</v>
      </c>
      <c r="B264" s="17" t="s">
        <v>4684</v>
      </c>
      <c r="C264" s="17" t="s">
        <v>4685</v>
      </c>
      <c r="D264" s="17" t="s">
        <v>381</v>
      </c>
      <c r="E264" s="60" t="str">
        <f>VLOOKUP($A264,nist_names_ids!A:B,2,false)</f>
        <v>pcomwlbar</v>
      </c>
      <c r="F264" s="61">
        <f>countif(Constants!A:A,E264)</f>
        <v>1</v>
      </c>
      <c r="G264" s="62" t="str">
        <f t="shared" si="1"/>
        <v>0.21030891047e-15</v>
      </c>
      <c r="H264" s="62">
        <f t="shared" si="2"/>
        <v>0</v>
      </c>
      <c r="I264" s="62" t="str">
        <f t="shared" si="3"/>
        <v>0.00000000015e-15</v>
      </c>
      <c r="J264" s="62">
        <f t="shared" si="4"/>
        <v>0</v>
      </c>
      <c r="K264" s="62" t="b">
        <f t="shared" si="5"/>
        <v>0</v>
      </c>
      <c r="L264" s="62" t="b">
        <f t="shared" si="6"/>
        <v>0</v>
      </c>
      <c r="M264" s="60" t="str">
        <f>IFERROR(__xludf.DUMMYFUNCTION("if(regexmatch(B264,""e(.*)$""),regexextract(B264,""e(.*)$""),"""")"),"-15")</f>
        <v>-15</v>
      </c>
    </row>
    <row r="265">
      <c r="A265" s="17" t="s">
        <v>2636</v>
      </c>
      <c r="B265" s="17" t="s">
        <v>4686</v>
      </c>
      <c r="C265" s="17" t="s">
        <v>4116</v>
      </c>
      <c r="E265" s="60" t="str">
        <f>VLOOKUP($A265,nist_names_ids!A:B,2,false)</f>
        <v>mpsme</v>
      </c>
      <c r="F265" s="61">
        <f>countif(Constants!A:A,E265)</f>
        <v>1</v>
      </c>
      <c r="G265" s="62" t="str">
        <f t="shared" si="1"/>
        <v>1836.15267245</v>
      </c>
      <c r="H265" s="62">
        <f t="shared" si="2"/>
        <v>1836.152672</v>
      </c>
      <c r="I265" s="62" t="str">
        <f t="shared" si="3"/>
        <v>0.00000075</v>
      </c>
      <c r="J265" s="62">
        <f t="shared" si="4"/>
        <v>0.00000075</v>
      </c>
      <c r="K265" s="62" t="b">
        <f t="shared" si="5"/>
        <v>0</v>
      </c>
      <c r="L265" s="62" t="b">
        <f t="shared" si="6"/>
        <v>0</v>
      </c>
      <c r="M265" s="60" t="str">
        <f>IFERROR(__xludf.DUMMYFUNCTION("if(regexmatch(B265,""e(.*)$""),regexextract(B265,""e(.*)$""),"""")"),"")</f>
        <v/>
      </c>
    </row>
    <row r="266">
      <c r="A266" s="17" t="s">
        <v>2640</v>
      </c>
      <c r="B266" s="17" t="s">
        <v>4689</v>
      </c>
      <c r="C266" s="17" t="s">
        <v>4690</v>
      </c>
      <c r="E266" s="60" t="str">
        <f>VLOOKUP($A266,nist_names_ids!A:B,2,false)</f>
        <v>gp</v>
      </c>
      <c r="F266" s="61">
        <f>countif(Constants!A:A,E266)</f>
        <v>1</v>
      </c>
      <c r="G266" s="62" t="str">
        <f t="shared" si="1"/>
        <v>5.585694713</v>
      </c>
      <c r="H266" s="62">
        <f t="shared" si="2"/>
        <v>5.585694713</v>
      </c>
      <c r="I266" s="62" t="str">
        <f t="shared" si="3"/>
        <v>0.000000046</v>
      </c>
      <c r="J266" s="62">
        <f t="shared" si="4"/>
        <v>0.000000046</v>
      </c>
      <c r="K266" s="62" t="b">
        <f t="shared" si="5"/>
        <v>0</v>
      </c>
      <c r="L266" s="62" t="b">
        <f t="shared" si="6"/>
        <v>0</v>
      </c>
      <c r="M266" s="60" t="str">
        <f>IFERROR(__xludf.DUMMYFUNCTION("if(regexmatch(B266,""e(.*)$""),regexextract(B266,""e(.*)$""),"""")"),"")</f>
        <v/>
      </c>
    </row>
    <row r="267">
      <c r="A267" s="17" t="s">
        <v>2644</v>
      </c>
      <c r="B267" s="17" t="s">
        <v>4692</v>
      </c>
      <c r="C267" s="17" t="s">
        <v>4693</v>
      </c>
      <c r="D267" s="17" t="s">
        <v>1717</v>
      </c>
      <c r="E267" s="60" t="str">
        <f>VLOOKUP($A267,nist_names_ids!A:B,2,false)</f>
        <v>gammap</v>
      </c>
      <c r="F267" s="61">
        <f>countif(Constants!A:A,E267)</f>
        <v>1</v>
      </c>
      <c r="G267" s="62" t="str">
        <f t="shared" si="1"/>
        <v>2.675222005e8</v>
      </c>
      <c r="H267" s="62">
        <f t="shared" si="2"/>
        <v>267522200.5</v>
      </c>
      <c r="I267" s="62" t="str">
        <f t="shared" si="3"/>
        <v>0.000000063e8</v>
      </c>
      <c r="J267" s="62">
        <f t="shared" si="4"/>
        <v>6.3</v>
      </c>
      <c r="K267" s="62" t="b">
        <f t="shared" si="5"/>
        <v>0</v>
      </c>
      <c r="L267" s="62" t="b">
        <f t="shared" si="6"/>
        <v>0</v>
      </c>
      <c r="M267" s="60" t="str">
        <f>IFERROR(__xludf.DUMMYFUNCTION("if(regexmatch(B267,""e(.*)$""),regexextract(B267,""e(.*)$""),"""")"),"8")</f>
        <v>8</v>
      </c>
    </row>
    <row r="268">
      <c r="A268" s="17" t="s">
        <v>4047</v>
      </c>
      <c r="B268" s="17" t="s">
        <v>4694</v>
      </c>
      <c r="C268" s="17" t="s">
        <v>3947</v>
      </c>
      <c r="D268" s="17" t="s">
        <v>1733</v>
      </c>
      <c r="E268" s="60" t="str">
        <f>VLOOKUP($A268,nist_names_ids!A:B,2,false)</f>
        <v>gammapbar</v>
      </c>
      <c r="F268" s="61">
        <f>countif(Constants!A:A,E268)</f>
        <v>1</v>
      </c>
      <c r="G268" s="62" t="str">
        <f t="shared" si="1"/>
        <v>42.5774806</v>
      </c>
      <c r="H268" s="62">
        <f t="shared" si="2"/>
        <v>42.5774806</v>
      </c>
      <c r="I268" s="62" t="str">
        <f t="shared" si="3"/>
        <v>0.0000010</v>
      </c>
      <c r="J268" s="62">
        <f t="shared" si="4"/>
        <v>0.000001</v>
      </c>
      <c r="K268" s="62" t="b">
        <f t="shared" si="5"/>
        <v>0</v>
      </c>
      <c r="L268" s="62" t="b">
        <f t="shared" si="6"/>
        <v>0</v>
      </c>
      <c r="M268" s="60" t="str">
        <f>IFERROR(__xludf.DUMMYFUNCTION("if(regexmatch(B268,""e(.*)$""),regexextract(B268,""e(.*)$""),"""")"),"")</f>
        <v/>
      </c>
    </row>
    <row r="269">
      <c r="A269" s="17" t="s">
        <v>2653</v>
      </c>
      <c r="B269" s="17" t="s">
        <v>4697</v>
      </c>
      <c r="C269" s="17" t="s">
        <v>4698</v>
      </c>
      <c r="D269" s="17" t="s">
        <v>964</v>
      </c>
      <c r="E269" s="60" t="str">
        <f>VLOOKUP($A269,nist_names_ids!A:B,2,false)</f>
        <v>mup</v>
      </c>
      <c r="F269" s="61">
        <f>countif(Constants!A:A,E269)</f>
        <v>1</v>
      </c>
      <c r="G269" s="62" t="str">
        <f t="shared" si="1"/>
        <v>1.410606743e-26</v>
      </c>
      <c r="H269" s="62">
        <f t="shared" si="2"/>
        <v>0</v>
      </c>
      <c r="I269" s="62" t="str">
        <f t="shared" si="3"/>
        <v>0.000000033e-26</v>
      </c>
      <c r="J269" s="62">
        <f t="shared" si="4"/>
        <v>0</v>
      </c>
      <c r="K269" s="62" t="b">
        <f t="shared" si="5"/>
        <v>0</v>
      </c>
      <c r="L269" s="62" t="b">
        <f t="shared" si="6"/>
        <v>0</v>
      </c>
      <c r="M269" s="60" t="str">
        <f>IFERROR(__xludf.DUMMYFUNCTION("if(regexmatch(B269,""e(.*)$""),regexextract(B269,""e(.*)$""),"""")"),"-26")</f>
        <v>-26</v>
      </c>
    </row>
    <row r="270">
      <c r="A270" s="17" t="s">
        <v>2658</v>
      </c>
      <c r="B270" s="17" t="s">
        <v>4699</v>
      </c>
      <c r="C270" s="17" t="s">
        <v>4700</v>
      </c>
      <c r="E270" s="60" t="str">
        <f>VLOOKUP($A270,nist_names_ids!A:B,2,false)</f>
        <v>mupsmub</v>
      </c>
      <c r="F270" s="61">
        <f>countif(Constants!A:A,E270)</f>
        <v>1</v>
      </c>
      <c r="G270" s="62" t="str">
        <f t="shared" si="1"/>
        <v>1.521032210e-3</v>
      </c>
      <c r="H270" s="62">
        <f t="shared" si="2"/>
        <v>0.00152103221</v>
      </c>
      <c r="I270" s="62" t="str">
        <f t="shared" si="3"/>
        <v>0.000000012e-3</v>
      </c>
      <c r="J270" s="62">
        <f t="shared" si="4"/>
        <v>0</v>
      </c>
      <c r="K270" s="62" t="b">
        <f t="shared" si="5"/>
        <v>0</v>
      </c>
      <c r="L270" s="62" t="b">
        <f t="shared" si="6"/>
        <v>0</v>
      </c>
      <c r="M270" s="60" t="str">
        <f>IFERROR(__xludf.DUMMYFUNCTION("if(regexmatch(B270,""e(.*)$""),regexextract(B270,""e(.*)$""),"""")"),"-3")</f>
        <v>-3</v>
      </c>
    </row>
    <row r="271">
      <c r="A271" s="17" t="s">
        <v>2662</v>
      </c>
      <c r="B271" s="17" t="s">
        <v>4702</v>
      </c>
      <c r="C271" s="17" t="s">
        <v>4704</v>
      </c>
      <c r="E271" s="60" t="str">
        <f>VLOOKUP($A271,nist_names_ids!A:B,2,false)</f>
        <v>mupsmun</v>
      </c>
      <c r="F271" s="61">
        <f>countif(Constants!A:A,E271)</f>
        <v>1</v>
      </c>
      <c r="G271" s="62" t="str">
        <f t="shared" si="1"/>
        <v>2.792847356</v>
      </c>
      <c r="H271" s="62">
        <f t="shared" si="2"/>
        <v>2.792847356</v>
      </c>
      <c r="I271" s="62" t="str">
        <f t="shared" si="3"/>
        <v>0.000000023</v>
      </c>
      <c r="J271" s="62">
        <f t="shared" si="4"/>
        <v>0.000000023</v>
      </c>
      <c r="K271" s="62" t="b">
        <f t="shared" si="5"/>
        <v>0</v>
      </c>
      <c r="L271" s="62" t="b">
        <f t="shared" si="6"/>
        <v>0</v>
      </c>
      <c r="M271" s="60" t="str">
        <f>IFERROR(__xludf.DUMMYFUNCTION("if(regexmatch(B271,""e(.*)$""),regexextract(B271,""e(.*)$""),"""")"),"")</f>
        <v/>
      </c>
    </row>
    <row r="272">
      <c r="A272" s="17" t="s">
        <v>2669</v>
      </c>
      <c r="B272" s="64" t="s">
        <v>4705</v>
      </c>
      <c r="C272" s="64" t="s">
        <v>4706</v>
      </c>
      <c r="E272" s="60" t="str">
        <f>VLOOKUP($A272,nist_names_ids!A:B,2,false)</f>
        <v>sigmapp</v>
      </c>
      <c r="F272" s="61">
        <f>countif(Constants!A:A,E272)</f>
        <v>1</v>
      </c>
      <c r="G272" s="62" t="str">
        <f t="shared" si="1"/>
        <v>25.694e-6</v>
      </c>
      <c r="H272" s="62">
        <f t="shared" si="2"/>
        <v>0.000025694</v>
      </c>
      <c r="I272" s="62" t="str">
        <f t="shared" si="3"/>
        <v>0.014e-6</v>
      </c>
      <c r="J272" s="62">
        <f t="shared" si="4"/>
        <v>0.000000014</v>
      </c>
      <c r="K272" s="62" t="b">
        <f t="shared" si="5"/>
        <v>0</v>
      </c>
      <c r="L272" s="62" t="b">
        <f t="shared" si="6"/>
        <v>0</v>
      </c>
      <c r="M272" s="60" t="str">
        <f>IFERROR(__xludf.DUMMYFUNCTION("if(regexmatch(B272,""e(.*)$""),regexextract(B272,""e(.*)$""),"""")"),"-6")</f>
        <v>-6</v>
      </c>
    </row>
    <row r="273">
      <c r="A273" s="17" t="s">
        <v>2673</v>
      </c>
      <c r="B273" s="17" t="s">
        <v>4708</v>
      </c>
      <c r="C273" s="17" t="s">
        <v>4591</v>
      </c>
      <c r="D273" s="17" t="s">
        <v>98</v>
      </c>
      <c r="E273" s="60" t="str">
        <f>VLOOKUP($A273,nist_names_ids!A:B,2,false)</f>
        <v>mp</v>
      </c>
      <c r="F273" s="61">
        <f>countif(Constants!A:A,E273)</f>
        <v>1</v>
      </c>
      <c r="G273" s="62" t="str">
        <f t="shared" si="1"/>
        <v>1.672621777e-27</v>
      </c>
      <c r="H273" s="62">
        <f t="shared" si="2"/>
        <v>0</v>
      </c>
      <c r="I273" s="62" t="str">
        <f t="shared" si="3"/>
        <v>0.000000074e-27</v>
      </c>
      <c r="J273" s="62">
        <f t="shared" si="4"/>
        <v>0</v>
      </c>
      <c r="K273" s="62" t="b">
        <f t="shared" si="5"/>
        <v>0</v>
      </c>
      <c r="L273" s="62" t="b">
        <f t="shared" si="6"/>
        <v>0</v>
      </c>
      <c r="M273" s="60" t="str">
        <f>IFERROR(__xludf.DUMMYFUNCTION("if(regexmatch(B273,""e(.*)$""),regexextract(B273,""e(.*)$""),"""")"),"-27")</f>
        <v>-27</v>
      </c>
    </row>
    <row r="274">
      <c r="A274" s="17" t="s">
        <v>2675</v>
      </c>
      <c r="B274" s="17" t="s">
        <v>4710</v>
      </c>
      <c r="C274" s="17" t="s">
        <v>3816</v>
      </c>
      <c r="D274" s="17" t="s">
        <v>173</v>
      </c>
      <c r="E274" s="60" t="str">
        <f>VLOOKUP($A274,nist_names_ids!A:B,2,false)</f>
        <v>mpc2</v>
      </c>
      <c r="F274" s="61">
        <f>countif(Constants!A:A,E274)</f>
        <v>1</v>
      </c>
      <c r="G274" s="62" t="str">
        <f t="shared" si="1"/>
        <v>1.503277484e-10</v>
      </c>
      <c r="H274" s="62">
        <f t="shared" si="2"/>
        <v>0.0000000001503277484</v>
      </c>
      <c r="I274" s="62" t="str">
        <f t="shared" si="3"/>
        <v>0.000000066e-10</v>
      </c>
      <c r="J274" s="62">
        <f t="shared" si="4"/>
        <v>0</v>
      </c>
      <c r="K274" s="62" t="b">
        <f t="shared" si="5"/>
        <v>0</v>
      </c>
      <c r="L274" s="62" t="b">
        <f t="shared" si="6"/>
        <v>0</v>
      </c>
      <c r="M274" s="60" t="str">
        <f>IFERROR(__xludf.DUMMYFUNCTION("if(regexmatch(B274,""e(.*)$""),regexextract(B274,""e(.*)$""),"""")"),"-10")</f>
        <v>-10</v>
      </c>
    </row>
    <row r="275">
      <c r="A275" s="17" t="s">
        <v>2682</v>
      </c>
      <c r="B275" s="17" t="s">
        <v>4712</v>
      </c>
      <c r="C275" s="17" t="s">
        <v>3546</v>
      </c>
      <c r="D275" s="17" t="s">
        <v>224</v>
      </c>
      <c r="E275" s="60" t="str">
        <f>VLOOKUP($A275,nist_names_ids!A:B,2,false)</f>
        <v>mpc2mev</v>
      </c>
      <c r="F275" s="61">
        <f>countif(Constants!A:A,E275)</f>
        <v>1</v>
      </c>
      <c r="G275" s="62" t="str">
        <f t="shared" si="1"/>
        <v>938.272046</v>
      </c>
      <c r="H275" s="62">
        <f t="shared" si="2"/>
        <v>938.272046</v>
      </c>
      <c r="I275" s="62" t="str">
        <f t="shared" si="3"/>
        <v>0.000021</v>
      </c>
      <c r="J275" s="62">
        <f t="shared" si="4"/>
        <v>0.000021</v>
      </c>
      <c r="K275" s="62" t="b">
        <f t="shared" si="5"/>
        <v>0</v>
      </c>
      <c r="L275" s="62" t="b">
        <f t="shared" si="6"/>
        <v>0</v>
      </c>
      <c r="M275" s="60" t="str">
        <f>IFERROR(__xludf.DUMMYFUNCTION("if(regexmatch(B275,""e(.*)$""),regexextract(B275,""e(.*)$""),"""")"),"")</f>
        <v/>
      </c>
    </row>
    <row r="276">
      <c r="A276" s="17" t="s">
        <v>2689</v>
      </c>
      <c r="B276" s="17" t="s">
        <v>4714</v>
      </c>
      <c r="C276" s="17" t="s">
        <v>4715</v>
      </c>
      <c r="D276" s="17" t="s">
        <v>249</v>
      </c>
      <c r="E276" s="60" t="str">
        <f>VLOOKUP($A276,nist_names_ids!A:B,2,false)</f>
        <v>mpu</v>
      </c>
      <c r="F276" s="61">
        <f>countif(Constants!A:A,E276)</f>
        <v>1</v>
      </c>
      <c r="G276" s="62" t="str">
        <f t="shared" si="1"/>
        <v>1.007276466812</v>
      </c>
      <c r="H276" s="62">
        <f t="shared" si="2"/>
        <v>1.007276467</v>
      </c>
      <c r="I276" s="62" t="str">
        <f t="shared" si="3"/>
        <v>0.000000000090</v>
      </c>
      <c r="J276" s="62">
        <f t="shared" si="4"/>
        <v>0</v>
      </c>
      <c r="K276" s="62" t="b">
        <f t="shared" si="5"/>
        <v>0</v>
      </c>
      <c r="L276" s="62" t="b">
        <f t="shared" si="6"/>
        <v>0</v>
      </c>
      <c r="M276" s="60" t="str">
        <f>IFERROR(__xludf.DUMMYFUNCTION("if(regexmatch(B276,""e(.*)$""),regexextract(B276,""e(.*)$""),"""")"),"")</f>
        <v/>
      </c>
    </row>
    <row r="277">
      <c r="A277" s="17" t="s">
        <v>2695</v>
      </c>
      <c r="B277" s="17" t="s">
        <v>4717</v>
      </c>
      <c r="C277" s="17" t="s">
        <v>4718</v>
      </c>
      <c r="D277" s="17" t="s">
        <v>286</v>
      </c>
      <c r="E277" s="60" t="str">
        <f>VLOOKUP($A277,nist_names_ids!A:B,2,false)</f>
        <v>mmp</v>
      </c>
      <c r="F277" s="61">
        <f>countif(Constants!A:A,E277)</f>
        <v>1</v>
      </c>
      <c r="G277" s="62" t="str">
        <f t="shared" si="1"/>
        <v>1.007276466812e-3</v>
      </c>
      <c r="H277" s="62">
        <f t="shared" si="2"/>
        <v>0.001007276467</v>
      </c>
      <c r="I277" s="62" t="str">
        <f t="shared" si="3"/>
        <v>0.000000000090e-3</v>
      </c>
      <c r="J277" s="62">
        <f t="shared" si="4"/>
        <v>0</v>
      </c>
      <c r="K277" s="62" t="b">
        <f t="shared" si="5"/>
        <v>0</v>
      </c>
      <c r="L277" s="62" t="b">
        <f t="shared" si="6"/>
        <v>0</v>
      </c>
      <c r="M277" s="60" t="str">
        <f>IFERROR(__xludf.DUMMYFUNCTION("if(regexmatch(B277,""e(.*)$""),regexextract(B277,""e(.*)$""),"""")"),"-3")</f>
        <v>-3</v>
      </c>
    </row>
    <row r="278">
      <c r="A278" s="17" t="s">
        <v>2697</v>
      </c>
      <c r="B278" s="17" t="s">
        <v>4721</v>
      </c>
      <c r="C278" s="17" t="s">
        <v>4504</v>
      </c>
      <c r="E278" s="60" t="str">
        <f>VLOOKUP($A278,nist_names_ids!A:B,2,false)</f>
        <v>mpsmmu</v>
      </c>
      <c r="F278" s="61">
        <f>countif(Constants!A:A,E278)</f>
        <v>1</v>
      </c>
      <c r="G278" s="62" t="str">
        <f t="shared" si="1"/>
        <v>8.88024331</v>
      </c>
      <c r="H278" s="62">
        <f t="shared" si="2"/>
        <v>8.88024331</v>
      </c>
      <c r="I278" s="62" t="str">
        <f t="shared" si="3"/>
        <v>0.00000022</v>
      </c>
      <c r="J278" s="62">
        <f t="shared" si="4"/>
        <v>0.00000022</v>
      </c>
      <c r="K278" s="62" t="b">
        <f t="shared" si="5"/>
        <v>0</v>
      </c>
      <c r="L278" s="62" t="b">
        <f t="shared" si="6"/>
        <v>0</v>
      </c>
      <c r="M278" s="60" t="str">
        <f>IFERROR(__xludf.DUMMYFUNCTION("if(regexmatch(B278,""e(.*)$""),regexextract(B278,""e(.*)$""),"""")"),"")</f>
        <v/>
      </c>
    </row>
    <row r="279">
      <c r="A279" s="17" t="s">
        <v>2700</v>
      </c>
      <c r="B279" s="17" t="s">
        <v>4724</v>
      </c>
      <c r="C279" s="17" t="s">
        <v>2702</v>
      </c>
      <c r="E279" s="60" t="str">
        <f>VLOOKUP($A279,nist_names_ids!A:B,2,false)</f>
        <v>mupsmunn</v>
      </c>
      <c r="F279" s="61">
        <f>countif(Constants!A:A,E279)</f>
        <v>1</v>
      </c>
      <c r="G279" s="62" t="str">
        <f t="shared" si="1"/>
        <v>-1.45989806</v>
      </c>
      <c r="H279" s="62">
        <f t="shared" si="2"/>
        <v>-1.45989806</v>
      </c>
      <c r="I279" s="62" t="str">
        <f t="shared" si="3"/>
        <v>0.00000034</v>
      </c>
      <c r="J279" s="62">
        <f t="shared" si="4"/>
        <v>0.00000034</v>
      </c>
      <c r="K279" s="62" t="b">
        <f t="shared" si="5"/>
        <v>0</v>
      </c>
      <c r="L279" s="62" t="b">
        <f t="shared" si="6"/>
        <v>0</v>
      </c>
      <c r="M279" s="60" t="str">
        <f>IFERROR(__xludf.DUMMYFUNCTION("if(regexmatch(B279,""e(.*)$""),regexextract(B279,""e(.*)$""),"""")"),"")</f>
        <v/>
      </c>
    </row>
    <row r="280">
      <c r="A280" s="17" t="s">
        <v>2705</v>
      </c>
      <c r="B280" s="17" t="s">
        <v>4727</v>
      </c>
      <c r="C280" s="17" t="s">
        <v>3568</v>
      </c>
      <c r="E280" s="60" t="str">
        <f>VLOOKUP($A280,nist_names_ids!A:B,2,false)</f>
        <v>mpsmn</v>
      </c>
      <c r="F280" s="61">
        <f>countif(Constants!A:A,E280)</f>
        <v>1</v>
      </c>
      <c r="G280" s="62" t="str">
        <f t="shared" si="1"/>
        <v>0.99862347826</v>
      </c>
      <c r="H280" s="62">
        <f t="shared" si="2"/>
        <v>0.9986234783</v>
      </c>
      <c r="I280" s="62" t="str">
        <f t="shared" si="3"/>
        <v>0.00000000045</v>
      </c>
      <c r="J280" s="62">
        <f t="shared" si="4"/>
        <v>0.00000000045</v>
      </c>
      <c r="K280" s="62" t="b">
        <f t="shared" si="5"/>
        <v>0</v>
      </c>
      <c r="L280" s="62" t="b">
        <f t="shared" si="6"/>
        <v>0</v>
      </c>
      <c r="M280" s="60" t="str">
        <f>IFERROR(__xludf.DUMMYFUNCTION("if(regexmatch(B280,""e(.*)$""),regexextract(B280,""e(.*)$""),"""")"),"")</f>
        <v/>
      </c>
    </row>
    <row r="281">
      <c r="A281" s="17" t="s">
        <v>2711</v>
      </c>
      <c r="B281" s="64" t="s">
        <v>4728</v>
      </c>
      <c r="C281" s="64" t="s">
        <v>4729</v>
      </c>
      <c r="D281" s="17" t="s">
        <v>381</v>
      </c>
      <c r="E281" s="60" t="str">
        <f>VLOOKUP($A281,nist_names_ids!A:B,2,false)</f>
        <v>rp</v>
      </c>
      <c r="F281" s="61">
        <f>countif(Constants!A:A,E281)</f>
        <v>1</v>
      </c>
      <c r="G281" s="62" t="str">
        <f t="shared" si="1"/>
        <v>0.8775e-15</v>
      </c>
      <c r="H281" s="62">
        <f t="shared" si="2"/>
        <v>0</v>
      </c>
      <c r="I281" s="62" t="str">
        <f t="shared" si="3"/>
        <v>0.0051e-15</v>
      </c>
      <c r="J281" s="62">
        <f t="shared" si="4"/>
        <v>0</v>
      </c>
      <c r="K281" s="62" t="b">
        <f t="shared" si="5"/>
        <v>0</v>
      </c>
      <c r="L281" s="62" t="b">
        <f t="shared" si="6"/>
        <v>0</v>
      </c>
      <c r="M281" s="60" t="str">
        <f>IFERROR(__xludf.DUMMYFUNCTION("if(regexmatch(B281,""e(.*)$""),regexextract(B281,""e(.*)$""),"""")"),"-15")</f>
        <v>-15</v>
      </c>
    </row>
    <row r="282">
      <c r="A282" s="17" t="s">
        <v>2715</v>
      </c>
      <c r="B282" s="17" t="s">
        <v>4105</v>
      </c>
      <c r="C282" s="17" t="s">
        <v>3955</v>
      </c>
      <c r="E282" s="60" t="str">
        <f>VLOOKUP($A282,nist_names_ids!A:B,2,false)</f>
        <v>mpsmtau</v>
      </c>
      <c r="F282" s="61">
        <f>countif(Constants!A:A,E282)</f>
        <v>1</v>
      </c>
      <c r="G282" s="62" t="str">
        <f t="shared" si="1"/>
        <v>0.528063</v>
      </c>
      <c r="H282" s="62">
        <f t="shared" si="2"/>
        <v>0.528063</v>
      </c>
      <c r="I282" s="62" t="str">
        <f t="shared" si="3"/>
        <v>0.000048</v>
      </c>
      <c r="J282" s="62">
        <f t="shared" si="4"/>
        <v>0.000048</v>
      </c>
      <c r="K282" s="62" t="b">
        <f t="shared" si="5"/>
        <v>0</v>
      </c>
      <c r="L282" s="62" t="b">
        <f t="shared" si="6"/>
        <v>0</v>
      </c>
      <c r="M282" s="60" t="str">
        <f>IFERROR(__xludf.DUMMYFUNCTION("if(regexmatch(B282,""e(.*)$""),regexextract(B282,""e(.*)$""),"""")"),"")</f>
        <v/>
      </c>
    </row>
    <row r="283">
      <c r="A283" s="17" t="s">
        <v>2719</v>
      </c>
      <c r="B283" s="17" t="s">
        <v>4732</v>
      </c>
      <c r="C283" s="17" t="s">
        <v>4733</v>
      </c>
      <c r="D283" s="17" t="s">
        <v>2721</v>
      </c>
      <c r="E283" s="60" t="str">
        <f>VLOOKUP($A283,nist_names_ids!A:B,2,false)</f>
        <v>qucirchs2me</v>
      </c>
      <c r="F283" s="61">
        <f>countif(Constants!A:A,E283)</f>
        <v>1</v>
      </c>
      <c r="G283" s="62" t="str">
        <f t="shared" si="1"/>
        <v>3.6369475520e-4</v>
      </c>
      <c r="H283" s="62">
        <f t="shared" si="2"/>
        <v>0.0003636947552</v>
      </c>
      <c r="I283" s="62" t="str">
        <f t="shared" si="3"/>
        <v>0.0000000024e-4</v>
      </c>
      <c r="J283" s="62">
        <f t="shared" si="4"/>
        <v>0</v>
      </c>
      <c r="K283" s="62" t="b">
        <f t="shared" si="5"/>
        <v>0</v>
      </c>
      <c r="L283" s="62" t="b">
        <f t="shared" si="6"/>
        <v>0</v>
      </c>
      <c r="M283" s="60" t="str">
        <f>IFERROR(__xludf.DUMMYFUNCTION("if(regexmatch(B283,""e(.*)$""),regexextract(B283,""e(.*)$""),"""")"),"-4")</f>
        <v>-4</v>
      </c>
    </row>
    <row r="284">
      <c r="A284" s="17" t="s">
        <v>2727</v>
      </c>
      <c r="B284" s="17" t="s">
        <v>4736</v>
      </c>
      <c r="C284" s="17" t="s">
        <v>4737</v>
      </c>
      <c r="D284" s="17" t="s">
        <v>2721</v>
      </c>
      <c r="E284" s="60" t="str">
        <f>VLOOKUP($A284,nist_names_ids!A:B,2,false)</f>
        <v>hsme</v>
      </c>
      <c r="F284" s="61">
        <f>countif(Constants!A:A,E284)</f>
        <v>1</v>
      </c>
      <c r="G284" s="62" t="str">
        <f t="shared" si="1"/>
        <v>7.2738951040e-4</v>
      </c>
      <c r="H284" s="62">
        <f t="shared" si="2"/>
        <v>0.0007273895104</v>
      </c>
      <c r="I284" s="62" t="str">
        <f t="shared" si="3"/>
        <v>0.0000000047e-4</v>
      </c>
      <c r="J284" s="62">
        <f t="shared" si="4"/>
        <v>0</v>
      </c>
      <c r="K284" s="62" t="b">
        <f t="shared" si="5"/>
        <v>0</v>
      </c>
      <c r="L284" s="62" t="b">
        <f t="shared" si="6"/>
        <v>0</v>
      </c>
      <c r="M284" s="60" t="str">
        <f>IFERROR(__xludf.DUMMYFUNCTION("if(regexmatch(B284,""e(.*)$""),regexextract(B284,""e(.*)$""),"""")"),"-4")</f>
        <v>-4</v>
      </c>
    </row>
    <row r="285">
      <c r="A285" s="17" t="s">
        <v>2769</v>
      </c>
      <c r="B285" s="17" t="s">
        <v>4738</v>
      </c>
      <c r="C285" s="17" t="s">
        <v>4739</v>
      </c>
      <c r="D285" s="17" t="s">
        <v>561</v>
      </c>
      <c r="E285" s="60" t="str">
        <f>VLOOKUP($A285,nist_names_ids!A:B,2,false)</f>
        <v>ryd</v>
      </c>
      <c r="F285" s="61">
        <f>countif(Constants!A:A,E285)</f>
        <v>1</v>
      </c>
      <c r="G285" s="62" t="str">
        <f t="shared" si="1"/>
        <v>10973731.568539</v>
      </c>
      <c r="H285" s="62">
        <f t="shared" si="2"/>
        <v>10973731.57</v>
      </c>
      <c r="I285" s="62" t="str">
        <f t="shared" si="3"/>
        <v>0.000055</v>
      </c>
      <c r="J285" s="62">
        <f t="shared" si="4"/>
        <v>0.000055</v>
      </c>
      <c r="K285" s="62" t="b">
        <f t="shared" si="5"/>
        <v>0</v>
      </c>
      <c r="L285" s="62" t="b">
        <f t="shared" si="6"/>
        <v>0</v>
      </c>
      <c r="M285" s="60" t="str">
        <f>IFERROR(__xludf.DUMMYFUNCTION("if(regexmatch(B285,""e(.*)$""),regexextract(B285,""e(.*)$""),"""")"),"")</f>
        <v/>
      </c>
    </row>
    <row r="286">
      <c r="A286" s="17" t="s">
        <v>2774</v>
      </c>
      <c r="B286" s="17" t="s">
        <v>4742</v>
      </c>
      <c r="C286" s="17" t="s">
        <v>4743</v>
      </c>
      <c r="D286" s="17" t="s">
        <v>257</v>
      </c>
      <c r="E286" s="60" t="str">
        <f>VLOOKUP($A286,nist_names_ids!A:B,2,false)</f>
        <v>rydchz</v>
      </c>
      <c r="F286" s="61">
        <f>countif(Constants!A:A,E286)</f>
        <v>1</v>
      </c>
      <c r="G286" s="62" t="str">
        <f t="shared" si="1"/>
        <v>3.289841960364e15</v>
      </c>
      <c r="H286" s="62">
        <f t="shared" si="2"/>
        <v>3.28984E+15</v>
      </c>
      <c r="I286" s="62" t="str">
        <f t="shared" si="3"/>
        <v>0.000000000017e15</v>
      </c>
      <c r="J286" s="62">
        <f t="shared" si="4"/>
        <v>17000</v>
      </c>
      <c r="K286" s="62" t="b">
        <f t="shared" si="5"/>
        <v>0</v>
      </c>
      <c r="L286" s="62" t="b">
        <f t="shared" si="6"/>
        <v>0</v>
      </c>
      <c r="M286" s="60" t="str">
        <f>IFERROR(__xludf.DUMMYFUNCTION("if(regexmatch(B286,""e(.*)$""),regexextract(B286,""e(.*)$""),"""")"),"15")</f>
        <v>15</v>
      </c>
    </row>
    <row r="287">
      <c r="A287" s="17" t="s">
        <v>2780</v>
      </c>
      <c r="B287" s="17" t="s">
        <v>4745</v>
      </c>
      <c r="C287" s="17" t="s">
        <v>4746</v>
      </c>
      <c r="D287" s="17" t="s">
        <v>181</v>
      </c>
      <c r="E287" s="60" t="str">
        <f>VLOOKUP($A287,nist_names_ids!A:B,2,false)</f>
        <v>rydhcev</v>
      </c>
      <c r="F287" s="61">
        <f>countif(Constants!A:A,E287)</f>
        <v>1</v>
      </c>
      <c r="G287" s="62" t="str">
        <f t="shared" si="1"/>
        <v>13.60569253</v>
      </c>
      <c r="H287" s="62">
        <f t="shared" si="2"/>
        <v>13.60569253</v>
      </c>
      <c r="I287" s="62" t="str">
        <f t="shared" si="3"/>
        <v>0.00000030</v>
      </c>
      <c r="J287" s="62">
        <f t="shared" si="4"/>
        <v>0.0000003</v>
      </c>
      <c r="K287" s="62" t="b">
        <f t="shared" si="5"/>
        <v>0</v>
      </c>
      <c r="L287" s="62" t="b">
        <f t="shared" si="6"/>
        <v>0</v>
      </c>
      <c r="M287" s="60" t="str">
        <f>IFERROR(__xludf.DUMMYFUNCTION("if(regexmatch(B287,""e(.*)$""),regexextract(B287,""e(.*)$""),"""")"),"")</f>
        <v/>
      </c>
    </row>
    <row r="288">
      <c r="A288" s="17" t="s">
        <v>2784</v>
      </c>
      <c r="B288" s="17" t="s">
        <v>4747</v>
      </c>
      <c r="C288" s="17" t="s">
        <v>4748</v>
      </c>
      <c r="D288" s="17" t="s">
        <v>173</v>
      </c>
      <c r="E288" s="60" t="str">
        <f>VLOOKUP($A288,nist_names_ids!A:B,2,false)</f>
        <v>rydhcj</v>
      </c>
      <c r="F288" s="61">
        <f>countif(Constants!A:A,E288)</f>
        <v>1</v>
      </c>
      <c r="G288" s="62" t="str">
        <f t="shared" si="1"/>
        <v>2.179872171e-18</v>
      </c>
      <c r="H288" s="62">
        <f t="shared" si="2"/>
        <v>0</v>
      </c>
      <c r="I288" s="62" t="str">
        <f t="shared" si="3"/>
        <v>0.000000096e-18</v>
      </c>
      <c r="J288" s="62">
        <f t="shared" si="4"/>
        <v>0</v>
      </c>
      <c r="K288" s="62" t="b">
        <f t="shared" si="5"/>
        <v>0</v>
      </c>
      <c r="L288" s="62" t="b">
        <f t="shared" si="6"/>
        <v>0</v>
      </c>
      <c r="M288" s="60" t="str">
        <f>IFERROR(__xludf.DUMMYFUNCTION("if(regexmatch(B288,""e(.*)$""),regexextract(B288,""e(.*)$""),"""")"),"-18")</f>
        <v>-18</v>
      </c>
    </row>
    <row r="289">
      <c r="A289" s="17" t="s">
        <v>2788</v>
      </c>
      <c r="B289" s="17" t="s">
        <v>4750</v>
      </c>
      <c r="C289" s="17" t="s">
        <v>2364</v>
      </c>
      <c r="E289" s="60" t="str">
        <f>VLOOKUP($A289,nist_names_ids!A:B,2,false)</f>
        <v>s0sr</v>
      </c>
      <c r="F289" s="61">
        <f>countif(Constants!A:A,E289)</f>
        <v>1</v>
      </c>
      <c r="G289" s="62" t="str">
        <f t="shared" si="1"/>
        <v>-1.1517078</v>
      </c>
      <c r="H289" s="62">
        <f t="shared" si="2"/>
        <v>-1.1517078</v>
      </c>
      <c r="I289" s="62" t="str">
        <f t="shared" si="3"/>
        <v>0.0000023</v>
      </c>
      <c r="J289" s="62">
        <f t="shared" si="4"/>
        <v>0.0000023</v>
      </c>
      <c r="K289" s="62" t="b">
        <f t="shared" si="5"/>
        <v>0</v>
      </c>
      <c r="L289" s="62" t="b">
        <f t="shared" si="6"/>
        <v>0</v>
      </c>
      <c r="M289" s="60" t="str">
        <f>IFERROR(__xludf.DUMMYFUNCTION("if(regexmatch(B289,""e(.*)$""),regexextract(B289,""e(.*)$""),"""")"),"")</f>
        <v/>
      </c>
    </row>
    <row r="290">
      <c r="A290" s="17" t="s">
        <v>2795</v>
      </c>
      <c r="B290" s="17" t="s">
        <v>4752</v>
      </c>
      <c r="C290" s="17" t="s">
        <v>2364</v>
      </c>
      <c r="E290" s="60" t="str">
        <f>VLOOKUP($A290,nist_names_ids!A:B,2,false)</f>
        <v>s0srstd</v>
      </c>
      <c r="F290" s="61">
        <f>countif(Constants!A:A,E290)</f>
        <v>1</v>
      </c>
      <c r="G290" s="62" t="str">
        <f t="shared" si="1"/>
        <v>-1.1648708</v>
      </c>
      <c r="H290" s="62">
        <f t="shared" si="2"/>
        <v>-1.1648708</v>
      </c>
      <c r="I290" s="62" t="str">
        <f t="shared" si="3"/>
        <v>0.0000023</v>
      </c>
      <c r="J290" s="62">
        <f t="shared" si="4"/>
        <v>0.0000023</v>
      </c>
      <c r="K290" s="62" t="b">
        <f t="shared" si="5"/>
        <v>0</v>
      </c>
      <c r="L290" s="62" t="b">
        <f t="shared" si="6"/>
        <v>0</v>
      </c>
      <c r="M290" s="60" t="str">
        <f>IFERROR(__xludf.DUMMYFUNCTION("if(regexmatch(B290,""e(.*)$""),regexextract(B290,""e(.*)$""),"""")"),"")</f>
        <v/>
      </c>
    </row>
    <row r="291">
      <c r="A291" s="17" t="s">
        <v>2799</v>
      </c>
      <c r="B291" s="17" t="s">
        <v>4339</v>
      </c>
      <c r="C291" s="17" t="s">
        <v>4340</v>
      </c>
      <c r="D291" s="17" t="s">
        <v>2800</v>
      </c>
      <c r="E291" s="60" t="str">
        <f>VLOOKUP($A291,nist_names_ids!A:B,2,false)</f>
        <v>c22ndrc</v>
      </c>
      <c r="F291" s="61">
        <f>countif(Constants!A:A,E291)</f>
        <v>1</v>
      </c>
      <c r="G291" s="62" t="str">
        <f t="shared" si="1"/>
        <v>1.4387770e-2</v>
      </c>
      <c r="H291" s="62">
        <f t="shared" si="2"/>
        <v>0.01438777</v>
      </c>
      <c r="I291" s="62" t="str">
        <f t="shared" si="3"/>
        <v>0.0000013e-2</v>
      </c>
      <c r="J291" s="62">
        <f t="shared" si="4"/>
        <v>0.000000013</v>
      </c>
      <c r="K291" s="62" t="b">
        <f t="shared" si="5"/>
        <v>0</v>
      </c>
      <c r="L291" s="62" t="b">
        <f t="shared" si="6"/>
        <v>0</v>
      </c>
      <c r="M291" s="60" t="str">
        <f>IFERROR(__xludf.DUMMYFUNCTION("if(regexmatch(B291,""e(.*)$""),regexextract(B291,""e(.*)$""),"""")"),"-2")</f>
        <v>-2</v>
      </c>
    </row>
    <row r="292">
      <c r="A292" s="17" t="s">
        <v>2802</v>
      </c>
      <c r="B292" s="17" t="s">
        <v>4754</v>
      </c>
      <c r="C292" s="17" t="s">
        <v>4755</v>
      </c>
      <c r="D292" s="17" t="s">
        <v>1717</v>
      </c>
      <c r="E292" s="60" t="str">
        <f>VLOOKUP($A292,nist_names_ids!A:B,2,false)</f>
        <v>gammahp</v>
      </c>
      <c r="F292" s="61">
        <f>countif(Constants!A:A,E292)</f>
        <v>1</v>
      </c>
      <c r="G292" s="62" t="str">
        <f t="shared" si="1"/>
        <v>2.037894659e8</v>
      </c>
      <c r="H292" s="62">
        <f t="shared" si="2"/>
        <v>203789465.9</v>
      </c>
      <c r="I292" s="62" t="str">
        <f t="shared" si="3"/>
        <v>0.000000051e8</v>
      </c>
      <c r="J292" s="62">
        <f t="shared" si="4"/>
        <v>5.1</v>
      </c>
      <c r="K292" s="62" t="b">
        <f t="shared" si="5"/>
        <v>0</v>
      </c>
      <c r="L292" s="62" t="b">
        <f t="shared" si="6"/>
        <v>0</v>
      </c>
      <c r="M292" s="60" t="str">
        <f>IFERROR(__xludf.DUMMYFUNCTION("if(regexmatch(B292,""e(.*)$""),regexextract(B292,""e(.*)$""),"""")"),"8")</f>
        <v>8</v>
      </c>
    </row>
    <row r="293">
      <c r="A293" s="17" t="s">
        <v>4141</v>
      </c>
      <c r="B293" s="17" t="s">
        <v>4758</v>
      </c>
      <c r="C293" s="17" t="s">
        <v>4759</v>
      </c>
      <c r="D293" s="17" t="s">
        <v>1733</v>
      </c>
      <c r="E293" s="60" t="str">
        <f>VLOOKUP($A293,nist_names_ids!A:B,2,false)</f>
        <v>gammahpbar</v>
      </c>
      <c r="F293" s="61">
        <f>countif(Constants!A:A,E293)</f>
        <v>1</v>
      </c>
      <c r="G293" s="62" t="str">
        <f t="shared" si="1"/>
        <v>32.43410084</v>
      </c>
      <c r="H293" s="62">
        <f t="shared" si="2"/>
        <v>32.43410084</v>
      </c>
      <c r="I293" s="62" t="str">
        <f t="shared" si="3"/>
        <v>0.00000081</v>
      </c>
      <c r="J293" s="62">
        <f t="shared" si="4"/>
        <v>0.00000081</v>
      </c>
      <c r="K293" s="62" t="b">
        <f t="shared" si="5"/>
        <v>0</v>
      </c>
      <c r="L293" s="62" t="b">
        <f t="shared" si="6"/>
        <v>0</v>
      </c>
      <c r="M293" s="60" t="str">
        <f>IFERROR(__xludf.DUMMYFUNCTION("if(regexmatch(B293,""e(.*)$""),regexextract(B293,""e(.*)$""),"""")"),"")</f>
        <v/>
      </c>
    </row>
    <row r="294">
      <c r="A294" s="17" t="s">
        <v>2814</v>
      </c>
      <c r="B294" s="17" t="s">
        <v>4760</v>
      </c>
      <c r="C294" s="17" t="s">
        <v>4276</v>
      </c>
      <c r="D294" s="17" t="s">
        <v>964</v>
      </c>
      <c r="E294" s="60" t="str">
        <f>VLOOKUP($A294,nist_names_ids!A:B,2,false)</f>
        <v>muhp</v>
      </c>
      <c r="F294" s="61">
        <f>countif(Constants!A:A,E294)</f>
        <v>1</v>
      </c>
      <c r="G294" s="62" t="str">
        <f t="shared" si="1"/>
        <v>-1.074553044e-26</v>
      </c>
      <c r="H294" s="62">
        <f t="shared" si="2"/>
        <v>0</v>
      </c>
      <c r="I294" s="62" t="str">
        <f t="shared" si="3"/>
        <v>0.000000027e-26</v>
      </c>
      <c r="J294" s="62">
        <f t="shared" si="4"/>
        <v>0</v>
      </c>
      <c r="K294" s="62" t="b">
        <f t="shared" si="5"/>
        <v>0</v>
      </c>
      <c r="L294" s="62" t="b">
        <f t="shared" si="6"/>
        <v>0</v>
      </c>
      <c r="M294" s="60" t="str">
        <f>IFERROR(__xludf.DUMMYFUNCTION("if(regexmatch(B294,""e(.*)$""),regexextract(B294,""e(.*)$""),"""")"),"-26")</f>
        <v>-26</v>
      </c>
    </row>
    <row r="295">
      <c r="A295" s="17" t="s">
        <v>2817</v>
      </c>
      <c r="B295" s="17" t="s">
        <v>3589</v>
      </c>
      <c r="C295" s="17" t="s">
        <v>3036</v>
      </c>
      <c r="E295" s="60" t="str">
        <f>VLOOKUP($A295,nist_names_ids!A:B,2,false)</f>
        <v>muhpsmub</v>
      </c>
      <c r="F295" s="61">
        <f>countif(Constants!A:A,E295)</f>
        <v>1</v>
      </c>
      <c r="G295" s="62" t="str">
        <f t="shared" si="1"/>
        <v>-1.158671471e-3</v>
      </c>
      <c r="H295" s="62">
        <f t="shared" si="2"/>
        <v>-0.001158671471</v>
      </c>
      <c r="I295" s="62" t="str">
        <f t="shared" si="3"/>
        <v>0.000000014e-3</v>
      </c>
      <c r="J295" s="62">
        <f t="shared" si="4"/>
        <v>0</v>
      </c>
      <c r="K295" s="62" t="b">
        <f t="shared" si="5"/>
        <v>0</v>
      </c>
      <c r="L295" s="62" t="b">
        <f t="shared" si="6"/>
        <v>0</v>
      </c>
      <c r="M295" s="60" t="str">
        <f>IFERROR(__xludf.DUMMYFUNCTION("if(regexmatch(B295,""e(.*)$""),regexextract(B295,""e(.*)$""),"""")"),"-3")</f>
        <v>-3</v>
      </c>
    </row>
    <row r="296">
      <c r="A296" s="17" t="s">
        <v>2823</v>
      </c>
      <c r="B296" s="17" t="s">
        <v>4762</v>
      </c>
      <c r="C296" s="17" t="s">
        <v>3043</v>
      </c>
      <c r="E296" s="60" t="str">
        <f>VLOOKUP($A296,nist_names_ids!A:B,2,false)</f>
        <v>muhpsmun</v>
      </c>
      <c r="F296" s="61">
        <f>countif(Constants!A:A,E296)</f>
        <v>1</v>
      </c>
      <c r="G296" s="62" t="str">
        <f t="shared" si="1"/>
        <v>-2.127497718</v>
      </c>
      <c r="H296" s="62">
        <f t="shared" si="2"/>
        <v>-2.127497718</v>
      </c>
      <c r="I296" s="62" t="str">
        <f t="shared" si="3"/>
        <v>0.000000025</v>
      </c>
      <c r="J296" s="62">
        <f t="shared" si="4"/>
        <v>0.000000025</v>
      </c>
      <c r="K296" s="62" t="b">
        <f t="shared" si="5"/>
        <v>0</v>
      </c>
      <c r="L296" s="62" t="b">
        <f t="shared" si="6"/>
        <v>0</v>
      </c>
      <c r="M296" s="60" t="str">
        <f>IFERROR(__xludf.DUMMYFUNCTION("if(regexmatch(B296,""e(.*)$""),regexextract(B296,""e(.*)$""),"""")"),"")</f>
        <v/>
      </c>
    </row>
    <row r="297">
      <c r="A297" s="17" t="s">
        <v>2834</v>
      </c>
      <c r="B297" s="17" t="s">
        <v>4764</v>
      </c>
      <c r="C297" s="17" t="s">
        <v>2865</v>
      </c>
      <c r="E297" s="60" t="str">
        <f>VLOOKUP($A297,nist_names_ids!A:B,2,false)</f>
        <v>muhpsmup</v>
      </c>
      <c r="F297" s="61">
        <f>countif(Constants!A:A,E297)</f>
        <v>1</v>
      </c>
      <c r="G297" s="62" t="str">
        <f t="shared" si="1"/>
        <v>-0.761766558</v>
      </c>
      <c r="H297" s="62">
        <f t="shared" si="2"/>
        <v>-0.761766558</v>
      </c>
      <c r="I297" s="62" t="str">
        <f t="shared" si="3"/>
        <v>0.000000011</v>
      </c>
      <c r="J297" s="62">
        <f t="shared" si="4"/>
        <v>0.000000011</v>
      </c>
      <c r="K297" s="62" t="b">
        <f t="shared" si="5"/>
        <v>0</v>
      </c>
      <c r="L297" s="62" t="b">
        <f t="shared" si="6"/>
        <v>0</v>
      </c>
      <c r="M297" s="60" t="str">
        <f>IFERROR(__xludf.DUMMYFUNCTION("if(regexmatch(B297,""e(.*)$""),regexextract(B297,""e(.*)$""),"""")"),"")</f>
        <v/>
      </c>
    </row>
    <row r="298">
      <c r="A298" s="17" t="s">
        <v>2838</v>
      </c>
      <c r="B298" s="17" t="s">
        <v>3601</v>
      </c>
      <c r="C298" s="17" t="s">
        <v>3602</v>
      </c>
      <c r="E298" s="60" t="str">
        <f>VLOOKUP($A298,nist_names_ids!A:B,2,false)</f>
        <v>muhpsmupp</v>
      </c>
      <c r="F298" s="61">
        <f>countif(Constants!A:A,E298)</f>
        <v>1</v>
      </c>
      <c r="G298" s="62" t="str">
        <f t="shared" si="1"/>
        <v>-0.7617861313</v>
      </c>
      <c r="H298" s="62">
        <f t="shared" si="2"/>
        <v>-0.7617861313</v>
      </c>
      <c r="I298" s="62" t="str">
        <f t="shared" si="3"/>
        <v>0.0000000033</v>
      </c>
      <c r="J298" s="62">
        <f t="shared" si="4"/>
        <v>0.0000000033</v>
      </c>
      <c r="K298" s="62" t="b">
        <f t="shared" si="5"/>
        <v>0</v>
      </c>
      <c r="L298" s="62" t="b">
        <f t="shared" si="6"/>
        <v>0</v>
      </c>
      <c r="M298" s="60" t="str">
        <f>IFERROR(__xludf.DUMMYFUNCTION("if(regexmatch(B298,""e(.*)$""),regexextract(B298,""e(.*)$""),"""")"),"")</f>
        <v/>
      </c>
    </row>
    <row r="299">
      <c r="A299" s="17" t="s">
        <v>2845</v>
      </c>
      <c r="B299" s="17" t="s">
        <v>4766</v>
      </c>
      <c r="C299" s="17" t="s">
        <v>4767</v>
      </c>
      <c r="D299" s="17" t="s">
        <v>1717</v>
      </c>
      <c r="E299" s="60" t="str">
        <f>VLOOKUP($A299,nist_names_ids!A:B,2,false)</f>
        <v>gammapp</v>
      </c>
      <c r="F299" s="61">
        <f>countif(Constants!A:A,E299)</f>
        <v>1</v>
      </c>
      <c r="G299" s="62" t="str">
        <f t="shared" si="1"/>
        <v>2.675153268e8</v>
      </c>
      <c r="H299" s="62">
        <f t="shared" si="2"/>
        <v>267515326.8</v>
      </c>
      <c r="I299" s="62" t="str">
        <f t="shared" si="3"/>
        <v>0.000000066e8</v>
      </c>
      <c r="J299" s="62">
        <f t="shared" si="4"/>
        <v>6.6</v>
      </c>
      <c r="K299" s="62" t="b">
        <f t="shared" si="5"/>
        <v>0</v>
      </c>
      <c r="L299" s="62" t="b">
        <f t="shared" si="6"/>
        <v>0</v>
      </c>
      <c r="M299" s="60" t="str">
        <f>IFERROR(__xludf.DUMMYFUNCTION("if(regexmatch(B299,""e(.*)$""),regexextract(B299,""e(.*)$""),"""")"),"8")</f>
        <v>8</v>
      </c>
    </row>
    <row r="300">
      <c r="A300" s="17" t="s">
        <v>4160</v>
      </c>
      <c r="B300" s="17" t="s">
        <v>4768</v>
      </c>
      <c r="C300" s="17" t="s">
        <v>3947</v>
      </c>
      <c r="D300" s="17" t="s">
        <v>1733</v>
      </c>
      <c r="E300" s="60" t="str">
        <f>VLOOKUP($A300,nist_names_ids!A:B,2,false)</f>
        <v>gammappbar</v>
      </c>
      <c r="F300" s="61">
        <f>countif(Constants!A:A,E300)</f>
        <v>1</v>
      </c>
      <c r="G300" s="62" t="str">
        <f t="shared" si="1"/>
        <v>42.5763866</v>
      </c>
      <c r="H300" s="62">
        <f t="shared" si="2"/>
        <v>42.5763866</v>
      </c>
      <c r="I300" s="62" t="str">
        <f t="shared" si="3"/>
        <v>0.0000010</v>
      </c>
      <c r="J300" s="62">
        <f t="shared" si="4"/>
        <v>0.000001</v>
      </c>
      <c r="K300" s="62" t="b">
        <f t="shared" si="5"/>
        <v>0</v>
      </c>
      <c r="L300" s="62" t="b">
        <f t="shared" si="6"/>
        <v>0</v>
      </c>
      <c r="M300" s="60" t="str">
        <f>IFERROR(__xludf.DUMMYFUNCTION("if(regexmatch(B300,""e(.*)$""),regexextract(B300,""e(.*)$""),"""")"),"")</f>
        <v/>
      </c>
    </row>
    <row r="301">
      <c r="A301" s="17" t="s">
        <v>2853</v>
      </c>
      <c r="B301" s="17" t="s">
        <v>4771</v>
      </c>
      <c r="C301" s="17" t="s">
        <v>4772</v>
      </c>
      <c r="D301" s="17" t="s">
        <v>964</v>
      </c>
      <c r="E301" s="60" t="str">
        <f>VLOOKUP($A301,nist_names_ids!A:B,2,false)</f>
        <v>mupp</v>
      </c>
      <c r="F301" s="61">
        <f>countif(Constants!A:A,E301)</f>
        <v>1</v>
      </c>
      <c r="G301" s="62" t="str">
        <f t="shared" si="1"/>
        <v>1.410570499e-26</v>
      </c>
      <c r="H301" s="62">
        <f t="shared" si="2"/>
        <v>0</v>
      </c>
      <c r="I301" s="62" t="str">
        <f t="shared" si="3"/>
        <v>0.000000035e-26</v>
      </c>
      <c r="J301" s="62">
        <f t="shared" si="4"/>
        <v>0</v>
      </c>
      <c r="K301" s="62" t="b">
        <f t="shared" si="5"/>
        <v>0</v>
      </c>
      <c r="L301" s="62" t="b">
        <f t="shared" si="6"/>
        <v>0</v>
      </c>
      <c r="M301" s="60" t="str">
        <f>IFERROR(__xludf.DUMMYFUNCTION("if(regexmatch(B301,""e(.*)$""),regexextract(B301,""e(.*)$""),"""")"),"-26")</f>
        <v>-26</v>
      </c>
    </row>
    <row r="302">
      <c r="A302" s="17" t="s">
        <v>2858</v>
      </c>
      <c r="B302" s="17" t="s">
        <v>3618</v>
      </c>
      <c r="C302" s="17" t="s">
        <v>3619</v>
      </c>
      <c r="E302" s="60" t="str">
        <f>VLOOKUP($A302,nist_names_ids!A:B,2,false)</f>
        <v>muppsmub</v>
      </c>
      <c r="F302" s="61">
        <f>countif(Constants!A:A,E302)</f>
        <v>1</v>
      </c>
      <c r="G302" s="62" t="str">
        <f t="shared" si="1"/>
        <v>1.520993128e-3</v>
      </c>
      <c r="H302" s="62">
        <f t="shared" si="2"/>
        <v>0.001520993128</v>
      </c>
      <c r="I302" s="62" t="str">
        <f t="shared" si="3"/>
        <v>0.000000017e-3</v>
      </c>
      <c r="J302" s="62">
        <f t="shared" si="4"/>
        <v>0</v>
      </c>
      <c r="K302" s="62" t="b">
        <f t="shared" si="5"/>
        <v>0</v>
      </c>
      <c r="L302" s="62" t="b">
        <f t="shared" si="6"/>
        <v>0</v>
      </c>
      <c r="M302" s="60" t="str">
        <f>IFERROR(__xludf.DUMMYFUNCTION("if(regexmatch(B302,""e(.*)$""),regexextract(B302,""e(.*)$""),"""")"),"-3")</f>
        <v>-3</v>
      </c>
    </row>
    <row r="303">
      <c r="A303" s="17" t="s">
        <v>2863</v>
      </c>
      <c r="B303" s="17" t="s">
        <v>4775</v>
      </c>
      <c r="C303" s="17" t="s">
        <v>3624</v>
      </c>
      <c r="E303" s="60" t="str">
        <f>VLOOKUP($A303,nist_names_ids!A:B,2,false)</f>
        <v>muppsmun</v>
      </c>
      <c r="F303" s="61">
        <f>countif(Constants!A:A,E303)</f>
        <v>1</v>
      </c>
      <c r="G303" s="62" t="str">
        <f t="shared" si="1"/>
        <v>2.792775598</v>
      </c>
      <c r="H303" s="62">
        <f t="shared" si="2"/>
        <v>2.792775598</v>
      </c>
      <c r="I303" s="62" t="str">
        <f t="shared" si="3"/>
        <v>0.000000030</v>
      </c>
      <c r="J303" s="62">
        <f t="shared" si="4"/>
        <v>0.00000003</v>
      </c>
      <c r="K303" s="62" t="b">
        <f t="shared" si="5"/>
        <v>0</v>
      </c>
      <c r="L303" s="62" t="b">
        <f t="shared" si="6"/>
        <v>0</v>
      </c>
      <c r="M303" s="60" t="str">
        <f>IFERROR(__xludf.DUMMYFUNCTION("if(regexmatch(B303,""e(.*)$""),regexextract(B303,""e(.*)$""),"""")"),"")</f>
        <v/>
      </c>
    </row>
    <row r="304">
      <c r="A304" s="17" t="s">
        <v>2877</v>
      </c>
      <c r="B304" s="17" t="s">
        <v>3106</v>
      </c>
      <c r="C304" s="17" t="s">
        <v>1501</v>
      </c>
      <c r="D304" s="17" t="s">
        <v>1109</v>
      </c>
      <c r="E304" s="60" t="str">
        <f>VLOOKUP($A304,nist_names_ids!A:B,2,false)</f>
        <v>c</v>
      </c>
      <c r="F304" s="61">
        <f>countif(Constants!A:A,E304)</f>
        <v>1</v>
      </c>
      <c r="G304" s="62" t="str">
        <f t="shared" si="1"/>
        <v>299792458</v>
      </c>
      <c r="H304" s="62">
        <f t="shared" si="2"/>
        <v>299792458</v>
      </c>
      <c r="I304" s="62" t="str">
        <f t="shared" si="3"/>
        <v>(exact)</v>
      </c>
      <c r="J304" s="62" t="str">
        <f t="shared" si="4"/>
        <v/>
      </c>
      <c r="K304" s="62" t="b">
        <f t="shared" si="5"/>
        <v>1</v>
      </c>
      <c r="L304" s="62" t="b">
        <f t="shared" si="6"/>
        <v>0</v>
      </c>
      <c r="M304" s="60" t="str">
        <f>IFERROR(__xludf.DUMMYFUNCTION("if(regexmatch(B304,""e(.*)$""),regexextract(B304,""e(.*)$""),"""")"),"")</f>
        <v/>
      </c>
    </row>
    <row r="305">
      <c r="A305" s="17" t="s">
        <v>2880</v>
      </c>
      <c r="B305" s="17" t="s">
        <v>3648</v>
      </c>
      <c r="C305" s="17" t="s">
        <v>1501</v>
      </c>
      <c r="D305" s="17" t="s">
        <v>2882</v>
      </c>
      <c r="E305" s="60" t="str">
        <f>VLOOKUP($A305,nist_names_ids!A:B,2,false)</f>
        <v>gn</v>
      </c>
      <c r="F305" s="61">
        <f>countif(Constants!A:A,E305)</f>
        <v>1</v>
      </c>
      <c r="G305" s="62" t="str">
        <f t="shared" si="1"/>
        <v>9.80665</v>
      </c>
      <c r="H305" s="62">
        <f t="shared" si="2"/>
        <v>9.80665</v>
      </c>
      <c r="I305" s="62" t="str">
        <f t="shared" si="3"/>
        <v>(exact)</v>
      </c>
      <c r="J305" s="62" t="str">
        <f t="shared" si="4"/>
        <v/>
      </c>
      <c r="K305" s="62" t="b">
        <f t="shared" si="5"/>
        <v>1</v>
      </c>
      <c r="L305" s="62" t="b">
        <f t="shared" si="6"/>
        <v>0</v>
      </c>
      <c r="M305" s="60" t="str">
        <f>IFERROR(__xludf.DUMMYFUNCTION("if(regexmatch(B305,""e(.*)$""),regexextract(B305,""e(.*)$""),"""")"),"")</f>
        <v/>
      </c>
    </row>
    <row r="306">
      <c r="A306" s="17" t="s">
        <v>2886</v>
      </c>
      <c r="B306" s="17" t="s">
        <v>3651</v>
      </c>
      <c r="C306" s="17" t="s">
        <v>1501</v>
      </c>
      <c r="D306" s="17" t="s">
        <v>512</v>
      </c>
      <c r="E306" s="60" t="str">
        <f>VLOOKUP($A306,nist_names_ids!A:B,2,false)</f>
        <v>stdatm</v>
      </c>
      <c r="F306" s="61">
        <f>countif(Constants!A:A,E306)</f>
        <v>1</v>
      </c>
      <c r="G306" s="62" t="str">
        <f t="shared" si="1"/>
        <v>101325</v>
      </c>
      <c r="H306" s="62">
        <f t="shared" si="2"/>
        <v>101325</v>
      </c>
      <c r="I306" s="62" t="str">
        <f t="shared" si="3"/>
        <v>(exact)</v>
      </c>
      <c r="J306" s="62" t="str">
        <f t="shared" si="4"/>
        <v/>
      </c>
      <c r="K306" s="62" t="b">
        <f t="shared" si="5"/>
        <v>1</v>
      </c>
      <c r="L306" s="62" t="b">
        <f t="shared" si="6"/>
        <v>0</v>
      </c>
      <c r="M306" s="60" t="str">
        <f>IFERROR(__xludf.DUMMYFUNCTION("if(regexmatch(B306,""e(.*)$""),regexextract(B306,""e(.*)$""),"""")"),"")</f>
        <v/>
      </c>
    </row>
    <row r="307">
      <c r="A307" s="17" t="s">
        <v>2888</v>
      </c>
      <c r="B307" s="17" t="s">
        <v>3654</v>
      </c>
      <c r="C307" s="17" t="s">
        <v>1501</v>
      </c>
      <c r="D307" s="17" t="s">
        <v>512</v>
      </c>
      <c r="E307" s="60" t="str">
        <f>VLOOKUP($A307,nist_names_ids!A:B,2,false)</f>
        <v>stdspr</v>
      </c>
      <c r="F307" s="61">
        <f>countif(Constants!A:A,E307)</f>
        <v>1</v>
      </c>
      <c r="G307" s="62" t="str">
        <f t="shared" si="1"/>
        <v>100000</v>
      </c>
      <c r="H307" s="62">
        <f t="shared" si="2"/>
        <v>100000</v>
      </c>
      <c r="I307" s="62" t="str">
        <f t="shared" si="3"/>
        <v>(exact)</v>
      </c>
      <c r="J307" s="62" t="str">
        <f t="shared" si="4"/>
        <v/>
      </c>
      <c r="K307" s="62" t="b">
        <f t="shared" si="5"/>
        <v>1</v>
      </c>
      <c r="L307" s="62" t="b">
        <f t="shared" si="6"/>
        <v>0</v>
      </c>
      <c r="M307" s="60" t="str">
        <f>IFERROR(__xludf.DUMMYFUNCTION("if(regexmatch(B307,""e(.*)$""),regexextract(B307,""e(.*)$""),"""")"),"")</f>
        <v/>
      </c>
    </row>
    <row r="308">
      <c r="A308" s="17" t="s">
        <v>2890</v>
      </c>
      <c r="B308" s="17" t="s">
        <v>4781</v>
      </c>
      <c r="C308" s="17" t="s">
        <v>4782</v>
      </c>
      <c r="D308" s="17" t="s">
        <v>2892</v>
      </c>
      <c r="E308" s="60" t="str">
        <f>VLOOKUP($A308,nist_names_ids!A:B,2,false)</f>
        <v>sigma</v>
      </c>
      <c r="F308" s="61">
        <f>countif(Constants!A:A,E308)</f>
        <v>1</v>
      </c>
      <c r="G308" s="62" t="str">
        <f t="shared" si="1"/>
        <v>5.670373e-8</v>
      </c>
      <c r="H308" s="62">
        <f t="shared" si="2"/>
        <v>0.00000005670373</v>
      </c>
      <c r="I308" s="62" t="str">
        <f t="shared" si="3"/>
        <v>0.000021e-8</v>
      </c>
      <c r="J308" s="62">
        <f t="shared" si="4"/>
        <v>0</v>
      </c>
      <c r="K308" s="62" t="b">
        <f t="shared" si="5"/>
        <v>0</v>
      </c>
      <c r="L308" s="62" t="b">
        <f t="shared" si="6"/>
        <v>0</v>
      </c>
      <c r="M308" s="60" t="str">
        <f>IFERROR(__xludf.DUMMYFUNCTION("if(regexmatch(B308,""e(.*)$""),regexextract(B308,""e(.*)$""),"""")"),"-8")</f>
        <v>-8</v>
      </c>
    </row>
    <row r="309">
      <c r="A309" s="17" t="s">
        <v>2896</v>
      </c>
      <c r="B309" s="17" t="s">
        <v>4183</v>
      </c>
      <c r="C309" s="17" t="s">
        <v>4184</v>
      </c>
      <c r="D309" s="17" t="s">
        <v>381</v>
      </c>
      <c r="E309" s="60" t="str">
        <f>VLOOKUP($A309,nist_names_ids!A:B,2,false)</f>
        <v>tcomwl</v>
      </c>
      <c r="F309" s="61">
        <f>countif(Constants!A:A,E309)</f>
        <v>1</v>
      </c>
      <c r="G309" s="62" t="str">
        <f t="shared" si="1"/>
        <v>0.697787e-15</v>
      </c>
      <c r="H309" s="62">
        <f t="shared" si="2"/>
        <v>0</v>
      </c>
      <c r="I309" s="62" t="str">
        <f t="shared" si="3"/>
        <v>0.000063e-15</v>
      </c>
      <c r="J309" s="62">
        <f t="shared" si="4"/>
        <v>0</v>
      </c>
      <c r="K309" s="62" t="b">
        <f t="shared" si="5"/>
        <v>0</v>
      </c>
      <c r="L309" s="62" t="b">
        <f t="shared" si="6"/>
        <v>0</v>
      </c>
      <c r="M309" s="60" t="str">
        <f>IFERROR(__xludf.DUMMYFUNCTION("if(regexmatch(B309,""e(.*)$""),regexextract(B309,""e(.*)$""),"""")"),"-15")</f>
        <v>-15</v>
      </c>
    </row>
    <row r="310">
      <c r="A310" s="17" t="s">
        <v>4186</v>
      </c>
      <c r="B310" s="17" t="s">
        <v>4187</v>
      </c>
      <c r="C310" s="17" t="s">
        <v>4188</v>
      </c>
      <c r="D310" s="17" t="s">
        <v>381</v>
      </c>
      <c r="E310" s="60" t="str">
        <f>VLOOKUP($A310,nist_names_ids!A:B,2,false)</f>
        <v>tcomwlbar</v>
      </c>
      <c r="F310" s="61">
        <f>countif(Constants!A:A,E310)</f>
        <v>1</v>
      </c>
      <c r="G310" s="62" t="str">
        <f t="shared" si="1"/>
        <v>0.111056e-15</v>
      </c>
      <c r="H310" s="62">
        <f t="shared" si="2"/>
        <v>0</v>
      </c>
      <c r="I310" s="62" t="str">
        <f t="shared" si="3"/>
        <v>0.000010e-15</v>
      </c>
      <c r="J310" s="62">
        <f t="shared" si="4"/>
        <v>0</v>
      </c>
      <c r="K310" s="62" t="b">
        <f t="shared" si="5"/>
        <v>0</v>
      </c>
      <c r="L310" s="62" t="b">
        <f t="shared" si="6"/>
        <v>0</v>
      </c>
      <c r="M310" s="60" t="str">
        <f>IFERROR(__xludf.DUMMYFUNCTION("if(regexmatch(B310,""e(.*)$""),regexextract(B310,""e(.*)$""),"""")"),"-15")</f>
        <v>-15</v>
      </c>
    </row>
    <row r="311">
      <c r="A311" s="17" t="s">
        <v>2901</v>
      </c>
      <c r="B311" s="64" t="s">
        <v>4189</v>
      </c>
      <c r="C311" s="64" t="s">
        <v>4190</v>
      </c>
      <c r="E311" s="60" t="str">
        <f>VLOOKUP($A311,nist_names_ids!A:B,2,false)</f>
        <v>mtausme</v>
      </c>
      <c r="F311" s="61">
        <f>countif(Constants!A:A,E311)</f>
        <v>1</v>
      </c>
      <c r="G311" s="62" t="str">
        <f t="shared" si="1"/>
        <v>3477.15</v>
      </c>
      <c r="H311" s="62">
        <f t="shared" si="2"/>
        <v>3477.15</v>
      </c>
      <c r="I311" s="62" t="str">
        <f t="shared" si="3"/>
        <v>0.31</v>
      </c>
      <c r="J311" s="62">
        <f t="shared" si="4"/>
        <v>0.31</v>
      </c>
      <c r="K311" s="62" t="b">
        <f t="shared" si="5"/>
        <v>0</v>
      </c>
      <c r="L311" s="62" t="b">
        <f t="shared" si="6"/>
        <v>0</v>
      </c>
      <c r="M311" s="60" t="str">
        <f>IFERROR(__xludf.DUMMYFUNCTION("if(regexmatch(B311,""e(.*)$""),regexextract(B311,""e(.*)$""),"""")"),"")</f>
        <v/>
      </c>
    </row>
    <row r="312">
      <c r="A312" s="17" t="s">
        <v>2910</v>
      </c>
      <c r="B312" s="17" t="s">
        <v>4193</v>
      </c>
      <c r="C312" s="17" t="s">
        <v>4194</v>
      </c>
      <c r="D312" s="17" t="s">
        <v>98</v>
      </c>
      <c r="E312" s="60" t="str">
        <f>VLOOKUP($A312,nist_names_ids!A:B,2,false)</f>
        <v>mtau</v>
      </c>
      <c r="F312" s="61">
        <f>countif(Constants!A:A,E312)</f>
        <v>1</v>
      </c>
      <c r="G312" s="62" t="str">
        <f t="shared" si="1"/>
        <v>3.16747e-27</v>
      </c>
      <c r="H312" s="62">
        <f t="shared" si="2"/>
        <v>0</v>
      </c>
      <c r="I312" s="62" t="str">
        <f t="shared" si="3"/>
        <v>0.00029e-27</v>
      </c>
      <c r="J312" s="62">
        <f t="shared" si="4"/>
        <v>0</v>
      </c>
      <c r="K312" s="62" t="b">
        <f t="shared" si="5"/>
        <v>0</v>
      </c>
      <c r="L312" s="62" t="b">
        <f t="shared" si="6"/>
        <v>0</v>
      </c>
      <c r="M312" s="60" t="str">
        <f>IFERROR(__xludf.DUMMYFUNCTION("if(regexmatch(B312,""e(.*)$""),regexextract(B312,""e(.*)$""),"""")"),"-27")</f>
        <v>-27</v>
      </c>
    </row>
    <row r="313">
      <c r="A313" s="17" t="s">
        <v>2915</v>
      </c>
      <c r="B313" s="17" t="s">
        <v>4197</v>
      </c>
      <c r="C313" s="17" t="s">
        <v>4198</v>
      </c>
      <c r="D313" s="17" t="s">
        <v>173</v>
      </c>
      <c r="E313" s="60" t="str">
        <f>VLOOKUP($A313,nist_names_ids!A:B,2,false)</f>
        <v>mtauc2</v>
      </c>
      <c r="F313" s="61">
        <f>countif(Constants!A:A,E313)</f>
        <v>1</v>
      </c>
      <c r="G313" s="62" t="str">
        <f t="shared" si="1"/>
        <v>2.84678e-10</v>
      </c>
      <c r="H313" s="62">
        <f t="shared" si="2"/>
        <v>0.000000000284678</v>
      </c>
      <c r="I313" s="62" t="str">
        <f t="shared" si="3"/>
        <v>0.00026e-10</v>
      </c>
      <c r="J313" s="62">
        <f t="shared" si="4"/>
        <v>0</v>
      </c>
      <c r="K313" s="62" t="b">
        <f t="shared" si="5"/>
        <v>0</v>
      </c>
      <c r="L313" s="62" t="b">
        <f t="shared" si="6"/>
        <v>0</v>
      </c>
      <c r="M313" s="60" t="str">
        <f>IFERROR(__xludf.DUMMYFUNCTION("if(regexmatch(B313,""e(.*)$""),regexextract(B313,""e(.*)$""),"""")"),"-10")</f>
        <v>-10</v>
      </c>
    </row>
    <row r="314">
      <c r="A314" s="17" t="s">
        <v>4201</v>
      </c>
      <c r="B314" s="64" t="s">
        <v>4202</v>
      </c>
      <c r="C314" s="64" t="s">
        <v>4203</v>
      </c>
      <c r="D314" s="17" t="s">
        <v>224</v>
      </c>
      <c r="E314" s="60" t="str">
        <f>VLOOKUP($A314,nist_names_ids!A:B,2,false)</f>
        <v>mtauc2mev</v>
      </c>
      <c r="F314" s="61">
        <f>countif(Constants!A:A,E314)</f>
        <v>1</v>
      </c>
      <c r="G314" s="62" t="str">
        <f t="shared" si="1"/>
        <v>1776.82</v>
      </c>
      <c r="H314" s="62">
        <f t="shared" si="2"/>
        <v>1776.82</v>
      </c>
      <c r="I314" s="62" t="str">
        <f t="shared" si="3"/>
        <v>0.16</v>
      </c>
      <c r="J314" s="62">
        <f t="shared" si="4"/>
        <v>0.16</v>
      </c>
      <c r="K314" s="62" t="b">
        <f t="shared" si="5"/>
        <v>0</v>
      </c>
      <c r="L314" s="62" t="b">
        <f t="shared" si="6"/>
        <v>0</v>
      </c>
      <c r="M314" s="60" t="str">
        <f>IFERROR(__xludf.DUMMYFUNCTION("if(regexmatch(B314,""e(.*)$""),regexextract(B314,""e(.*)$""),"""")"),"")</f>
        <v/>
      </c>
    </row>
    <row r="315">
      <c r="A315" s="17" t="s">
        <v>2920</v>
      </c>
      <c r="B315" s="17" t="s">
        <v>4204</v>
      </c>
      <c r="C315" s="17" t="s">
        <v>3388</v>
      </c>
      <c r="D315" s="17" t="s">
        <v>249</v>
      </c>
      <c r="E315" s="60" t="str">
        <f>VLOOKUP($A315,nist_names_ids!A:B,2,false)</f>
        <v>mtauu</v>
      </c>
      <c r="F315" s="61">
        <f>countif(Constants!A:A,E315)</f>
        <v>1</v>
      </c>
      <c r="G315" s="62" t="str">
        <f t="shared" si="1"/>
        <v>1.90749</v>
      </c>
      <c r="H315" s="62">
        <f t="shared" si="2"/>
        <v>1.90749</v>
      </c>
      <c r="I315" s="62" t="str">
        <f t="shared" si="3"/>
        <v>0.00017</v>
      </c>
      <c r="J315" s="62">
        <f t="shared" si="4"/>
        <v>0.00017</v>
      </c>
      <c r="K315" s="62" t="b">
        <f t="shared" si="5"/>
        <v>0</v>
      </c>
      <c r="L315" s="62" t="b">
        <f t="shared" si="6"/>
        <v>0</v>
      </c>
      <c r="M315" s="60" t="str">
        <f>IFERROR(__xludf.DUMMYFUNCTION("if(regexmatch(B315,""e(.*)$""),regexextract(B315,""e(.*)$""),"""")"),"")</f>
        <v/>
      </c>
    </row>
    <row r="316">
      <c r="A316" s="17" t="s">
        <v>2928</v>
      </c>
      <c r="B316" s="17" t="s">
        <v>4207</v>
      </c>
      <c r="C316" s="17" t="s">
        <v>4208</v>
      </c>
      <c r="D316" s="17" t="s">
        <v>286</v>
      </c>
      <c r="E316" s="60" t="str">
        <f>VLOOKUP($A316,nist_names_ids!A:B,2,false)</f>
        <v>mmtau</v>
      </c>
      <c r="F316" s="61">
        <f>countif(Constants!A:A,E316)</f>
        <v>1</v>
      </c>
      <c r="G316" s="62" t="str">
        <f t="shared" si="1"/>
        <v>1.90749e-3</v>
      </c>
      <c r="H316" s="62">
        <f t="shared" si="2"/>
        <v>0.00190749</v>
      </c>
      <c r="I316" s="62" t="str">
        <f t="shared" si="3"/>
        <v>0.00017e-3</v>
      </c>
      <c r="J316" s="62">
        <f t="shared" si="4"/>
        <v>0.00000017</v>
      </c>
      <c r="K316" s="62" t="b">
        <f t="shared" si="5"/>
        <v>0</v>
      </c>
      <c r="L316" s="62" t="b">
        <f t="shared" si="6"/>
        <v>0</v>
      </c>
      <c r="M316" s="60" t="str">
        <f>IFERROR(__xludf.DUMMYFUNCTION("if(regexmatch(B316,""e(.*)$""),regexextract(B316,""e(.*)$""),"""")"),"-3")</f>
        <v>-3</v>
      </c>
    </row>
    <row r="317">
      <c r="A317" s="17" t="s">
        <v>2931</v>
      </c>
      <c r="B317" s="64" t="s">
        <v>4209</v>
      </c>
      <c r="C317" s="64" t="s">
        <v>4210</v>
      </c>
      <c r="E317" s="60" t="str">
        <f>VLOOKUP($A317,nist_names_ids!A:B,2,false)</f>
        <v>mtausmmu</v>
      </c>
      <c r="F317" s="61">
        <f>countif(Constants!A:A,E317)</f>
        <v>1</v>
      </c>
      <c r="G317" s="62" t="str">
        <f t="shared" si="1"/>
        <v>16.8167</v>
      </c>
      <c r="H317" s="62">
        <f t="shared" si="2"/>
        <v>16.8167</v>
      </c>
      <c r="I317" s="62" t="str">
        <f t="shared" si="3"/>
        <v>0.0015</v>
      </c>
      <c r="J317" s="62">
        <f t="shared" si="4"/>
        <v>0.0015</v>
      </c>
      <c r="K317" s="62" t="b">
        <f t="shared" si="5"/>
        <v>0</v>
      </c>
      <c r="L317" s="62" t="b">
        <f t="shared" si="6"/>
        <v>0</v>
      </c>
      <c r="M317" s="60" t="str">
        <f>IFERROR(__xludf.DUMMYFUNCTION("if(regexmatch(B317,""e(.*)$""),regexextract(B317,""e(.*)$""),"""")"),"")</f>
        <v/>
      </c>
    </row>
    <row r="318">
      <c r="A318" s="17" t="s">
        <v>2935</v>
      </c>
      <c r="B318" s="17" t="s">
        <v>4213</v>
      </c>
      <c r="C318" s="17" t="s">
        <v>3388</v>
      </c>
      <c r="E318" s="60" t="str">
        <f>VLOOKUP($A318,nist_names_ids!A:B,2,false)</f>
        <v>mtausmn</v>
      </c>
      <c r="F318" s="61">
        <f>countif(Constants!A:A,E318)</f>
        <v>1</v>
      </c>
      <c r="G318" s="62" t="str">
        <f t="shared" si="1"/>
        <v>1.89111</v>
      </c>
      <c r="H318" s="62">
        <f t="shared" si="2"/>
        <v>1.89111</v>
      </c>
      <c r="I318" s="62" t="str">
        <f t="shared" si="3"/>
        <v>0.00017</v>
      </c>
      <c r="J318" s="62">
        <f t="shared" si="4"/>
        <v>0.00017</v>
      </c>
      <c r="K318" s="62" t="b">
        <f t="shared" si="5"/>
        <v>0</v>
      </c>
      <c r="L318" s="62" t="b">
        <f t="shared" si="6"/>
        <v>0</v>
      </c>
      <c r="M318" s="60" t="str">
        <f>IFERROR(__xludf.DUMMYFUNCTION("if(regexmatch(B318,""e(.*)$""),regexextract(B318,""e(.*)$""),"""")"),"")</f>
        <v/>
      </c>
    </row>
    <row r="319">
      <c r="A319" s="17" t="s">
        <v>2941</v>
      </c>
      <c r="B319" s="17" t="s">
        <v>4216</v>
      </c>
      <c r="C319" s="17" t="s">
        <v>3388</v>
      </c>
      <c r="E319" s="60" t="str">
        <f>VLOOKUP($A319,nist_names_ids!A:B,2,false)</f>
        <v>mtausmp</v>
      </c>
      <c r="F319" s="61">
        <f>countif(Constants!A:A,E319)</f>
        <v>1</v>
      </c>
      <c r="G319" s="62" t="str">
        <f t="shared" si="1"/>
        <v>1.89372</v>
      </c>
      <c r="H319" s="62">
        <f t="shared" si="2"/>
        <v>1.89372</v>
      </c>
      <c r="I319" s="62" t="str">
        <f t="shared" si="3"/>
        <v>0.00017</v>
      </c>
      <c r="J319" s="62">
        <f t="shared" si="4"/>
        <v>0.00017</v>
      </c>
      <c r="K319" s="62" t="b">
        <f t="shared" si="5"/>
        <v>0</v>
      </c>
      <c r="L319" s="62" t="b">
        <f t="shared" si="6"/>
        <v>0</v>
      </c>
      <c r="M319" s="60" t="str">
        <f>IFERROR(__xludf.DUMMYFUNCTION("if(regexmatch(B319,""e(.*)$""),regexextract(B319,""e(.*)$""),"""")"),"")</f>
        <v/>
      </c>
    </row>
    <row r="320">
      <c r="A320" s="17" t="s">
        <v>2943</v>
      </c>
      <c r="B320" s="17" t="s">
        <v>4817</v>
      </c>
      <c r="C320" s="17" t="s">
        <v>4818</v>
      </c>
      <c r="D320" s="17" t="s">
        <v>2946</v>
      </c>
      <c r="E320" s="60" t="str">
        <f>VLOOKUP($A320,nist_names_ids!A:B,2,false)</f>
        <v>sigmae</v>
      </c>
      <c r="F320" s="61">
        <f>countif(Constants!A:A,E320)</f>
        <v>1</v>
      </c>
      <c r="G320" s="62" t="str">
        <f t="shared" si="1"/>
        <v>0.6652458734e-28</v>
      </c>
      <c r="H320" s="62">
        <f t="shared" si="2"/>
        <v>0</v>
      </c>
      <c r="I320" s="62" t="str">
        <f t="shared" si="3"/>
        <v>0.0000000013e-28</v>
      </c>
      <c r="J320" s="62">
        <f t="shared" si="4"/>
        <v>0</v>
      </c>
      <c r="K320" s="62" t="b">
        <f t="shared" si="5"/>
        <v>0</v>
      </c>
      <c r="L320" s="62" t="b">
        <f t="shared" si="6"/>
        <v>0</v>
      </c>
      <c r="M320" s="60" t="str">
        <f>IFERROR(__xludf.DUMMYFUNCTION("if(regexmatch(B320,""e(.*)$""),regexextract(B320,""e(.*)$""),"""")"),"-28")</f>
        <v>-28</v>
      </c>
    </row>
    <row r="321">
      <c r="A321" s="17" t="s">
        <v>2951</v>
      </c>
      <c r="B321" s="17" t="s">
        <v>4823</v>
      </c>
      <c r="C321" s="17" t="s">
        <v>4269</v>
      </c>
      <c r="E321" s="60" t="str">
        <f>VLOOKUP($A321,nist_names_ids!A:B,2,false)</f>
        <v>mtsme</v>
      </c>
      <c r="F321" s="61">
        <f>countif(Constants!A:A,E321)</f>
        <v>1</v>
      </c>
      <c r="G321" s="62" t="str">
        <f t="shared" si="1"/>
        <v>5496.9215267</v>
      </c>
      <c r="H321" s="62">
        <f t="shared" si="2"/>
        <v>5496.921527</v>
      </c>
      <c r="I321" s="62" t="str">
        <f t="shared" si="3"/>
        <v>0.0000050</v>
      </c>
      <c r="J321" s="62">
        <f t="shared" si="4"/>
        <v>0.000005</v>
      </c>
      <c r="K321" s="62" t="b">
        <f t="shared" si="5"/>
        <v>0</v>
      </c>
      <c r="L321" s="62" t="b">
        <f t="shared" si="6"/>
        <v>0</v>
      </c>
      <c r="M321" s="60" t="str">
        <f>IFERROR(__xludf.DUMMYFUNCTION("if(regexmatch(B321,""e(.*)$""),regexextract(B321,""e(.*)$""),"""")"),"")</f>
        <v/>
      </c>
    </row>
    <row r="322">
      <c r="A322" s="17" t="s">
        <v>2955</v>
      </c>
      <c r="B322" s="17" t="s">
        <v>4827</v>
      </c>
      <c r="C322" s="17" t="s">
        <v>4828</v>
      </c>
      <c r="E322" s="60" t="str">
        <f>VLOOKUP($A322,nist_names_ids!A:B,2,false)</f>
        <v>gtn</v>
      </c>
      <c r="F322" s="61">
        <f>countif(Constants!A:A,E322)</f>
        <v>1</v>
      </c>
      <c r="G322" s="62" t="str">
        <f t="shared" si="1"/>
        <v>5.957924896</v>
      </c>
      <c r="H322" s="62">
        <f t="shared" si="2"/>
        <v>5.957924896</v>
      </c>
      <c r="I322" s="62" t="str">
        <f t="shared" si="3"/>
        <v>0.000000076</v>
      </c>
      <c r="J322" s="62">
        <f t="shared" si="4"/>
        <v>0.000000076</v>
      </c>
      <c r="K322" s="62" t="b">
        <f t="shared" si="5"/>
        <v>0</v>
      </c>
      <c r="L322" s="62" t="b">
        <f t="shared" si="6"/>
        <v>0</v>
      </c>
      <c r="M322" s="60" t="str">
        <f>IFERROR(__xludf.DUMMYFUNCTION("if(regexmatch(B322,""e(.*)$""),regexextract(B322,""e(.*)$""),"""")"),"")</f>
        <v/>
      </c>
    </row>
    <row r="323">
      <c r="A323" s="17" t="s">
        <v>2958</v>
      </c>
      <c r="B323" s="17" t="s">
        <v>4831</v>
      </c>
      <c r="C323" s="17" t="s">
        <v>4832</v>
      </c>
      <c r="D323" s="17" t="s">
        <v>964</v>
      </c>
      <c r="E323" s="60" t="str">
        <f>VLOOKUP($A323,nist_names_ids!A:B,2,false)</f>
        <v>mut</v>
      </c>
      <c r="F323" s="61">
        <f>countif(Constants!A:A,E323)</f>
        <v>1</v>
      </c>
      <c r="G323" s="62" t="str">
        <f t="shared" si="1"/>
        <v>1.504609447e-26</v>
      </c>
      <c r="H323" s="62">
        <f t="shared" si="2"/>
        <v>0</v>
      </c>
      <c r="I323" s="62" t="str">
        <f t="shared" si="3"/>
        <v>0.000000038e-26</v>
      </c>
      <c r="J323" s="62">
        <f t="shared" si="4"/>
        <v>0</v>
      </c>
      <c r="K323" s="62" t="b">
        <f t="shared" si="5"/>
        <v>0</v>
      </c>
      <c r="L323" s="62" t="b">
        <f t="shared" si="6"/>
        <v>0</v>
      </c>
      <c r="M323" s="60" t="str">
        <f>IFERROR(__xludf.DUMMYFUNCTION("if(regexmatch(B323,""e(.*)$""),regexextract(B323,""e(.*)$""),"""")"),"-26")</f>
        <v>-26</v>
      </c>
    </row>
    <row r="324">
      <c r="A324" s="17" t="s">
        <v>2965</v>
      </c>
      <c r="B324" s="17" t="s">
        <v>4835</v>
      </c>
      <c r="C324" s="17" t="s">
        <v>4836</v>
      </c>
      <c r="E324" s="60" t="str">
        <f>VLOOKUP($A324,nist_names_ids!A:B,2,false)</f>
        <v>mutsmub</v>
      </c>
      <c r="F324" s="61">
        <f>countif(Constants!A:A,E324)</f>
        <v>1</v>
      </c>
      <c r="G324" s="62" t="str">
        <f t="shared" si="1"/>
        <v>1.622393657e-3</v>
      </c>
      <c r="H324" s="62">
        <f t="shared" si="2"/>
        <v>0.001622393657</v>
      </c>
      <c r="I324" s="62" t="str">
        <f t="shared" si="3"/>
        <v>0.000000021e-3</v>
      </c>
      <c r="J324" s="62">
        <f t="shared" si="4"/>
        <v>0</v>
      </c>
      <c r="K324" s="62" t="b">
        <f t="shared" si="5"/>
        <v>0</v>
      </c>
      <c r="L324" s="62" t="b">
        <f t="shared" si="6"/>
        <v>0</v>
      </c>
      <c r="M324" s="60" t="str">
        <f>IFERROR(__xludf.DUMMYFUNCTION("if(regexmatch(B324,""e(.*)$""),regexextract(B324,""e(.*)$""),"""")"),"-3")</f>
        <v>-3</v>
      </c>
    </row>
    <row r="325">
      <c r="A325" s="17" t="s">
        <v>2968</v>
      </c>
      <c r="B325" s="17" t="s">
        <v>4837</v>
      </c>
      <c r="C325" s="17" t="s">
        <v>4838</v>
      </c>
      <c r="E325" s="60" t="str">
        <f>VLOOKUP($A325,nist_names_ids!A:B,2,false)</f>
        <v>mutsmun</v>
      </c>
      <c r="F325" s="61">
        <f>countif(Constants!A:A,E325)</f>
        <v>1</v>
      </c>
      <c r="G325" s="62" t="str">
        <f t="shared" si="1"/>
        <v>2.978962448</v>
      </c>
      <c r="H325" s="62">
        <f t="shared" si="2"/>
        <v>2.978962448</v>
      </c>
      <c r="I325" s="62" t="str">
        <f t="shared" si="3"/>
        <v>0.000000038</v>
      </c>
      <c r="J325" s="62">
        <f t="shared" si="4"/>
        <v>0.000000038</v>
      </c>
      <c r="K325" s="62" t="b">
        <f t="shared" si="5"/>
        <v>0</v>
      </c>
      <c r="L325" s="62" t="b">
        <f t="shared" si="6"/>
        <v>0</v>
      </c>
      <c r="M325" s="60" t="str">
        <f>IFERROR(__xludf.DUMMYFUNCTION("if(regexmatch(B325,""e(.*)$""),regexextract(B325,""e(.*)$""),"""")"),"")</f>
        <v/>
      </c>
    </row>
    <row r="326">
      <c r="A326" s="17" t="s">
        <v>2972</v>
      </c>
      <c r="B326" s="17" t="s">
        <v>4841</v>
      </c>
      <c r="C326" s="17" t="s">
        <v>4281</v>
      </c>
      <c r="D326" s="17" t="s">
        <v>98</v>
      </c>
      <c r="E326" s="60" t="str">
        <f>VLOOKUP($A326,nist_names_ids!A:B,2,false)</f>
        <v>mt</v>
      </c>
      <c r="F326" s="61">
        <f>countif(Constants!A:A,E326)</f>
        <v>1</v>
      </c>
      <c r="G326" s="62" t="str">
        <f t="shared" si="1"/>
        <v>5.00735630e-27</v>
      </c>
      <c r="H326" s="62">
        <f t="shared" si="2"/>
        <v>0</v>
      </c>
      <c r="I326" s="62" t="str">
        <f t="shared" si="3"/>
        <v>0.00000022e-27</v>
      </c>
      <c r="J326" s="62">
        <f t="shared" si="4"/>
        <v>0</v>
      </c>
      <c r="K326" s="62" t="b">
        <f t="shared" si="5"/>
        <v>0</v>
      </c>
      <c r="L326" s="62" t="b">
        <f t="shared" si="6"/>
        <v>0</v>
      </c>
      <c r="M326" s="60" t="str">
        <f>IFERROR(__xludf.DUMMYFUNCTION("if(regexmatch(B326,""e(.*)$""),regexextract(B326,""e(.*)$""),"""")"),"-27")</f>
        <v>-27</v>
      </c>
    </row>
    <row r="327">
      <c r="A327" s="17" t="s">
        <v>2977</v>
      </c>
      <c r="B327" s="17" t="s">
        <v>4843</v>
      </c>
      <c r="C327" s="17" t="s">
        <v>4285</v>
      </c>
      <c r="D327" s="17" t="s">
        <v>173</v>
      </c>
      <c r="E327" s="60" t="str">
        <f>VLOOKUP($A327,nist_names_ids!A:B,2,false)</f>
        <v>mtc2</v>
      </c>
      <c r="F327" s="61">
        <f>countif(Constants!A:A,E327)</f>
        <v>1</v>
      </c>
      <c r="G327" s="62" t="str">
        <f t="shared" si="1"/>
        <v>4.50038741e-10</v>
      </c>
      <c r="H327" s="62">
        <f t="shared" si="2"/>
        <v>0.000000000450038741</v>
      </c>
      <c r="I327" s="62" t="str">
        <f t="shared" si="3"/>
        <v>0.00000020e-10</v>
      </c>
      <c r="J327" s="62">
        <f t="shared" si="4"/>
        <v>0</v>
      </c>
      <c r="K327" s="62" t="b">
        <f t="shared" si="5"/>
        <v>0</v>
      </c>
      <c r="L327" s="62" t="b">
        <f t="shared" si="6"/>
        <v>0</v>
      </c>
      <c r="M327" s="60" t="str">
        <f>IFERROR(__xludf.DUMMYFUNCTION("if(regexmatch(B327,""e(.*)$""),regexextract(B327,""e(.*)$""),"""")"),"-10")</f>
        <v>-10</v>
      </c>
    </row>
    <row r="328">
      <c r="A328" s="17" t="s">
        <v>2980</v>
      </c>
      <c r="B328" s="17" t="s">
        <v>4845</v>
      </c>
      <c r="C328" s="17" t="s">
        <v>4287</v>
      </c>
      <c r="D328" s="17" t="s">
        <v>224</v>
      </c>
      <c r="E328" s="60" t="str">
        <f>VLOOKUP($A328,nist_names_ids!A:B,2,false)</f>
        <v>mtc2mev</v>
      </c>
      <c r="F328" s="61">
        <f>countif(Constants!A:A,E328)</f>
        <v>1</v>
      </c>
      <c r="G328" s="62" t="str">
        <f t="shared" si="1"/>
        <v>2808.921005</v>
      </c>
      <c r="H328" s="62">
        <f t="shared" si="2"/>
        <v>2808.921005</v>
      </c>
      <c r="I328" s="62" t="str">
        <f t="shared" si="3"/>
        <v>0.000062</v>
      </c>
      <c r="J328" s="62">
        <f t="shared" si="4"/>
        <v>0.000062</v>
      </c>
      <c r="K328" s="62" t="b">
        <f t="shared" si="5"/>
        <v>0</v>
      </c>
      <c r="L328" s="62" t="b">
        <f t="shared" si="6"/>
        <v>0</v>
      </c>
      <c r="M328" s="60" t="str">
        <f>IFERROR(__xludf.DUMMYFUNCTION("if(regexmatch(B328,""e(.*)$""),regexextract(B328,""e(.*)$""),"""")"),"")</f>
        <v/>
      </c>
    </row>
    <row r="329">
      <c r="A329" s="17" t="s">
        <v>2983</v>
      </c>
      <c r="B329" s="17" t="s">
        <v>4849</v>
      </c>
      <c r="C329" s="17" t="s">
        <v>2369</v>
      </c>
      <c r="D329" s="17" t="s">
        <v>249</v>
      </c>
      <c r="E329" s="60" t="str">
        <f>VLOOKUP($A329,nist_names_ids!A:B,2,false)</f>
        <v>mtu</v>
      </c>
      <c r="F329" s="61">
        <f>countif(Constants!A:A,E329)</f>
        <v>1</v>
      </c>
      <c r="G329" s="62" t="str">
        <f t="shared" si="1"/>
        <v>3.0155007134</v>
      </c>
      <c r="H329" s="62">
        <f t="shared" si="2"/>
        <v>3.015500713</v>
      </c>
      <c r="I329" s="62" t="str">
        <f t="shared" si="3"/>
        <v>0.0000000025</v>
      </c>
      <c r="J329" s="62">
        <f t="shared" si="4"/>
        <v>0.0000000025</v>
      </c>
      <c r="K329" s="62" t="b">
        <f t="shared" si="5"/>
        <v>0</v>
      </c>
      <c r="L329" s="62" t="b">
        <f t="shared" si="6"/>
        <v>0</v>
      </c>
      <c r="M329" s="60" t="str">
        <f>IFERROR(__xludf.DUMMYFUNCTION("if(regexmatch(B329,""e(.*)$""),regexextract(B329,""e(.*)$""),"""")"),"")</f>
        <v/>
      </c>
    </row>
    <row r="330">
      <c r="A330" s="17" t="s">
        <v>2989</v>
      </c>
      <c r="B330" s="17" t="s">
        <v>4854</v>
      </c>
      <c r="C330" s="17" t="s">
        <v>3791</v>
      </c>
      <c r="D330" s="17" t="s">
        <v>286</v>
      </c>
      <c r="E330" s="60" t="str">
        <f>VLOOKUP($A330,nist_names_ids!A:B,2,false)</f>
        <v>mmt</v>
      </c>
      <c r="F330" s="61">
        <f>countif(Constants!A:A,E330)</f>
        <v>1</v>
      </c>
      <c r="G330" s="62" t="str">
        <f t="shared" si="1"/>
        <v>3.0155007134e-3</v>
      </c>
      <c r="H330" s="62">
        <f t="shared" si="2"/>
        <v>0.003015500713</v>
      </c>
      <c r="I330" s="62" t="str">
        <f t="shared" si="3"/>
        <v>0.0000000025e-3</v>
      </c>
      <c r="J330" s="62">
        <f t="shared" si="4"/>
        <v>0</v>
      </c>
      <c r="K330" s="62" t="b">
        <f t="shared" si="5"/>
        <v>0</v>
      </c>
      <c r="L330" s="62" t="b">
        <f t="shared" si="6"/>
        <v>0</v>
      </c>
      <c r="M330" s="60" t="str">
        <f>IFERROR(__xludf.DUMMYFUNCTION("if(regexmatch(B330,""e(.*)$""),regexextract(B330,""e(.*)$""),"""")"),"-3")</f>
        <v>-3</v>
      </c>
    </row>
    <row r="331">
      <c r="A331" s="17" t="s">
        <v>2993</v>
      </c>
      <c r="B331" s="17" t="s">
        <v>4855</v>
      </c>
      <c r="C331" s="17" t="s">
        <v>2369</v>
      </c>
      <c r="E331" s="60" t="str">
        <f>VLOOKUP($A331,nist_names_ids!A:B,2,false)</f>
        <v>mtsmp</v>
      </c>
      <c r="F331" s="61">
        <f>countif(Constants!A:A,E331)</f>
        <v>1</v>
      </c>
      <c r="G331" s="62" t="str">
        <f t="shared" si="1"/>
        <v>2.9937170308</v>
      </c>
      <c r="H331" s="62">
        <f t="shared" si="2"/>
        <v>2.993717031</v>
      </c>
      <c r="I331" s="62" t="str">
        <f t="shared" si="3"/>
        <v>0.0000000025</v>
      </c>
      <c r="J331" s="62">
        <f t="shared" si="4"/>
        <v>0.0000000025</v>
      </c>
      <c r="K331" s="62" t="b">
        <f t="shared" si="5"/>
        <v>0</v>
      </c>
      <c r="L331" s="62" t="b">
        <f t="shared" si="6"/>
        <v>0</v>
      </c>
      <c r="M331" s="60" t="str">
        <f>IFERROR(__xludf.DUMMYFUNCTION("if(regexmatch(B331,""e(.*)$""),regexextract(B331,""e(.*)$""),"""")"),"")</f>
        <v/>
      </c>
    </row>
    <row r="332">
      <c r="A332" s="17" t="s">
        <v>3004</v>
      </c>
      <c r="B332" s="17" t="s">
        <v>3811</v>
      </c>
      <c r="C332" s="17" t="s">
        <v>3812</v>
      </c>
      <c r="D332" s="17" t="s">
        <v>98</v>
      </c>
      <c r="E332" s="60" t="str">
        <f>VLOOKUP($A332,nist_names_ids!A:B,2,false)</f>
        <v>ukg</v>
      </c>
      <c r="F332" s="61">
        <f>countif(Constants!A:A,E332)</f>
        <v>1</v>
      </c>
      <c r="G332" s="62" t="str">
        <f t="shared" si="1"/>
        <v>1.660538921e-27</v>
      </c>
      <c r="H332" s="62">
        <f t="shared" si="2"/>
        <v>0</v>
      </c>
      <c r="I332" s="62" t="str">
        <f t="shared" si="3"/>
        <v>0.000000073e-27</v>
      </c>
      <c r="J332" s="62">
        <f t="shared" si="4"/>
        <v>0</v>
      </c>
      <c r="K332" s="62" t="b">
        <f t="shared" si="5"/>
        <v>0</v>
      </c>
      <c r="L332" s="62" t="b">
        <f t="shared" si="6"/>
        <v>0</v>
      </c>
      <c r="M332" s="60" t="str">
        <f>IFERROR(__xludf.DUMMYFUNCTION("if(regexmatch(B332,""e(.*)$""),regexextract(B332,""e(.*)$""),"""")"),"-27")</f>
        <v>-27</v>
      </c>
    </row>
    <row r="333">
      <c r="A333" s="17" t="s">
        <v>3012</v>
      </c>
      <c r="B333" s="17" t="s">
        <v>4859</v>
      </c>
      <c r="C333" s="17" t="s">
        <v>4860</v>
      </c>
      <c r="D333" s="17" t="s">
        <v>500</v>
      </c>
      <c r="E333" s="60" t="str">
        <f>VLOOKUP($A333,nist_names_ids!A:B,2,false)</f>
        <v>rk</v>
      </c>
      <c r="F333" s="61">
        <f>countif(Constants!A:A,E333)</f>
        <v>1</v>
      </c>
      <c r="G333" s="62" t="str">
        <f t="shared" si="1"/>
        <v>25812.8074434</v>
      </c>
      <c r="H333" s="62">
        <f t="shared" si="2"/>
        <v>25812.80744</v>
      </c>
      <c r="I333" s="62" t="str">
        <f t="shared" si="3"/>
        <v>0.0000084</v>
      </c>
      <c r="J333" s="62">
        <f t="shared" si="4"/>
        <v>0.0000084</v>
      </c>
      <c r="K333" s="62" t="b">
        <f t="shared" si="5"/>
        <v>0</v>
      </c>
      <c r="L333" s="62" t="b">
        <f t="shared" si="6"/>
        <v>0</v>
      </c>
      <c r="M333" s="60" t="str">
        <f>IFERROR(__xludf.DUMMYFUNCTION("if(regexmatch(B333,""e(.*)$""),regexextract(B333,""e(.*)$""),"""")"),"")</f>
        <v/>
      </c>
    </row>
    <row r="334">
      <c r="A334" s="17" t="s">
        <v>3014</v>
      </c>
      <c r="B334" s="64" t="s">
        <v>4261</v>
      </c>
      <c r="C334" s="64" t="s">
        <v>4222</v>
      </c>
      <c r="E334" s="60" t="str">
        <f>VLOOKUP($A334,nist_names_ids!A:B,2,false)</f>
        <v>sin2th</v>
      </c>
      <c r="F334" s="61">
        <f>countif(Constants!A:A,E334)</f>
        <v>1</v>
      </c>
      <c r="G334" s="62" t="str">
        <f t="shared" si="1"/>
        <v>0.2223</v>
      </c>
      <c r="H334" s="62">
        <f t="shared" si="2"/>
        <v>0.2223</v>
      </c>
      <c r="I334" s="62" t="str">
        <f t="shared" si="3"/>
        <v>0.0021</v>
      </c>
      <c r="J334" s="62">
        <f t="shared" si="4"/>
        <v>0.0021</v>
      </c>
      <c r="K334" s="62" t="b">
        <f t="shared" si="5"/>
        <v>0</v>
      </c>
      <c r="L334" s="62" t="b">
        <f t="shared" si="6"/>
        <v>0</v>
      </c>
      <c r="M334" s="60" t="str">
        <f>IFERROR(__xludf.DUMMYFUNCTION("if(regexmatch(B334,""e(.*)$""),regexextract(B334,""e(.*)$""),"""")"),"")</f>
        <v/>
      </c>
    </row>
    <row r="335">
      <c r="A335" s="17" t="s">
        <v>3018</v>
      </c>
      <c r="B335" s="17" t="s">
        <v>4864</v>
      </c>
      <c r="C335" s="17" t="s">
        <v>4865</v>
      </c>
      <c r="D335" s="17" t="s">
        <v>1303</v>
      </c>
      <c r="E335" s="60" t="str">
        <f>VLOOKUP($A335,nist_names_ids!A:B,2,false)</f>
        <v>bpwien</v>
      </c>
      <c r="F335" s="61">
        <f>countif(Constants!A:A,E335)</f>
        <v>1</v>
      </c>
      <c r="G335" s="62" t="str">
        <f t="shared" si="1"/>
        <v>5.8789254e10</v>
      </c>
      <c r="H335" s="62">
        <f t="shared" si="2"/>
        <v>58789254000</v>
      </c>
      <c r="I335" s="62" t="str">
        <f t="shared" si="3"/>
        <v>0.0000053e10</v>
      </c>
      <c r="J335" s="62">
        <f t="shared" si="4"/>
        <v>53000</v>
      </c>
      <c r="K335" s="62" t="b">
        <f t="shared" si="5"/>
        <v>0</v>
      </c>
      <c r="L335" s="62" t="b">
        <f t="shared" si="6"/>
        <v>0</v>
      </c>
      <c r="M335" s="60" t="str">
        <f>IFERROR(__xludf.DUMMYFUNCTION("if(regexmatch(B335,""e(.*)$""),regexextract(B335,""e(.*)$""),"""")"),"10")</f>
        <v>10</v>
      </c>
    </row>
    <row r="336">
      <c r="A336" s="17" t="s">
        <v>3022</v>
      </c>
      <c r="B336" s="17" t="s">
        <v>4868</v>
      </c>
      <c r="C336" s="17" t="s">
        <v>4869</v>
      </c>
      <c r="D336" s="17" t="s">
        <v>2800</v>
      </c>
      <c r="E336" s="60" t="str">
        <f>VLOOKUP($A336,nist_names_ids!A:B,2,false)</f>
        <v>bwien</v>
      </c>
      <c r="F336" s="61">
        <f>countif(Constants!A:A,E336)</f>
        <v>1</v>
      </c>
      <c r="G336" s="62" t="str">
        <f t="shared" si="1"/>
        <v>2.8977721e-3</v>
      </c>
      <c r="H336" s="62">
        <f t="shared" si="2"/>
        <v>0.0028977721</v>
      </c>
      <c r="I336" s="62" t="str">
        <f t="shared" si="3"/>
        <v>0.0000026e-3</v>
      </c>
      <c r="J336" s="62">
        <f t="shared" si="4"/>
        <v>0.0000000026</v>
      </c>
      <c r="K336" s="62" t="b">
        <f t="shared" si="5"/>
        <v>0</v>
      </c>
      <c r="L336" s="62" t="b">
        <f t="shared" si="6"/>
        <v>0</v>
      </c>
      <c r="M336" s="60" t="str">
        <f>IFERROR(__xludf.DUMMYFUNCTION("if(regexmatch(B336,""e(.*)$""),regexextract(B336,""e(.*)$""),"""")"),"-3")</f>
        <v>-3</v>
      </c>
    </row>
  </sheetData>
  <conditionalFormatting sqref="F1:F336">
    <cfRule type="cellIs" dxfId="3" priority="1" operator="equal">
      <formula>0</formula>
    </cfRule>
  </conditionalFormatting>
  <conditionalFormatting sqref="E1:E336">
    <cfRule type="expression" dxfId="0" priority="2">
      <formula>iserror(E1)</formula>
    </cfRule>
  </conditionalFormatting>
  <conditionalFormatting sqref="E1:E336">
    <cfRule type="expression" dxfId="0" priority="3">
      <formula>countif(E:E,E1)&gt;1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5"/>
    <col customWidth="1" min="2" max="2" width="29.25"/>
    <col customWidth="1" min="3" max="3" width="14.38"/>
    <col customWidth="1" min="5" max="5" width="12.5"/>
    <col customWidth="1" min="6" max="6" width="8.88"/>
    <col customWidth="1" min="7" max="7" width="16.88"/>
    <col customWidth="1" min="8" max="8" width="18.0"/>
    <col customWidth="1" min="9" max="9" width="19.13"/>
    <col customWidth="1" min="10" max="10" width="18.0"/>
    <col customWidth="1" min="11" max="11" width="7.63"/>
    <col customWidth="1" min="12" max="12" width="10.88"/>
  </cols>
  <sheetData>
    <row r="1">
      <c r="A1" s="79" t="s">
        <v>1</v>
      </c>
      <c r="B1" s="79" t="s">
        <v>1406</v>
      </c>
      <c r="C1" s="79" t="s">
        <v>21</v>
      </c>
      <c r="D1" s="7" t="s">
        <v>1408</v>
      </c>
      <c r="E1" s="58" t="s">
        <v>0</v>
      </c>
      <c r="F1" s="10" t="s">
        <v>1409</v>
      </c>
      <c r="G1" s="58" t="s">
        <v>1410</v>
      </c>
      <c r="H1" s="58" t="s">
        <v>1412</v>
      </c>
      <c r="I1" s="58" t="s">
        <v>1413</v>
      </c>
      <c r="J1" s="58" t="s">
        <v>1414</v>
      </c>
      <c r="K1" s="58" t="s">
        <v>1415</v>
      </c>
      <c r="L1" s="58" t="s">
        <v>1416</v>
      </c>
      <c r="M1" s="58" t="s">
        <v>1417</v>
      </c>
    </row>
    <row r="2">
      <c r="A2" s="80" t="s">
        <v>96</v>
      </c>
      <c r="B2" s="80" t="s">
        <v>4282</v>
      </c>
      <c r="C2" s="80" t="s">
        <v>98</v>
      </c>
      <c r="D2" s="18" t="str">
        <f t="shared" ref="D2:D325" si="1">SUBSTITUTE(SUBSTITUTE(C2,"{",""),"}","")</f>
        <v>kg</v>
      </c>
      <c r="E2" s="60" t="str">
        <f>VLOOKUP($A2,nist_names_ids!A:B,2,false)</f>
        <v>mal</v>
      </c>
      <c r="F2" s="61">
        <f>countif(Constants!A:A,E2)</f>
        <v>1</v>
      </c>
      <c r="G2" s="60" t="str">
        <f>IFERROR(__xludf.DUMMYFUNCTION("REGEXREPLACE(substitute(substitute(B2,"" "",""""),""..."",""""),""\(.*\)"","""")"),"6.64465620e-27")</f>
        <v>6.64465620e-27</v>
      </c>
      <c r="H2" s="62">
        <f t="shared" ref="H2:H325" si="2">value(G2)</f>
        <v>0</v>
      </c>
      <c r="I2" s="60" t="str">
        <f>IFERROR(__xludf.DUMMYFUNCTION("if(regexmatch($B2,""\(""),CONCATENATE(regexreplace(REGEXREPLACE(substitute(left($B2,find(""("",$B2)-1),"" "",""""),""\d"",""0""),""[-0]*\."",""0.""), REGEXEXTRACT($B2,""\((.*)\)""),TRIM(REGEXEXTRACT($B2,""\)(.*)""))),"""")"),"0.0000000033e-27")</f>
        <v>0.0000000033e-27</v>
      </c>
      <c r="J2" s="62">
        <f t="shared" ref="J2:J325" si="3">if(LEN(I2),value(I2),"")</f>
        <v>0</v>
      </c>
      <c r="K2" s="62" t="b">
        <f t="shared" ref="K2:K325" si="4">if(I2="(exact)", TRUE,FALSE)</f>
        <v>0</v>
      </c>
      <c r="L2" s="62" t="b">
        <f t="shared" ref="L2:L325" si="5">ISNUMBER(search("...",B2))</f>
        <v>0</v>
      </c>
      <c r="M2" s="60" t="str">
        <f>IFERROR(__xludf.DUMMYFUNCTION("if(regexmatch(B2,""e(.*)$""),regexextract(B2,""e(.*)$""),"""")"),"-27")</f>
        <v>-27</v>
      </c>
    </row>
    <row r="3">
      <c r="A3" s="80" t="s">
        <v>176</v>
      </c>
      <c r="B3" s="80" t="s">
        <v>4292</v>
      </c>
      <c r="C3" s="80" t="s">
        <v>173</v>
      </c>
      <c r="D3" s="18" t="str">
        <f t="shared" si="1"/>
        <v>J</v>
      </c>
      <c r="E3" s="60" t="str">
        <f>VLOOKUP($A3,nist_names_ids!A:B,2,false)</f>
        <v>malc2</v>
      </c>
      <c r="F3" s="61">
        <f>countif(Constants!A:A,E3)</f>
        <v>1</v>
      </c>
      <c r="G3" s="60" t="str">
        <f>IFERROR(__xludf.DUMMYFUNCTION("REGEXREPLACE(substitute(substitute(B3,"" "",""""),""..."",""""),""\(.*\)"","""")"),"5.97191917e-10")</f>
        <v>5.97191917e-10</v>
      </c>
      <c r="H3" s="62">
        <f t="shared" si="2"/>
        <v>0.000000000597191917</v>
      </c>
      <c r="I3" s="60" t="str">
        <f>IFERROR(__xludf.DUMMYFUNCTION("if(regexmatch($B3,""\(""),CONCATENATE(regexreplace(REGEXREPLACE(substitute(left($B3,find(""("",$B3)-1),"" "",""""),""\d"",""0""),""[-0]*\."",""0.""), REGEXEXTRACT($B3,""\((.*)\)""),TRIM(REGEXEXTRACT($B3,""\)(.*)""))),"""")"),"0.0000000030e-10")</f>
        <v>0.0000000030e-10</v>
      </c>
      <c r="J3" s="62">
        <f t="shared" si="3"/>
        <v>0</v>
      </c>
      <c r="K3" s="62" t="b">
        <f t="shared" si="4"/>
        <v>0</v>
      </c>
      <c r="L3" s="62" t="b">
        <f t="shared" si="5"/>
        <v>0</v>
      </c>
      <c r="M3" s="60" t="str">
        <f>IFERROR(__xludf.DUMMYFUNCTION("if(regexmatch(B3,""e(.*)$""),regexextract(B3,""e(.*)$""),"""")"),"-10")</f>
        <v>-10</v>
      </c>
    </row>
    <row r="4">
      <c r="A4" s="80" t="s">
        <v>222</v>
      </c>
      <c r="B4" s="80" t="s">
        <v>4300</v>
      </c>
      <c r="C4" s="80" t="s">
        <v>224</v>
      </c>
      <c r="D4" s="18" t="str">
        <f t="shared" si="1"/>
        <v>MeV</v>
      </c>
      <c r="E4" s="60" t="str">
        <f>VLOOKUP($A4,nist_names_ids!A:B,2,false)</f>
        <v>malc2mev</v>
      </c>
      <c r="F4" s="61">
        <f>countif(Constants!A:A,E4)</f>
        <v>1</v>
      </c>
      <c r="G4" s="60" t="str">
        <f>IFERROR(__xludf.DUMMYFUNCTION("REGEXREPLACE(substitute(substitute(B4,"" "",""""),""..."",""""),""\(.*\)"","""")"),"3727.379109")</f>
        <v>3727.379109</v>
      </c>
      <c r="H4" s="62">
        <f t="shared" si="2"/>
        <v>3727.379109</v>
      </c>
      <c r="I4" s="60" t="str">
        <f>IFERROR(__xludf.DUMMYFUNCTION("if(regexmatch($B4,""\(""),CONCATENATE(regexreplace(REGEXREPLACE(substitute(left($B4,find(""("",$B4)-1),"" "",""""),""\d"",""0""),""[-0]*\."",""0.""), REGEXEXTRACT($B4,""\((.*)\)""),TRIM(REGEXEXTRACT($B4,""\)(.*)""))),"""")"),"0.00000093")</f>
        <v>0.00000093</v>
      </c>
      <c r="J4" s="62">
        <f t="shared" si="3"/>
        <v>0.00000093</v>
      </c>
      <c r="K4" s="62" t="b">
        <f t="shared" si="4"/>
        <v>0</v>
      </c>
      <c r="L4" s="62" t="b">
        <f t="shared" si="5"/>
        <v>0</v>
      </c>
      <c r="M4" s="60" t="str">
        <f>IFERROR(__xludf.DUMMYFUNCTION("if(regexmatch(B4,""e(.*)$""),regexextract(B4,""e(.*)$""),"""")"),"")</f>
        <v/>
      </c>
    </row>
    <row r="5">
      <c r="A5" s="80" t="s">
        <v>245</v>
      </c>
      <c r="B5" s="80" t="s">
        <v>4304</v>
      </c>
      <c r="C5" s="80" t="s">
        <v>249</v>
      </c>
      <c r="D5" s="18" t="str">
        <f t="shared" si="1"/>
        <v>u</v>
      </c>
      <c r="E5" s="60" t="str">
        <f>VLOOKUP($A5,nist_names_ids!A:B,2,false)</f>
        <v>malu</v>
      </c>
      <c r="F5" s="61">
        <f>countif(Constants!A:A,E5)</f>
        <v>1</v>
      </c>
      <c r="G5" s="60" t="str">
        <f>IFERROR(__xludf.DUMMYFUNCTION("REGEXREPLACE(substitute(substitute(B5,"" "",""""),""..."",""""),""\(.*\)"","""")"),"4.001506179127")</f>
        <v>4.001506179127</v>
      </c>
      <c r="H5" s="62">
        <f t="shared" si="2"/>
        <v>4.001506179</v>
      </c>
      <c r="I5" s="60" t="str">
        <f>IFERROR(__xludf.DUMMYFUNCTION("if(regexmatch($B5,""\(""),CONCATENATE(regexreplace(REGEXREPLACE(substitute(left($B5,find(""("",$B5)-1),"" "",""""),""\d"",""0""),""[-0]*\."",""0.""), REGEXEXTRACT($B5,""\((.*)\)""),TRIM(REGEXEXTRACT($B5,""\)(.*)""))),"""")"),"0.00000000000062")</f>
        <v>0.00000000000062</v>
      </c>
      <c r="J5" s="62">
        <f t="shared" si="3"/>
        <v>0</v>
      </c>
      <c r="K5" s="62" t="b">
        <f t="shared" si="4"/>
        <v>0</v>
      </c>
      <c r="L5" s="62" t="b">
        <f t="shared" si="5"/>
        <v>0</v>
      </c>
      <c r="M5" s="60" t="str">
        <f>IFERROR(__xludf.DUMMYFUNCTION("if(regexmatch(B5,""e(.*)$""),regexextract(B5,""e(.*)$""),"""")"),"")</f>
        <v/>
      </c>
    </row>
    <row r="6">
      <c r="A6" s="80" t="s">
        <v>284</v>
      </c>
      <c r="B6" s="80" t="s">
        <v>4307</v>
      </c>
      <c r="C6" s="80" t="s">
        <v>4309</v>
      </c>
      <c r="D6" s="18" t="str">
        <f t="shared" si="1"/>
        <v>kg mol^-1</v>
      </c>
      <c r="E6" s="60" t="str">
        <f>VLOOKUP($A6,nist_names_ids!A:B,2,false)</f>
        <v>mmal</v>
      </c>
      <c r="F6" s="61">
        <f>countif(Constants!A:A,E6)</f>
        <v>1</v>
      </c>
      <c r="G6" s="60" t="str">
        <f>IFERROR(__xludf.DUMMYFUNCTION("REGEXREPLACE(substitute(substitute(B6,"" "",""""),""..."",""""),""\(.*\)"","""")"),"4.001506179127e-3")</f>
        <v>4.001506179127e-3</v>
      </c>
      <c r="H6" s="62">
        <f t="shared" si="2"/>
        <v>0.004001506179</v>
      </c>
      <c r="I6" s="60" t="str">
        <f>IFERROR(__xludf.DUMMYFUNCTION("if(regexmatch($B6,""\(""),CONCATENATE(regexreplace(REGEXREPLACE(substitute(left($B6,find(""("",$B6)-1),"" "",""""),""\d"",""0""),""[-0]*\."",""0.""), REGEXEXTRACT($B6,""\((.*)\)""),TRIM(REGEXEXTRACT($B6,""\)(.*)""))),"""")"),"0.00000000000062e-3")</f>
        <v>0.00000000000062e-3</v>
      </c>
      <c r="J6" s="62">
        <f t="shared" si="3"/>
        <v>0</v>
      </c>
      <c r="K6" s="62" t="b">
        <f t="shared" si="4"/>
        <v>0</v>
      </c>
      <c r="L6" s="62" t="b">
        <f t="shared" si="5"/>
        <v>0</v>
      </c>
      <c r="M6" s="60" t="str">
        <f>IFERROR(__xludf.DUMMYFUNCTION("if(regexmatch(B6,""e(.*)$""),regexextract(B6,""e(.*)$""),"""")"),"-3")</f>
        <v>-3</v>
      </c>
    </row>
    <row r="7">
      <c r="A7" s="80" t="s">
        <v>1153</v>
      </c>
      <c r="B7" s="80" t="s">
        <v>4314</v>
      </c>
      <c r="C7" s="80"/>
      <c r="D7" s="18" t="str">
        <f t="shared" si="1"/>
        <v/>
      </c>
      <c r="E7" s="60" t="str">
        <f>VLOOKUP($A7,nist_names_ids!A:B,2,false)</f>
        <v>malsme</v>
      </c>
      <c r="F7" s="61">
        <f>countif(Constants!A:A,E7)</f>
        <v>1</v>
      </c>
      <c r="G7" s="60" t="str">
        <f>IFERROR(__xludf.DUMMYFUNCTION("REGEXREPLACE(substitute(substitute(B7,"" "",""""),""..."",""""),""\(.*\)"","""")"),"7294.2995365")</f>
        <v>7294.2995365</v>
      </c>
      <c r="H7" s="62">
        <f t="shared" si="2"/>
        <v>7294.299537</v>
      </c>
      <c r="I7" s="60" t="str">
        <f>IFERROR(__xludf.DUMMYFUNCTION("if(regexmatch($B7,""\(""),CONCATENATE(regexreplace(REGEXREPLACE(substitute(left($B7,find(""("",$B7)-1),"" "",""""),""\d"",""0""),""[-0]*\."",""0.""), REGEXEXTRACT($B7,""\((.*)\)""),TRIM(REGEXEXTRACT($B7,""\)(.*)""))),"""")"),"0.000000031")</f>
        <v>0.000000031</v>
      </c>
      <c r="J7" s="62">
        <f t="shared" si="3"/>
        <v>0.000000031</v>
      </c>
      <c r="K7" s="62" t="b">
        <f t="shared" si="4"/>
        <v>0</v>
      </c>
      <c r="L7" s="62" t="b">
        <f t="shared" si="5"/>
        <v>0</v>
      </c>
      <c r="M7" s="60" t="str">
        <f>IFERROR(__xludf.DUMMYFUNCTION("if(regexmatch(B7,""e(.*)$""),regexextract(B7,""e(.*)$""),"""")"),"")</f>
        <v/>
      </c>
    </row>
    <row r="8">
      <c r="A8" s="80" t="s">
        <v>1171</v>
      </c>
      <c r="B8" s="80" t="s">
        <v>4320</v>
      </c>
      <c r="C8" s="80"/>
      <c r="D8" s="18" t="str">
        <f t="shared" si="1"/>
        <v/>
      </c>
      <c r="E8" s="60" t="str">
        <f>VLOOKUP($A8,nist_names_ids!A:B,2,false)</f>
        <v>malsmp</v>
      </c>
      <c r="F8" s="61">
        <f>countif(Constants!A:A,E8)</f>
        <v>1</v>
      </c>
      <c r="G8" s="60" t="str">
        <f>IFERROR(__xludf.DUMMYFUNCTION("REGEXREPLACE(substitute(substitute(B8,"" "",""""),""..."",""""),""\(.*\)"","""")"),"3.97259968951")</f>
        <v>3.97259968951</v>
      </c>
      <c r="H8" s="62">
        <f t="shared" si="2"/>
        <v>3.97259969</v>
      </c>
      <c r="I8" s="60" t="str">
        <f>IFERROR(__xludf.DUMMYFUNCTION("if(regexmatch($B8,""\(""),CONCATENATE(regexreplace(REGEXREPLACE(substitute(left($B8,find(""("",$B8)-1),"" "",""""),""\d"",""0""),""[-0]*\."",""0.""), REGEXEXTRACT($B8,""\((.*)\)""),TRIM(REGEXEXTRACT($B8,""\)(.*)""))),"""")"),"0.0000000000041")</f>
        <v>0.0000000000041</v>
      </c>
      <c r="J8" s="62">
        <f t="shared" si="3"/>
        <v>0</v>
      </c>
      <c r="K8" s="62" t="b">
        <f t="shared" si="4"/>
        <v>0</v>
      </c>
      <c r="L8" s="62" t="b">
        <f t="shared" si="5"/>
        <v>0</v>
      </c>
      <c r="M8" s="60" t="str">
        <f>IFERROR(__xludf.DUMMYFUNCTION("if(regexmatch(B8,""e(.*)$""),regexextract(B8,""e(.*)$""),"""")"),"")</f>
        <v/>
      </c>
    </row>
    <row r="9">
      <c r="A9" s="80" t="s">
        <v>399</v>
      </c>
      <c r="B9" s="80" t="s">
        <v>4324</v>
      </c>
      <c r="C9" s="80" t="s">
        <v>381</v>
      </c>
      <c r="D9" s="18" t="str">
        <f t="shared" si="1"/>
        <v>m</v>
      </c>
      <c r="E9" s="60" t="str">
        <f>VLOOKUP($A9,nist_names_ids!A:B,2,false)</f>
        <v>angstar</v>
      </c>
      <c r="F9" s="61">
        <f>countif(Constants!A:A,E9)</f>
        <v>1</v>
      </c>
      <c r="G9" s="60" t="str">
        <f>IFERROR(__xludf.DUMMYFUNCTION("REGEXREPLACE(substitute(substitute(B9,"" "",""""),""..."",""""),""\(.*\)"","""")"),"1.00001498e-10")</f>
        <v>1.00001498e-10</v>
      </c>
      <c r="H9" s="62">
        <f t="shared" si="2"/>
        <v>0.000000000100001498</v>
      </c>
      <c r="I9" s="60" t="str">
        <f>IFERROR(__xludf.DUMMYFUNCTION("if(regexmatch($B9,""\(""),CONCATENATE(regexreplace(REGEXREPLACE(substitute(left($B9,find(""("",$B9)-1),"" "",""""),""\d"",""0""),""[-0]*\."",""0.""), REGEXEXTRACT($B9,""\((.*)\)""),TRIM(REGEXEXTRACT($B9,""\)(.*)""))),"""")"),"0.0000000090e-10")</f>
        <v>0.0000000090e-10</v>
      </c>
      <c r="J9" s="62">
        <f t="shared" si="3"/>
        <v>0</v>
      </c>
      <c r="K9" s="62" t="b">
        <f t="shared" si="4"/>
        <v>0</v>
      </c>
      <c r="L9" s="62" t="b">
        <f t="shared" si="5"/>
        <v>0</v>
      </c>
      <c r="M9" s="60" t="str">
        <f>IFERROR(__xludf.DUMMYFUNCTION("if(regexmatch(B9,""e(.*)$""),regexextract(B9,""e(.*)$""),"""")"),"-10")</f>
        <v>-10</v>
      </c>
    </row>
    <row r="10">
      <c r="A10" s="80" t="s">
        <v>431</v>
      </c>
      <c r="B10" s="80" t="s">
        <v>4332</v>
      </c>
      <c r="C10" s="80" t="s">
        <v>98</v>
      </c>
      <c r="D10" s="18" t="str">
        <f t="shared" si="1"/>
        <v>kg</v>
      </c>
      <c r="E10" s="60" t="str">
        <f>VLOOKUP($A10,nist_names_ids!A:B,2,false)</f>
        <v>u</v>
      </c>
      <c r="F10" s="61">
        <f>countif(Constants!A:A,E10)</f>
        <v>1</v>
      </c>
      <c r="G10" s="60" t="str">
        <f>IFERROR(__xludf.DUMMYFUNCTION("REGEXREPLACE(substitute(substitute(B10,"" "",""""),""..."",""""),""\(.*\)"","""")"),"1.660538782e-27")</f>
        <v>1.660538782e-27</v>
      </c>
      <c r="H10" s="62">
        <f t="shared" si="2"/>
        <v>0</v>
      </c>
      <c r="I10" s="60" t="str">
        <f>IFERROR(__xludf.DUMMYFUNCTION("if(regexmatch($B10,""\(""),CONCATENATE(regexreplace(REGEXREPLACE(substitute(left($B10,find(""("",$B10)-1),"" "",""""),""\d"",""0""),""[-0]*\."",""0.""), REGEXEXTRACT($B10,""\((.*)\)""),TRIM(REGEXEXTRACT($B10,""\)(.*)""))),"""")"),"0.00000000083e-27")</f>
        <v>0.00000000083e-27</v>
      </c>
      <c r="J10" s="62">
        <f t="shared" si="3"/>
        <v>0</v>
      </c>
      <c r="K10" s="62" t="b">
        <f t="shared" si="4"/>
        <v>0</v>
      </c>
      <c r="L10" s="62" t="b">
        <f t="shared" si="5"/>
        <v>0</v>
      </c>
      <c r="M10" s="60" t="str">
        <f>IFERROR(__xludf.DUMMYFUNCTION("if(regexmatch(B10,""e(.*)$""),regexextract(B10,""e(.*)$""),"""")"),"-27")</f>
        <v>-27</v>
      </c>
    </row>
    <row r="11">
      <c r="A11" s="80" t="s">
        <v>619</v>
      </c>
      <c r="B11" s="80" t="s">
        <v>4336</v>
      </c>
      <c r="C11" s="80" t="s">
        <v>173</v>
      </c>
      <c r="D11" s="18" t="str">
        <f t="shared" si="1"/>
        <v>J</v>
      </c>
      <c r="E11" s="60" t="str">
        <f>VLOOKUP($A11,nist_names_ids!A:B,2,false)</f>
        <v>uj</v>
      </c>
      <c r="F11" s="61">
        <f>countif(Constants!A:A,E11)</f>
        <v>1</v>
      </c>
      <c r="G11" s="60" t="str">
        <f>IFERROR(__xludf.DUMMYFUNCTION("REGEXREPLACE(substitute(substitute(B11,"" "",""""),""..."",""""),""\(.*\)"","""")"),"1.492417830e-10")</f>
        <v>1.492417830e-10</v>
      </c>
      <c r="H11" s="62">
        <f t="shared" si="2"/>
        <v>0.000000000149241783</v>
      </c>
      <c r="I11" s="60" t="str">
        <f>IFERROR(__xludf.DUMMYFUNCTION("if(regexmatch($B11,""\(""),CONCATENATE(regexreplace(REGEXREPLACE(substitute(left($B11,find(""("",$B11)-1),"" "",""""),""\d"",""0""),""[-0]*\."",""0.""), REGEXEXTRACT($B11,""\((.*)\)""),TRIM(REGEXEXTRACT($B11,""\)(.*)""))),"""")"),"0.00000000074e-10")</f>
        <v>0.00000000074e-10</v>
      </c>
      <c r="J11" s="62">
        <f t="shared" si="3"/>
        <v>0</v>
      </c>
      <c r="K11" s="62" t="b">
        <f t="shared" si="4"/>
        <v>0</v>
      </c>
      <c r="L11" s="62" t="b">
        <f t="shared" si="5"/>
        <v>0</v>
      </c>
      <c r="M11" s="60" t="str">
        <f>IFERROR(__xludf.DUMMYFUNCTION("if(regexmatch(B11,""e(.*)$""),regexextract(B11,""e(.*)$""),"""")"),"-10")</f>
        <v>-10</v>
      </c>
    </row>
    <row r="12">
      <c r="A12" s="80" t="s">
        <v>453</v>
      </c>
      <c r="B12" s="80" t="s">
        <v>4341</v>
      </c>
      <c r="C12" s="80" t="s">
        <v>224</v>
      </c>
      <c r="D12" s="18" t="str">
        <f t="shared" si="1"/>
        <v>MeV</v>
      </c>
      <c r="E12" s="60" t="str">
        <f>VLOOKUP($A12,nist_names_ids!A:B,2,false)</f>
        <v>muc2mev</v>
      </c>
      <c r="F12" s="61">
        <f>countif(Constants!A:A,E12)</f>
        <v>1</v>
      </c>
      <c r="G12" s="60" t="str">
        <f>IFERROR(__xludf.DUMMYFUNCTION("REGEXREPLACE(substitute(substitute(B12,"" "",""""),""..."",""""),""\(.*\)"","""")"),"931.494028")</f>
        <v>931.494028</v>
      </c>
      <c r="H12" s="62">
        <f t="shared" si="2"/>
        <v>931.494028</v>
      </c>
      <c r="I12" s="60" t="str">
        <f>IFERROR(__xludf.DUMMYFUNCTION("if(regexmatch($B12,""\(""),CONCATENATE(regexreplace(REGEXREPLACE(substitute(left($B12,find(""("",$B12)-1),"" "",""""),""\d"",""0""),""[-0]*\."",""0.""), REGEXEXTRACT($B12,""\((.*)\)""),TRIM(REGEXEXTRACT($B12,""\)(.*)""))),"""")"),"0.00000023")</f>
        <v>0.00000023</v>
      </c>
      <c r="J12" s="62">
        <f t="shared" si="3"/>
        <v>0.00000023</v>
      </c>
      <c r="K12" s="62" t="b">
        <f t="shared" si="4"/>
        <v>0</v>
      </c>
      <c r="L12" s="62" t="b">
        <f t="shared" si="5"/>
        <v>0</v>
      </c>
      <c r="M12" s="60" t="str">
        <f>IFERROR(__xludf.DUMMYFUNCTION("if(regexmatch(B12,""e(.*)$""),regexextract(B12,""e(.*)$""),"""")"),"")</f>
        <v/>
      </c>
    </row>
    <row r="13">
      <c r="A13" s="80" t="s">
        <v>1242</v>
      </c>
      <c r="B13" s="80" t="s">
        <v>4344</v>
      </c>
      <c r="C13" s="80" t="s">
        <v>181</v>
      </c>
      <c r="D13" s="18" t="str">
        <f t="shared" si="1"/>
        <v>eV</v>
      </c>
      <c r="E13" s="60" t="str">
        <f>VLOOKUP($A13,nist_names_ids!A:B,2,false)</f>
        <v>uev</v>
      </c>
      <c r="F13" s="61">
        <f>countif(Constants!A:A,E13)</f>
        <v>1</v>
      </c>
      <c r="G13" s="60" t="str">
        <f>IFERROR(__xludf.DUMMYFUNCTION("REGEXREPLACE(substitute(substitute(B13,"" "",""""),""..."",""""),""\(.*\)"","""")"),"931.494028e6")</f>
        <v>931.494028e6</v>
      </c>
      <c r="H13" s="62">
        <f t="shared" si="2"/>
        <v>931494028</v>
      </c>
      <c r="I13" s="60" t="str">
        <f>IFERROR(__xludf.DUMMYFUNCTION("if(regexmatch($B13,""\(""),CONCATENATE(regexreplace(REGEXREPLACE(substitute(left($B13,find(""("",$B13)-1),"" "",""""),""\d"",""0""),""[-0]*\."",""0.""), REGEXEXTRACT($B13,""\((.*)\)""),TRIM(REGEXEXTRACT($B13,""\)(.*)""))),"""")"),"0.00000023e6")</f>
        <v>0.00000023e6</v>
      </c>
      <c r="J13" s="62">
        <f t="shared" si="3"/>
        <v>0.23</v>
      </c>
      <c r="K13" s="62" t="b">
        <f t="shared" si="4"/>
        <v>0</v>
      </c>
      <c r="L13" s="62" t="b">
        <f t="shared" si="5"/>
        <v>0</v>
      </c>
      <c r="M13" s="60" t="str">
        <f>IFERROR(__xludf.DUMMYFUNCTION("if(regexmatch(B13,""e(.*)$""),regexextract(B13,""e(.*)$""),"""")"),"6")</f>
        <v>6</v>
      </c>
    </row>
    <row r="14">
      <c r="A14" s="80" t="s">
        <v>1272</v>
      </c>
      <c r="B14" s="80" t="s">
        <v>4349</v>
      </c>
      <c r="C14" s="80" t="s">
        <v>170</v>
      </c>
      <c r="D14" s="18" t="str">
        <f t="shared" si="1"/>
        <v>E_h</v>
      </c>
      <c r="E14" s="60" t="str">
        <f>VLOOKUP($A14,nist_names_ids!A:B,2,false)</f>
        <v>uhr</v>
      </c>
      <c r="F14" s="61">
        <f>countif(Constants!A:A,E14)</f>
        <v>1</v>
      </c>
      <c r="G14" s="60" t="str">
        <f>IFERROR(__xludf.DUMMYFUNCTION("REGEXREPLACE(substitute(substitute(B14,"" "",""""),""..."",""""),""\(.*\)"","""")"),"3.4231777149e7")</f>
        <v>3.4231777149e7</v>
      </c>
      <c r="H14" s="62">
        <f t="shared" si="2"/>
        <v>34231777.15</v>
      </c>
      <c r="I14" s="60" t="str">
        <f>IFERROR(__xludf.DUMMYFUNCTION("if(regexmatch($B14,""\(""),CONCATENATE(regexreplace(REGEXREPLACE(substitute(left($B14,find(""("",$B14)-1),"" "",""""),""\d"",""0""),""[-0]*\."",""0.""), REGEXEXTRACT($B14,""\((.*)\)""),TRIM(REGEXEXTRACT($B14,""\)(.*)""))),"""")"),"0.000000000049e7")</f>
        <v>0.000000000049e7</v>
      </c>
      <c r="J14" s="62">
        <f t="shared" si="3"/>
        <v>0.00049</v>
      </c>
      <c r="K14" s="62" t="b">
        <f t="shared" si="4"/>
        <v>0</v>
      </c>
      <c r="L14" s="62" t="b">
        <f t="shared" si="5"/>
        <v>0</v>
      </c>
      <c r="M14" s="60" t="str">
        <f>IFERROR(__xludf.DUMMYFUNCTION("if(regexmatch(B14,""e(.*)$""),regexextract(B14,""e(.*)$""),"""")"),"7")</f>
        <v>7</v>
      </c>
    </row>
    <row r="15">
      <c r="A15" s="80" t="s">
        <v>1288</v>
      </c>
      <c r="B15" s="80" t="s">
        <v>4352</v>
      </c>
      <c r="C15" s="80" t="s">
        <v>257</v>
      </c>
      <c r="D15" s="18" t="str">
        <f t="shared" si="1"/>
        <v>Hz</v>
      </c>
      <c r="E15" s="60" t="str">
        <f>VLOOKUP($A15,nist_names_ids!A:B,2,false)</f>
        <v>uhz</v>
      </c>
      <c r="F15" s="61">
        <f>countif(Constants!A:A,E15)</f>
        <v>1</v>
      </c>
      <c r="G15" s="60" t="str">
        <f>IFERROR(__xludf.DUMMYFUNCTION("REGEXREPLACE(substitute(substitute(B15,"" "",""""),""..."",""""),""\(.*\)"","""")"),"2.2523427369e23")</f>
        <v>2.2523427369e23</v>
      </c>
      <c r="H15" s="62">
        <f t="shared" si="2"/>
        <v>2.25234E+23</v>
      </c>
      <c r="I15" s="60" t="str">
        <f>IFERROR(__xludf.DUMMYFUNCTION("if(regexmatch($B15,""\(""),CONCATENATE(regexreplace(REGEXREPLACE(substitute(left($B15,find(""("",$B15)-1),"" "",""""),""\d"",""0""),""[-0]*\."",""0.""), REGEXEXTRACT($B15,""\((.*)\)""),TRIM(REGEXEXTRACT($B15,""\)(.*)""))),"""")"),"0.000000000032e23")</f>
        <v>0.000000000032e23</v>
      </c>
      <c r="J15" s="62">
        <f t="shared" si="3"/>
        <v>3200000000000</v>
      </c>
      <c r="K15" s="62" t="b">
        <f t="shared" si="4"/>
        <v>0</v>
      </c>
      <c r="L15" s="62" t="b">
        <f t="shared" si="5"/>
        <v>0</v>
      </c>
      <c r="M15" s="60" t="str">
        <f>IFERROR(__xludf.DUMMYFUNCTION("if(regexmatch(B15,""e(.*)$""),regexextract(B15,""e(.*)$""),"""")"),"23")</f>
        <v>23</v>
      </c>
    </row>
    <row r="16">
      <c r="A16" s="80" t="s">
        <v>1312</v>
      </c>
      <c r="B16" s="80" t="s">
        <v>4358</v>
      </c>
      <c r="C16" s="80" t="s">
        <v>4359</v>
      </c>
      <c r="D16" s="18" t="str">
        <f t="shared" si="1"/>
        <v>m^-1</v>
      </c>
      <c r="E16" s="60" t="str">
        <f>VLOOKUP($A16,nist_names_ids!A:B,2,false)</f>
        <v>uminv</v>
      </c>
      <c r="F16" s="61">
        <f>countif(Constants!A:A,E16)</f>
        <v>1</v>
      </c>
      <c r="G16" s="60" t="str">
        <f>IFERROR(__xludf.DUMMYFUNCTION("REGEXREPLACE(substitute(substitute(B16,"" "",""""),""..."",""""),""\(.*\)"","""")"),"7.513006671e14")</f>
        <v>7.513006671e14</v>
      </c>
      <c r="H16" s="62">
        <f t="shared" si="2"/>
        <v>751300667100000</v>
      </c>
      <c r="I16" s="60" t="str">
        <f>IFERROR(__xludf.DUMMYFUNCTION("if(regexmatch($B16,""\(""),CONCATENATE(regexreplace(REGEXREPLACE(substitute(left($B16,find(""("",$B16)-1),"" "",""""),""\d"",""0""),""[-0]*\."",""0.""), REGEXEXTRACT($B16,""\((.*)\)""),TRIM(REGEXEXTRACT($B16,""\)(.*)""))),"""")"),"0.00000000011e14")</f>
        <v>0.00000000011e14</v>
      </c>
      <c r="J16" s="62">
        <f t="shared" si="3"/>
        <v>11000</v>
      </c>
      <c r="K16" s="62" t="b">
        <f t="shared" si="4"/>
        <v>0</v>
      </c>
      <c r="L16" s="62" t="b">
        <f t="shared" si="5"/>
        <v>0</v>
      </c>
      <c r="M16" s="60" t="str">
        <f>IFERROR(__xludf.DUMMYFUNCTION("if(regexmatch(B16,""e(.*)$""),regexextract(B16,""e(.*)$""),"""")"),"14")</f>
        <v>14</v>
      </c>
    </row>
    <row r="17">
      <c r="A17" s="80" t="s">
        <v>1324</v>
      </c>
      <c r="B17" s="80" t="s">
        <v>4336</v>
      </c>
      <c r="C17" s="80" t="s">
        <v>173</v>
      </c>
      <c r="D17" s="18" t="str">
        <f t="shared" si="1"/>
        <v>J</v>
      </c>
      <c r="E17" s="60" t="str">
        <f>VLOOKUP($A17,nist_names_ids!A:B,2,false)</f>
        <v>Ruj</v>
      </c>
      <c r="F17" s="61">
        <f>countif(Constants!A:A,E17)</f>
        <v>1</v>
      </c>
      <c r="G17" s="60" t="str">
        <f>IFERROR(__xludf.DUMMYFUNCTION("REGEXREPLACE(substitute(substitute(B17,"" "",""""),""..."",""""),""\(.*\)"","""")"),"1.492417830e-10")</f>
        <v>1.492417830e-10</v>
      </c>
      <c r="H17" s="62">
        <f t="shared" si="2"/>
        <v>0.000000000149241783</v>
      </c>
      <c r="I17" s="60" t="str">
        <f>IFERROR(__xludf.DUMMYFUNCTION("if(regexmatch($B17,""\(""),CONCATENATE(regexreplace(REGEXREPLACE(substitute(left($B17,find(""("",$B17)-1),"" "",""""),""\d"",""0""),""[-0]*\."",""0.""), REGEXEXTRACT($B17,""\((.*)\)""),TRIM(REGEXEXTRACT($B17,""\)(.*)""))),"""")"),"0.00000000074e-10")</f>
        <v>0.00000000074e-10</v>
      </c>
      <c r="J17" s="62">
        <f t="shared" si="3"/>
        <v>0</v>
      </c>
      <c r="K17" s="62" t="b">
        <f t="shared" si="4"/>
        <v>0</v>
      </c>
      <c r="L17" s="62" t="b">
        <f t="shared" si="5"/>
        <v>0</v>
      </c>
      <c r="M17" s="60" t="str">
        <f>IFERROR(__xludf.DUMMYFUNCTION("if(regexmatch(B17,""e(.*)$""),regexextract(B17,""e(.*)$""),"""")"),"-10")</f>
        <v>-10</v>
      </c>
    </row>
    <row r="18">
      <c r="A18" s="80" t="s">
        <v>1338</v>
      </c>
      <c r="B18" s="80" t="s">
        <v>4367</v>
      </c>
      <c r="C18" s="80" t="s">
        <v>345</v>
      </c>
      <c r="D18" s="18" t="str">
        <f t="shared" si="1"/>
        <v>K</v>
      </c>
      <c r="E18" s="60" t="str">
        <f>VLOOKUP($A18,nist_names_ids!A:B,2,false)</f>
        <v>uk</v>
      </c>
      <c r="F18" s="61">
        <f>countif(Constants!A:A,E18)</f>
        <v>1</v>
      </c>
      <c r="G18" s="60" t="str">
        <f>IFERROR(__xludf.DUMMYFUNCTION("REGEXREPLACE(substitute(substitute(B18,"" "",""""),""..."",""""),""\(.*\)"","""")"),"1.0809527e13")</f>
        <v>1.0809527e13</v>
      </c>
      <c r="H18" s="62">
        <f t="shared" si="2"/>
        <v>10809527000000</v>
      </c>
      <c r="I18" s="60" t="str">
        <f>IFERROR(__xludf.DUMMYFUNCTION("if(regexmatch($B18,""\(""),CONCATENATE(regexreplace(REGEXREPLACE(substitute(left($B18,find(""("",$B18)-1),"" "",""""),""\d"",""0""),""[-0]*\."",""0.""), REGEXEXTRACT($B18,""\((.*)\)""),TRIM(REGEXEXTRACT($B18,""\)(.*)""))),"""")"),"0.000000019e13")</f>
        <v>0.000000019e13</v>
      </c>
      <c r="J18" s="62">
        <f t="shared" si="3"/>
        <v>190000</v>
      </c>
      <c r="K18" s="62" t="b">
        <f t="shared" si="4"/>
        <v>0</v>
      </c>
      <c r="L18" s="62" t="b">
        <f t="shared" si="5"/>
        <v>0</v>
      </c>
      <c r="M18" s="60" t="str">
        <f>IFERROR(__xludf.DUMMYFUNCTION("if(regexmatch(B18,""e(.*)$""),regexextract(B18,""e(.*)$""),"""")"),"13")</f>
        <v>13</v>
      </c>
    </row>
    <row r="19">
      <c r="A19" s="80" t="s">
        <v>1349</v>
      </c>
      <c r="B19" s="80" t="s">
        <v>4332</v>
      </c>
      <c r="C19" s="80" t="s">
        <v>98</v>
      </c>
      <c r="D19" s="18" t="str">
        <f t="shared" si="1"/>
        <v>kg</v>
      </c>
      <c r="E19" s="60" t="str">
        <f>VLOOKUP($A19,nist_names_ids!A:B,2,false)</f>
        <v>Rukg</v>
      </c>
      <c r="F19" s="61">
        <f>countif(Constants!A:A,E19)</f>
        <v>1</v>
      </c>
      <c r="G19" s="60" t="str">
        <f>IFERROR(__xludf.DUMMYFUNCTION("REGEXREPLACE(substitute(substitute(B19,"" "",""""),""..."",""""),""\(.*\)"","""")"),"1.660538782e-27")</f>
        <v>1.660538782e-27</v>
      </c>
      <c r="H19" s="62">
        <f t="shared" si="2"/>
        <v>0</v>
      </c>
      <c r="I19" s="60" t="str">
        <f>IFERROR(__xludf.DUMMYFUNCTION("if(regexmatch($B19,""\(""),CONCATENATE(regexreplace(REGEXREPLACE(substitute(left($B19,find(""("",$B19)-1),"" "",""""),""\d"",""0""),""[-0]*\."",""0.""), REGEXEXTRACT($B19,""\((.*)\)""),TRIM(REGEXEXTRACT($B19,""\)(.*)""))),"""")"),"0.00000000083e-27")</f>
        <v>0.00000000083e-27</v>
      </c>
      <c r="J19" s="62">
        <f t="shared" si="3"/>
        <v>0</v>
      </c>
      <c r="K19" s="62" t="b">
        <f t="shared" si="4"/>
        <v>0</v>
      </c>
      <c r="L19" s="62" t="b">
        <f t="shared" si="5"/>
        <v>0</v>
      </c>
      <c r="M19" s="60" t="str">
        <f>IFERROR(__xludf.DUMMYFUNCTION("if(regexmatch(B19,""e(.*)$""),regexextract(B19,""e(.*)$""),"""")"),"-27")</f>
        <v>-27</v>
      </c>
    </row>
    <row r="20">
      <c r="A20" s="80" t="s">
        <v>1364</v>
      </c>
      <c r="B20" s="80" t="s">
        <v>4375</v>
      </c>
      <c r="C20" s="80" t="s">
        <v>4376</v>
      </c>
      <c r="D20" s="18" t="str">
        <f t="shared" si="1"/>
        <v>C^3 m^3 J^-2</v>
      </c>
      <c r="E20" s="60" t="str">
        <f>VLOOKUP($A20,nist_names_ids!A:B,2,false)</f>
        <v>auhypol</v>
      </c>
      <c r="F20" s="61">
        <f>countif(Constants!A:A,E20)</f>
        <v>1</v>
      </c>
      <c r="G20" s="60" t="str">
        <f>IFERROR(__xludf.DUMMYFUNCTION("REGEXREPLACE(substitute(substitute(B20,"" "",""""),""..."",""""),""\(.*\)"","""")"),"3.206361533e-53")</f>
        <v>3.206361533e-53</v>
      </c>
      <c r="H20" s="62">
        <f t="shared" si="2"/>
        <v>0</v>
      </c>
      <c r="I20" s="60" t="str">
        <f>IFERROR(__xludf.DUMMYFUNCTION("if(regexmatch($B20,""\(""),CONCATENATE(regexreplace(REGEXREPLACE(substitute(left($B20,find(""("",$B20)-1),"" "",""""),""\d"",""0""),""[-0]*\."",""0.""), REGEXEXTRACT($B20,""\((.*)\)""),TRIM(REGEXEXTRACT($B20,""\)(.*)""))),"""")"),"0.00000000081e-53")</f>
        <v>0.00000000081e-53</v>
      </c>
      <c r="J20" s="62">
        <f t="shared" si="3"/>
        <v>0</v>
      </c>
      <c r="K20" s="62" t="b">
        <f t="shared" si="4"/>
        <v>0</v>
      </c>
      <c r="L20" s="62" t="b">
        <f t="shared" si="5"/>
        <v>0</v>
      </c>
      <c r="M20" s="60" t="str">
        <f>IFERROR(__xludf.DUMMYFUNCTION("if(regexmatch(B20,""e(.*)$""),regexextract(B20,""e(.*)$""),"""")"),"-53")</f>
        <v>-53</v>
      </c>
    </row>
    <row r="21">
      <c r="A21" s="80" t="s">
        <v>1378</v>
      </c>
      <c r="B21" s="80" t="s">
        <v>4379</v>
      </c>
      <c r="C21" s="80" t="s">
        <v>4380</v>
      </c>
      <c r="D21" s="18" t="str">
        <f t="shared" si="1"/>
        <v>C^4 m^4 J^-3</v>
      </c>
      <c r="E21" s="60" t="str">
        <f>VLOOKUP($A21,nist_names_ids!A:B,2,false)</f>
        <v>au2hypol</v>
      </c>
      <c r="F21" s="61">
        <f>countif(Constants!A:A,E21)</f>
        <v>1</v>
      </c>
      <c r="G21" s="60" t="str">
        <f>IFERROR(__xludf.DUMMYFUNCTION("REGEXREPLACE(substitute(substitute(B21,"" "",""""),""..."",""""),""\(.*\)"","""")"),"6.23538095e-65")</f>
        <v>6.23538095e-65</v>
      </c>
      <c r="H21" s="62">
        <f t="shared" si="2"/>
        <v>0</v>
      </c>
      <c r="I21" s="60" t="str">
        <f>IFERROR(__xludf.DUMMYFUNCTION("if(regexmatch($B21,""\(""),CONCATENATE(regexreplace(REGEXREPLACE(substitute(left($B21,find(""("",$B21)-1),"" "",""""),""\d"",""0""),""[-0]*\."",""0.""), REGEXEXTRACT($B21,""\((.*)\)""),TRIM(REGEXEXTRACT($B21,""\)(.*)""))),"""")"),"0.0000000031e-65")</f>
        <v>0.0000000031e-65</v>
      </c>
      <c r="J21" s="62">
        <f t="shared" si="3"/>
        <v>0</v>
      </c>
      <c r="K21" s="62" t="b">
        <f t="shared" si="4"/>
        <v>0</v>
      </c>
      <c r="L21" s="62" t="b">
        <f t="shared" si="5"/>
        <v>0</v>
      </c>
      <c r="M21" s="60" t="str">
        <f>IFERROR(__xludf.DUMMYFUNCTION("if(regexmatch(B21,""e(.*)$""),regexextract(B21,""e(.*)$""),"""")"),"-65")</f>
        <v>-65</v>
      </c>
    </row>
    <row r="22">
      <c r="A22" s="80" t="s">
        <v>712</v>
      </c>
      <c r="B22" s="80" t="s">
        <v>4384</v>
      </c>
      <c r="C22" s="80" t="s">
        <v>714</v>
      </c>
      <c r="D22" s="18" t="str">
        <f t="shared" si="1"/>
        <v>J s</v>
      </c>
      <c r="E22" s="60" t="str">
        <f>VLOOKUP($A22,nist_names_ids!A:B,2,false)</f>
        <v>tthbar</v>
      </c>
      <c r="F22" s="61">
        <f>countif(Constants!A:A,E22)</f>
        <v>1</v>
      </c>
      <c r="G22" s="60" t="str">
        <f>IFERROR(__xludf.DUMMYFUNCTION("REGEXREPLACE(substitute(substitute(B22,"" "",""""),""..."",""""),""\(.*\)"","""")"),"1.054571628e-34")</f>
        <v>1.054571628e-34</v>
      </c>
      <c r="H22" s="62">
        <f t="shared" si="2"/>
        <v>0</v>
      </c>
      <c r="I22" s="60" t="str">
        <f>IFERROR(__xludf.DUMMYFUNCTION("if(regexmatch($B22,""\(""),CONCATENATE(regexreplace(REGEXREPLACE(substitute(left($B22,find(""("",$B22)-1),"" "",""""),""\d"",""0""),""[-0]*\."",""0.""), REGEXEXTRACT($B22,""\((.*)\)""),TRIM(REGEXEXTRACT($B22,""\)(.*)""))),"""")"),"0.00000000053e-34")</f>
        <v>0.00000000053e-34</v>
      </c>
      <c r="J22" s="62">
        <f t="shared" si="3"/>
        <v>0</v>
      </c>
      <c r="K22" s="62" t="b">
        <f t="shared" si="4"/>
        <v>0</v>
      </c>
      <c r="L22" s="62" t="b">
        <f t="shared" si="5"/>
        <v>0</v>
      </c>
      <c r="M22" s="60" t="str">
        <f>IFERROR(__xludf.DUMMYFUNCTION("if(regexmatch(B22,""e(.*)$""),regexextract(B22,""e(.*)$""),"""")"),"-34")</f>
        <v>-34</v>
      </c>
    </row>
    <row r="23">
      <c r="A23" s="80" t="s">
        <v>742</v>
      </c>
      <c r="B23" s="80" t="s">
        <v>4385</v>
      </c>
      <c r="C23" s="80" t="s">
        <v>4386</v>
      </c>
      <c r="D23" s="18" t="str">
        <f t="shared" si="1"/>
        <v>C m^-3</v>
      </c>
      <c r="E23" s="60" t="str">
        <f>VLOOKUP($A23,nist_names_ids!A:B,2,false)</f>
        <v>aucd</v>
      </c>
      <c r="F23" s="61">
        <f>countif(Constants!A:A,E23)</f>
        <v>1</v>
      </c>
      <c r="G23" s="60" t="str">
        <f>IFERROR(__xludf.DUMMYFUNCTION("REGEXREPLACE(substitute(substitute(B23,"" "",""""),""..."",""""),""\(.*\)"","""")"),"1.081202300e12")</f>
        <v>1.081202300e12</v>
      </c>
      <c r="H23" s="62">
        <f t="shared" si="2"/>
        <v>1081202300000</v>
      </c>
      <c r="I23" s="60" t="str">
        <f>IFERROR(__xludf.DUMMYFUNCTION("if(regexmatch($B23,""\(""),CONCATENATE(regexreplace(REGEXREPLACE(substitute(left($B23,find(""("",$B23)-1),"" "",""""),""\d"",""0""),""[-0]*\."",""0.""), REGEXEXTRACT($B23,""\((.*)\)""),TRIM(REGEXEXTRACT($B23,""\)(.*)""))),"""")"),"0.00000000027e12")</f>
        <v>0.00000000027e12</v>
      </c>
      <c r="J23" s="62">
        <f t="shared" si="3"/>
        <v>270</v>
      </c>
      <c r="K23" s="62" t="b">
        <f t="shared" si="4"/>
        <v>0</v>
      </c>
      <c r="L23" s="62" t="b">
        <f t="shared" si="5"/>
        <v>0</v>
      </c>
      <c r="M23" s="60" t="str">
        <f>IFERROR(__xludf.DUMMYFUNCTION("if(regexmatch(B23,""e(.*)$""),regexextract(B23,""e(.*)$""),"""")"),"12")</f>
        <v>12</v>
      </c>
    </row>
    <row r="24">
      <c r="A24" s="80" t="s">
        <v>756</v>
      </c>
      <c r="B24" s="80" t="s">
        <v>4390</v>
      </c>
      <c r="C24" s="80" t="s">
        <v>55</v>
      </c>
      <c r="D24" s="18" t="str">
        <f t="shared" si="1"/>
        <v>A</v>
      </c>
      <c r="E24" s="60" t="str">
        <f>VLOOKUP($A24,nist_names_ids!A:B,2,false)</f>
        <v>aucur</v>
      </c>
      <c r="F24" s="61">
        <f>countif(Constants!A:A,E24)</f>
        <v>1</v>
      </c>
      <c r="G24" s="60" t="str">
        <f>IFERROR(__xludf.DUMMYFUNCTION("REGEXREPLACE(substitute(substitute(B24,"" "",""""),""..."",""""),""\(.*\)"","""")"),"6.62361763e-3")</f>
        <v>6.62361763e-3</v>
      </c>
      <c r="H24" s="62">
        <f t="shared" si="2"/>
        <v>0.00662361763</v>
      </c>
      <c r="I24" s="60" t="str">
        <f>IFERROR(__xludf.DUMMYFUNCTION("if(regexmatch($B24,""\(""),CONCATENATE(regexreplace(REGEXREPLACE(substitute(left($B24,find(""("",$B24)-1),"" "",""""),""\d"",""0""),""[-0]*\."",""0.""), REGEXEXTRACT($B24,""\((.*)\)""),TRIM(REGEXEXTRACT($B24,""\)(.*)""))),"""")"),"0.0000000017e-3")</f>
        <v>0.0000000017e-3</v>
      </c>
      <c r="J24" s="62">
        <f t="shared" si="3"/>
        <v>0</v>
      </c>
      <c r="K24" s="62" t="b">
        <f t="shared" si="4"/>
        <v>0</v>
      </c>
      <c r="L24" s="62" t="b">
        <f t="shared" si="5"/>
        <v>0</v>
      </c>
      <c r="M24" s="60" t="str">
        <f>IFERROR(__xludf.DUMMYFUNCTION("if(regexmatch(B24,""e(.*)$""),regexextract(B24,""e(.*)$""),"""")"),"-3")</f>
        <v>-3</v>
      </c>
    </row>
    <row r="25">
      <c r="A25" s="80" t="s">
        <v>770</v>
      </c>
      <c r="B25" s="80" t="s">
        <v>4391</v>
      </c>
      <c r="C25" s="80" t="s">
        <v>772</v>
      </c>
      <c r="D25" s="18" t="str">
        <f t="shared" si="1"/>
        <v>C m</v>
      </c>
      <c r="E25" s="60" t="str">
        <f>VLOOKUP($A25,nist_names_ids!A:B,2,false)</f>
        <v>auedm</v>
      </c>
      <c r="F25" s="61">
        <f>countif(Constants!A:A,E25)</f>
        <v>1</v>
      </c>
      <c r="G25" s="60" t="str">
        <f>IFERROR(__xludf.DUMMYFUNCTION("REGEXREPLACE(substitute(substitute(B25,"" "",""""),""..."",""""),""\(.*\)"","""")"),"8.47835281e-30")</f>
        <v>8.47835281e-30</v>
      </c>
      <c r="H25" s="62">
        <f t="shared" si="2"/>
        <v>0</v>
      </c>
      <c r="I25" s="60" t="str">
        <f>IFERROR(__xludf.DUMMYFUNCTION("if(regexmatch($B25,""\(""),CONCATENATE(regexreplace(REGEXREPLACE(substitute(left($B25,find(""("",$B25)-1),"" "",""""),""\d"",""0""),""[-0]*\."",""0.""), REGEXEXTRACT($B25,""\((.*)\)""),TRIM(REGEXEXTRACT($B25,""\)(.*)""))),"""")"),"0.0000000021e-30")</f>
        <v>0.0000000021e-30</v>
      </c>
      <c r="J25" s="62">
        <f t="shared" si="3"/>
        <v>0</v>
      </c>
      <c r="K25" s="62" t="b">
        <f t="shared" si="4"/>
        <v>0</v>
      </c>
      <c r="L25" s="62" t="b">
        <f t="shared" si="5"/>
        <v>0</v>
      </c>
      <c r="M25" s="60" t="str">
        <f>IFERROR(__xludf.DUMMYFUNCTION("if(regexmatch(B25,""e(.*)$""),regexextract(B25,""e(.*)$""),"""")"),"-30")</f>
        <v>-30</v>
      </c>
    </row>
    <row r="26">
      <c r="A26" s="80" t="s">
        <v>787</v>
      </c>
      <c r="B26" s="80" t="s">
        <v>4393</v>
      </c>
      <c r="C26" s="80" t="s">
        <v>4394</v>
      </c>
      <c r="D26" s="18" t="str">
        <f t="shared" si="1"/>
        <v>V m^-1</v>
      </c>
      <c r="E26" s="60" t="str">
        <f>VLOOKUP($A26,nist_names_ids!A:B,2,false)</f>
        <v>auefld</v>
      </c>
      <c r="F26" s="61">
        <f>countif(Constants!A:A,E26)</f>
        <v>1</v>
      </c>
      <c r="G26" s="60" t="str">
        <f>IFERROR(__xludf.DUMMYFUNCTION("REGEXREPLACE(substitute(substitute(B26,"" "",""""),""..."",""""),""\(.*\)"","""")"),"5.14220632e11")</f>
        <v>5.14220632e11</v>
      </c>
      <c r="H26" s="62">
        <f t="shared" si="2"/>
        <v>514220632000</v>
      </c>
      <c r="I26" s="60" t="str">
        <f>IFERROR(__xludf.DUMMYFUNCTION("if(regexmatch($B26,""\(""),CONCATENATE(regexreplace(REGEXREPLACE(substitute(left($B26,find(""("",$B26)-1),"" "",""""),""\d"",""0""),""[-0]*\."",""0.""), REGEXEXTRACT($B26,""\((.*)\)""),TRIM(REGEXEXTRACT($B26,""\)(.*)""))),"""")"),"0.0000000013e11")</f>
        <v>0.0000000013e11</v>
      </c>
      <c r="J26" s="62">
        <f t="shared" si="3"/>
        <v>130</v>
      </c>
      <c r="K26" s="62" t="b">
        <f t="shared" si="4"/>
        <v>0</v>
      </c>
      <c r="L26" s="62" t="b">
        <f t="shared" si="5"/>
        <v>0</v>
      </c>
      <c r="M26" s="60" t="str">
        <f>IFERROR(__xludf.DUMMYFUNCTION("if(regexmatch(B26,""e(.*)$""),regexextract(B26,""e(.*)$""),"""")"),"11")</f>
        <v>11</v>
      </c>
    </row>
    <row r="27">
      <c r="A27" s="80" t="s">
        <v>810</v>
      </c>
      <c r="B27" s="80" t="s">
        <v>4395</v>
      </c>
      <c r="C27" s="80" t="s">
        <v>4396</v>
      </c>
      <c r="D27" s="18" t="str">
        <f t="shared" si="1"/>
        <v>V m^-2</v>
      </c>
      <c r="E27" s="60" t="str">
        <f>VLOOKUP($A27,nist_names_ids!A:B,2,false)</f>
        <v>auefg</v>
      </c>
      <c r="F27" s="61">
        <f>countif(Constants!A:A,E27)</f>
        <v>1</v>
      </c>
      <c r="G27" s="60" t="str">
        <f>IFERROR(__xludf.DUMMYFUNCTION("REGEXREPLACE(substitute(substitute(B27,"" "",""""),""..."",""""),""\(.*\)"","""")"),"9.71736166e21")</f>
        <v>9.71736166e21</v>
      </c>
      <c r="H27" s="62">
        <f t="shared" si="2"/>
        <v>9.71736E+21</v>
      </c>
      <c r="I27" s="60" t="str">
        <f>IFERROR(__xludf.DUMMYFUNCTION("if(regexmatch($B27,""\(""),CONCATENATE(regexreplace(REGEXREPLACE(substitute(left($B27,find(""("",$B27)-1),"" "",""""),""\d"",""0""),""[-0]*\."",""0.""), REGEXEXTRACT($B27,""\((.*)\)""),TRIM(REGEXEXTRACT($B27,""\)(.*)""))),"""")"),"0.0000000024e21")</f>
        <v>0.0000000024e21</v>
      </c>
      <c r="J27" s="62">
        <f t="shared" si="3"/>
        <v>2400000000000</v>
      </c>
      <c r="K27" s="62" t="b">
        <f t="shared" si="4"/>
        <v>0</v>
      </c>
      <c r="L27" s="62" t="b">
        <f t="shared" si="5"/>
        <v>0</v>
      </c>
      <c r="M27" s="60" t="str">
        <f>IFERROR(__xludf.DUMMYFUNCTION("if(regexmatch(B27,""e(.*)$""),regexextract(B27,""e(.*)$""),"""")"),"21")</f>
        <v>21</v>
      </c>
    </row>
    <row r="28">
      <c r="A28" s="80" t="s">
        <v>833</v>
      </c>
      <c r="B28" s="80" t="s">
        <v>4399</v>
      </c>
      <c r="C28" s="80" t="s">
        <v>4400</v>
      </c>
      <c r="D28" s="18" t="str">
        <f t="shared" si="1"/>
        <v>C^2 m^2 J^-1</v>
      </c>
      <c r="E28" s="60" t="str">
        <f>VLOOKUP($A28,nist_names_ids!A:B,2,false)</f>
        <v>auepol</v>
      </c>
      <c r="F28" s="61">
        <f>countif(Constants!A:A,E28)</f>
        <v>1</v>
      </c>
      <c r="G28" s="60" t="str">
        <f>IFERROR(__xludf.DUMMYFUNCTION("REGEXREPLACE(substitute(substitute(B28,"" "",""""),""..."",""""),""\(.*\)"","""")"),"1.6487772536e-41")</f>
        <v>1.6487772536e-41</v>
      </c>
      <c r="H28" s="62">
        <f t="shared" si="2"/>
        <v>0</v>
      </c>
      <c r="I28" s="60" t="str">
        <f>IFERROR(__xludf.DUMMYFUNCTION("if(regexmatch($B28,""\(""),CONCATENATE(regexreplace(REGEXREPLACE(substitute(left($B28,find(""("",$B28)-1),"" "",""""),""\d"",""0""),""[-0]*\."",""0.""), REGEXEXTRACT($B28,""\((.*)\)""),TRIM(REGEXEXTRACT($B28,""\)(.*)""))),"""")"),"0.000000000034e-41")</f>
        <v>0.000000000034e-41</v>
      </c>
      <c r="J28" s="62">
        <f t="shared" si="3"/>
        <v>0</v>
      </c>
      <c r="K28" s="62" t="b">
        <f t="shared" si="4"/>
        <v>0</v>
      </c>
      <c r="L28" s="62" t="b">
        <f t="shared" si="5"/>
        <v>0</v>
      </c>
      <c r="M28" s="60" t="str">
        <f>IFERROR(__xludf.DUMMYFUNCTION("if(regexmatch(B28,""e(.*)$""),regexextract(B28,""e(.*)$""),"""")"),"-41")</f>
        <v>-41</v>
      </c>
    </row>
    <row r="29">
      <c r="A29" s="80" t="s">
        <v>858</v>
      </c>
      <c r="B29" s="80" t="s">
        <v>4405</v>
      </c>
      <c r="C29" s="80" t="s">
        <v>546</v>
      </c>
      <c r="D29" s="18" t="str">
        <f t="shared" si="1"/>
        <v>V</v>
      </c>
      <c r="E29" s="60" t="str">
        <f>VLOOKUP($A29,nist_names_ids!A:B,2,false)</f>
        <v>auep</v>
      </c>
      <c r="F29" s="61">
        <f>countif(Constants!A:A,E29)</f>
        <v>1</v>
      </c>
      <c r="G29" s="60" t="str">
        <f>IFERROR(__xludf.DUMMYFUNCTION("REGEXREPLACE(substitute(substitute(B29,"" "",""""),""..."",""""),""\(.*\)"","""")"),"27.21138386")</f>
        <v>27.21138386</v>
      </c>
      <c r="H29" s="62">
        <f t="shared" si="2"/>
        <v>27.21138386</v>
      </c>
      <c r="I29" s="60" t="str">
        <f>IFERROR(__xludf.DUMMYFUNCTION("if(regexmatch($B29,""\(""),CONCATENATE(regexreplace(REGEXREPLACE(substitute(left($B29,find(""("",$B29)-1),"" "",""""),""\d"",""0""),""[-0]*\."",""0.""), REGEXEXTRACT($B29,""\((.*)\)""),TRIM(REGEXEXTRACT($B29,""\)(.*)""))),"""")"),"0.0000000068")</f>
        <v>0.0000000068</v>
      </c>
      <c r="J29" s="62">
        <f t="shared" si="3"/>
        <v>0.0000000068</v>
      </c>
      <c r="K29" s="62" t="b">
        <f t="shared" si="4"/>
        <v>0</v>
      </c>
      <c r="L29" s="62" t="b">
        <f t="shared" si="5"/>
        <v>0</v>
      </c>
      <c r="M29" s="60" t="str">
        <f>IFERROR(__xludf.DUMMYFUNCTION("if(regexmatch(B29,""e(.*)$""),regexextract(B29,""e(.*)$""),"""")"),"")</f>
        <v/>
      </c>
    </row>
    <row r="30">
      <c r="A30" s="80" t="s">
        <v>882</v>
      </c>
      <c r="B30" s="80" t="s">
        <v>4408</v>
      </c>
      <c r="C30" s="80" t="s">
        <v>884</v>
      </c>
      <c r="D30" s="18" t="str">
        <f t="shared" si="1"/>
        <v>C m^2</v>
      </c>
      <c r="E30" s="60" t="str">
        <f>VLOOKUP($A30,nist_names_ids!A:B,2,false)</f>
        <v>aueqm</v>
      </c>
      <c r="F30" s="61">
        <f>countif(Constants!A:A,E30)</f>
        <v>1</v>
      </c>
      <c r="G30" s="60" t="str">
        <f>IFERROR(__xludf.DUMMYFUNCTION("REGEXREPLACE(substitute(substitute(B30,"" "",""""),""..."",""""),""\(.*\)"","""")"),"4.48655107e-40")</f>
        <v>4.48655107e-40</v>
      </c>
      <c r="H30" s="62">
        <f t="shared" si="2"/>
        <v>0</v>
      </c>
      <c r="I30" s="60" t="str">
        <f>IFERROR(__xludf.DUMMYFUNCTION("if(regexmatch($B30,""\(""),CONCATENATE(regexreplace(REGEXREPLACE(substitute(left($B30,find(""("",$B30)-1),"" "",""""),""\d"",""0""),""[-0]*\."",""0.""), REGEXEXTRACT($B30,""\((.*)\)""),TRIM(REGEXEXTRACT($B30,""\)(.*)""))),"""")"),"0.0000000011e-40")</f>
        <v>0.0000000011e-40</v>
      </c>
      <c r="J30" s="62">
        <f t="shared" si="3"/>
        <v>0</v>
      </c>
      <c r="K30" s="62" t="b">
        <f t="shared" si="4"/>
        <v>0</v>
      </c>
      <c r="L30" s="62" t="b">
        <f t="shared" si="5"/>
        <v>0</v>
      </c>
      <c r="M30" s="60" t="str">
        <f>IFERROR(__xludf.DUMMYFUNCTION("if(regexmatch(B30,""e(.*)$""),regexextract(B30,""e(.*)$""),"""")"),"-40")</f>
        <v>-40</v>
      </c>
    </row>
    <row r="31">
      <c r="A31" s="80" t="s">
        <v>901</v>
      </c>
      <c r="B31" s="80" t="s">
        <v>4412</v>
      </c>
      <c r="C31" s="80" t="s">
        <v>173</v>
      </c>
      <c r="D31" s="18" t="str">
        <f t="shared" si="1"/>
        <v>J</v>
      </c>
      <c r="E31" s="60" t="str">
        <f>VLOOKUP($A31,nist_names_ids!A:B,2,false)</f>
        <v>thr</v>
      </c>
      <c r="F31" s="61">
        <f>countif(Constants!A:A,E31)</f>
        <v>1</v>
      </c>
      <c r="G31" s="60" t="str">
        <f>IFERROR(__xludf.DUMMYFUNCTION("REGEXREPLACE(substitute(substitute(B31,"" "",""""),""..."",""""),""\(.*\)"","""")"),"4.35974394e-18")</f>
        <v>4.35974394e-18</v>
      </c>
      <c r="H31" s="62">
        <f t="shared" si="2"/>
        <v>0</v>
      </c>
      <c r="I31" s="60" t="str">
        <f>IFERROR(__xludf.DUMMYFUNCTION("if(regexmatch($B31,""\(""),CONCATENATE(regexreplace(REGEXREPLACE(substitute(left($B31,find(""("",$B31)-1),"" "",""""),""\d"",""0""),""[-0]*\."",""0.""), REGEXEXTRACT($B31,""\((.*)\)""),TRIM(REGEXEXTRACT($B31,""\)(.*)""))),"""")"),"0.0000000022e-18")</f>
        <v>0.0000000022e-18</v>
      </c>
      <c r="J31" s="62">
        <f t="shared" si="3"/>
        <v>0</v>
      </c>
      <c r="K31" s="62" t="b">
        <f t="shared" si="4"/>
        <v>0</v>
      </c>
      <c r="L31" s="62" t="b">
        <f t="shared" si="5"/>
        <v>0</v>
      </c>
      <c r="M31" s="60" t="str">
        <f>IFERROR(__xludf.DUMMYFUNCTION("if(regexmatch(B31,""e(.*)$""),regexextract(B31,""e(.*)$""),"""")"),"-18")</f>
        <v>-18</v>
      </c>
    </row>
    <row r="32">
      <c r="A32" s="80" t="s">
        <v>921</v>
      </c>
      <c r="B32" s="80" t="s">
        <v>4415</v>
      </c>
      <c r="C32" s="80" t="s">
        <v>486</v>
      </c>
      <c r="D32" s="18" t="str">
        <f t="shared" si="1"/>
        <v>N</v>
      </c>
      <c r="E32" s="60" t="str">
        <f>VLOOKUP($A32,nist_names_ids!A:B,2,false)</f>
        <v>auforce</v>
      </c>
      <c r="F32" s="61">
        <f>countif(Constants!A:A,E32)</f>
        <v>1</v>
      </c>
      <c r="G32" s="60" t="str">
        <f>IFERROR(__xludf.DUMMYFUNCTION("REGEXREPLACE(substitute(substitute(B32,"" "",""""),""..."",""""),""\(.*\)"","""")"),"8.23872206e-8")</f>
        <v>8.23872206e-8</v>
      </c>
      <c r="H32" s="62">
        <f t="shared" si="2"/>
        <v>0.0000000823872206</v>
      </c>
      <c r="I32" s="60" t="str">
        <f>IFERROR(__xludf.DUMMYFUNCTION("if(regexmatch($B32,""\(""),CONCATENATE(regexreplace(REGEXREPLACE(substitute(left($B32,find(""("",$B32)-1),"" "",""""),""\d"",""0""),""[-0]*\."",""0.""), REGEXEXTRACT($B32,""\((.*)\)""),TRIM(REGEXEXTRACT($B32,""\)(.*)""))),"""")"),"0.0000000041e-8")</f>
        <v>0.0000000041e-8</v>
      </c>
      <c r="J32" s="62">
        <f t="shared" si="3"/>
        <v>0</v>
      </c>
      <c r="K32" s="62" t="b">
        <f t="shared" si="4"/>
        <v>0</v>
      </c>
      <c r="L32" s="62" t="b">
        <f t="shared" si="5"/>
        <v>0</v>
      </c>
      <c r="M32" s="60" t="str">
        <f>IFERROR(__xludf.DUMMYFUNCTION("if(regexmatch(B32,""e(.*)$""),regexextract(B32,""e(.*)$""),"""")"),"-8")</f>
        <v>-8</v>
      </c>
    </row>
    <row r="33">
      <c r="A33" s="80" t="s">
        <v>940</v>
      </c>
      <c r="B33" s="80" t="s">
        <v>4418</v>
      </c>
      <c r="C33" s="80" t="s">
        <v>381</v>
      </c>
      <c r="D33" s="18" t="str">
        <f t="shared" si="1"/>
        <v>m</v>
      </c>
      <c r="E33" s="60" t="str">
        <f>VLOOKUP($A33,nist_names_ids!A:B,2,false)</f>
        <v>tbohrrada0</v>
      </c>
      <c r="F33" s="61">
        <f>countif(Constants!A:A,E33)</f>
        <v>1</v>
      </c>
      <c r="G33" s="60" t="str">
        <f>IFERROR(__xludf.DUMMYFUNCTION("REGEXREPLACE(substitute(substitute(B33,"" "",""""),""..."",""""),""\(.*\)"","""")"),"0.52917720859e-10")</f>
        <v>0.52917720859e-10</v>
      </c>
      <c r="H33" s="62">
        <f t="shared" si="2"/>
        <v>0</v>
      </c>
      <c r="I33" s="60" t="str">
        <f>IFERROR(__xludf.DUMMYFUNCTION("if(regexmatch($B33,""\(""),CONCATENATE(regexreplace(REGEXREPLACE(substitute(left($B33,find(""("",$B33)-1),"" "",""""),""\d"",""0""),""[-0]*\."",""0.""), REGEXEXTRACT($B33,""\((.*)\)""),TRIM(REGEXEXTRACT($B33,""\)(.*)""))),"""")"),"0.0000000000036e-10")</f>
        <v>0.0000000000036e-10</v>
      </c>
      <c r="J33" s="62">
        <f t="shared" si="3"/>
        <v>0</v>
      </c>
      <c r="K33" s="62" t="b">
        <f t="shared" si="4"/>
        <v>0</v>
      </c>
      <c r="L33" s="62" t="b">
        <f t="shared" si="5"/>
        <v>0</v>
      </c>
      <c r="M33" s="60" t="str">
        <f>IFERROR(__xludf.DUMMYFUNCTION("if(regexmatch(B33,""e(.*)$""),regexextract(B33,""e(.*)$""),"""")"),"-10")</f>
        <v>-10</v>
      </c>
    </row>
    <row r="34">
      <c r="A34" s="80" t="s">
        <v>962</v>
      </c>
      <c r="B34" s="80" t="s">
        <v>4420</v>
      </c>
      <c r="C34" s="80" t="s">
        <v>4421</v>
      </c>
      <c r="D34" s="18" t="str">
        <f t="shared" si="1"/>
        <v>J T^-1</v>
      </c>
      <c r="E34" s="60" t="str">
        <f>VLOOKUP($A34,nist_names_ids!A:B,2,false)</f>
        <v>aumdm</v>
      </c>
      <c r="F34" s="61">
        <f>countif(Constants!A:A,E34)</f>
        <v>1</v>
      </c>
      <c r="G34" s="60" t="str">
        <f>IFERROR(__xludf.DUMMYFUNCTION("REGEXREPLACE(substitute(substitute(B34,"" "",""""),""..."",""""),""\(.*\)"","""")"),"1.854801830e-23")</f>
        <v>1.854801830e-23</v>
      </c>
      <c r="H34" s="62">
        <f t="shared" si="2"/>
        <v>0</v>
      </c>
      <c r="I34" s="60" t="str">
        <f>IFERROR(__xludf.DUMMYFUNCTION("if(regexmatch($B34,""\(""),CONCATENATE(regexreplace(REGEXREPLACE(substitute(left($B34,find(""("",$B34)-1),"" "",""""),""\d"",""0""),""[-0]*\."",""0.""), REGEXEXTRACT($B34,""\((.*)\)""),TRIM(REGEXEXTRACT($B34,""\)(.*)""))),"""")"),"0.00000000046e-23")</f>
        <v>0.00000000046e-23</v>
      </c>
      <c r="J34" s="62">
        <f t="shared" si="3"/>
        <v>0</v>
      </c>
      <c r="K34" s="62" t="b">
        <f t="shared" si="4"/>
        <v>0</v>
      </c>
      <c r="L34" s="62" t="b">
        <f t="shared" si="5"/>
        <v>0</v>
      </c>
      <c r="M34" s="60" t="str">
        <f>IFERROR(__xludf.DUMMYFUNCTION("if(regexmatch(B34,""e(.*)$""),regexextract(B34,""e(.*)$""),"""")"),"-23")</f>
        <v>-23</v>
      </c>
    </row>
    <row r="35">
      <c r="A35" s="80" t="s">
        <v>1547</v>
      </c>
      <c r="B35" s="80" t="s">
        <v>4424</v>
      </c>
      <c r="C35" s="80" t="s">
        <v>535</v>
      </c>
      <c r="D35" s="18" t="str">
        <f t="shared" si="1"/>
        <v>T</v>
      </c>
      <c r="E35" s="60" t="str">
        <f>VLOOKUP($A35,nist_names_ids!A:B,2,false)</f>
        <v>aumfd</v>
      </c>
      <c r="F35" s="61">
        <f>countif(Constants!A:A,E35)</f>
        <v>1</v>
      </c>
      <c r="G35" s="60" t="str">
        <f>IFERROR(__xludf.DUMMYFUNCTION("REGEXREPLACE(substitute(substitute(B35,"" "",""""),""..."",""""),""\(.*\)"","""")"),"2.350517382e5")</f>
        <v>2.350517382e5</v>
      </c>
      <c r="H35" s="62">
        <f t="shared" si="2"/>
        <v>235051.7382</v>
      </c>
      <c r="I35" s="60" t="str">
        <f>IFERROR(__xludf.DUMMYFUNCTION("if(regexmatch($B35,""\(""),CONCATENATE(regexreplace(REGEXREPLACE(substitute(left($B35,find(""("",$B35)-1),"" "",""""),""\d"",""0""),""[-0]*\."",""0.""), REGEXEXTRACT($B35,""\((.*)\)""),TRIM(REGEXEXTRACT($B35,""\)(.*)""))),"""")"),"0.00000000059e5")</f>
        <v>0.00000000059e5</v>
      </c>
      <c r="J35" s="62">
        <f t="shared" si="3"/>
        <v>0.000059</v>
      </c>
      <c r="K35" s="62" t="b">
        <f t="shared" si="4"/>
        <v>0</v>
      </c>
      <c r="L35" s="62" t="b">
        <f t="shared" si="5"/>
        <v>0</v>
      </c>
      <c r="M35" s="60" t="str">
        <f>IFERROR(__xludf.DUMMYFUNCTION("if(regexmatch(B35,""e(.*)$""),regexextract(B35,""e(.*)$""),"""")"),"5")</f>
        <v>5</v>
      </c>
    </row>
    <row r="36">
      <c r="A36" s="80" t="s">
        <v>997</v>
      </c>
      <c r="B36" s="80" t="s">
        <v>4426</v>
      </c>
      <c r="C36" s="80" t="s">
        <v>4427</v>
      </c>
      <c r="D36" s="18" t="str">
        <f t="shared" si="1"/>
        <v>J T^-2</v>
      </c>
      <c r="E36" s="60" t="str">
        <f>VLOOKUP($A36,nist_names_ids!A:B,2,false)</f>
        <v>aumag</v>
      </c>
      <c r="F36" s="61">
        <f>countif(Constants!A:A,E36)</f>
        <v>1</v>
      </c>
      <c r="G36" s="60" t="str">
        <f>IFERROR(__xludf.DUMMYFUNCTION("REGEXREPLACE(substitute(substitute(B36,"" "",""""),""..."",""""),""\(.*\)"","""")"),"7.891036433e-29")</f>
        <v>7.891036433e-29</v>
      </c>
      <c r="H36" s="62">
        <f t="shared" si="2"/>
        <v>0</v>
      </c>
      <c r="I36" s="60" t="str">
        <f>IFERROR(__xludf.DUMMYFUNCTION("if(regexmatch($B36,""\(""),CONCATENATE(regexreplace(REGEXREPLACE(substitute(left($B36,find(""("",$B36)-1),"" "",""""),""\d"",""0""),""[-0]*\."",""0.""), REGEXEXTRACT($B36,""\((.*)\)""),TRIM(REGEXEXTRACT($B36,""\)(.*)""))),"""")"),"0.00000000027e-29")</f>
        <v>0.00000000027e-29</v>
      </c>
      <c r="J36" s="62">
        <f t="shared" si="3"/>
        <v>0</v>
      </c>
      <c r="K36" s="62" t="b">
        <f t="shared" si="4"/>
        <v>0</v>
      </c>
      <c r="L36" s="62" t="b">
        <f t="shared" si="5"/>
        <v>0</v>
      </c>
      <c r="M36" s="60" t="str">
        <f>IFERROR(__xludf.DUMMYFUNCTION("if(regexmatch(B36,""e(.*)$""),regexextract(B36,""e(.*)$""),"""")"),"-29")</f>
        <v>-29</v>
      </c>
    </row>
    <row r="37">
      <c r="A37" s="80" t="s">
        <v>1015</v>
      </c>
      <c r="B37" s="80" t="s">
        <v>4432</v>
      </c>
      <c r="C37" s="80" t="s">
        <v>98</v>
      </c>
      <c r="D37" s="18" t="str">
        <f t="shared" si="1"/>
        <v>kg</v>
      </c>
      <c r="E37" s="60" t="str">
        <f>VLOOKUP($A37,nist_names_ids!A:B,2,false)</f>
        <v>ttme</v>
      </c>
      <c r="F37" s="61">
        <f>countif(Constants!A:A,E37)</f>
        <v>1</v>
      </c>
      <c r="G37" s="60" t="str">
        <f>IFERROR(__xludf.DUMMYFUNCTION("REGEXREPLACE(substitute(substitute(B37,"" "",""""),""..."",""""),""\(.*\)"","""")"),"9.10938215e-31")</f>
        <v>9.10938215e-31</v>
      </c>
      <c r="H37" s="62">
        <f t="shared" si="2"/>
        <v>0</v>
      </c>
      <c r="I37" s="60" t="str">
        <f>IFERROR(__xludf.DUMMYFUNCTION("if(regexmatch($B37,""\(""),CONCATENATE(regexreplace(REGEXREPLACE(substitute(left($B37,find(""("",$B37)-1),"" "",""""),""\d"",""0""),""[-0]*\."",""0.""), REGEXEXTRACT($B37,""\((.*)\)""),TRIM(REGEXEXTRACT($B37,""\)(.*)""))),"""")"),"0.0000000045e-31")</f>
        <v>0.0000000045e-31</v>
      </c>
      <c r="J37" s="62">
        <f t="shared" si="3"/>
        <v>0</v>
      </c>
      <c r="K37" s="62" t="b">
        <f t="shared" si="4"/>
        <v>0</v>
      </c>
      <c r="L37" s="62" t="b">
        <f t="shared" si="5"/>
        <v>0</v>
      </c>
      <c r="M37" s="60" t="str">
        <f>IFERROR(__xludf.DUMMYFUNCTION("if(regexmatch(B37,""e(.*)$""),regexextract(B37,""e(.*)$""),"""")"),"-31")</f>
        <v>-31</v>
      </c>
    </row>
    <row r="38">
      <c r="A38" s="80" t="s">
        <v>1053</v>
      </c>
      <c r="B38" s="80" t="s">
        <v>4435</v>
      </c>
      <c r="C38" s="80" t="s">
        <v>4436</v>
      </c>
      <c r="D38" s="18" t="str">
        <f t="shared" si="1"/>
        <v>kg m s^-1</v>
      </c>
      <c r="E38" s="60" t="str">
        <f>VLOOKUP($A38,nist_names_ids!A:B,2,false)</f>
        <v>aumom</v>
      </c>
      <c r="F38" s="61">
        <f>countif(Constants!A:A,E38)</f>
        <v>1</v>
      </c>
      <c r="G38" s="60" t="str">
        <f>IFERROR(__xludf.DUMMYFUNCTION("REGEXREPLACE(substitute(substitute(B38,"" "",""""),""..."",""""),""\(.*\)"","""")"),"1.992851565e-24")</f>
        <v>1.992851565e-24</v>
      </c>
      <c r="H38" s="62">
        <f t="shared" si="2"/>
        <v>0</v>
      </c>
      <c r="I38" s="60" t="str">
        <f>IFERROR(__xludf.DUMMYFUNCTION("if(regexmatch($B38,""\(""),CONCATENATE(regexreplace(REGEXREPLACE(substitute(left($B38,find(""("",$B38)-1),"" "",""""),""\d"",""0""),""[-0]*\."",""0.""), REGEXEXTRACT($B38,""\((.*)\)""),TRIM(REGEXEXTRACT($B38,""\)(.*)""))),"""")"),"0.00000000099e-24")</f>
        <v>0.00000000099e-24</v>
      </c>
      <c r="J38" s="62">
        <f t="shared" si="3"/>
        <v>0</v>
      </c>
      <c r="K38" s="62" t="b">
        <f t="shared" si="4"/>
        <v>0</v>
      </c>
      <c r="L38" s="62" t="b">
        <f t="shared" si="5"/>
        <v>0</v>
      </c>
      <c r="M38" s="60" t="str">
        <f>IFERROR(__xludf.DUMMYFUNCTION("if(regexmatch(B38,""e(.*)$""),regexextract(B38,""e(.*)$""),"""")"),"-24")</f>
        <v>-24</v>
      </c>
    </row>
    <row r="39">
      <c r="A39" s="80" t="s">
        <v>1076</v>
      </c>
      <c r="B39" s="80" t="s">
        <v>4437</v>
      </c>
      <c r="C39" s="80" t="s">
        <v>4438</v>
      </c>
      <c r="D39" s="18" t="str">
        <f t="shared" si="1"/>
        <v>F m^-1</v>
      </c>
      <c r="E39" s="60" t="str">
        <f>VLOOKUP($A39,nist_names_ids!A:B,2,false)</f>
        <v>auperm</v>
      </c>
      <c r="F39" s="61">
        <f>countif(Constants!A:A,E39)</f>
        <v>1</v>
      </c>
      <c r="G39" s="60" t="str">
        <f>IFERROR(__xludf.DUMMYFUNCTION("REGEXREPLACE(substitute(substitute(B39,"" "",""""),""..."",""""),""\(.*\)"","""")"),"1.112650056e-10")</f>
        <v>1.112650056e-10</v>
      </c>
      <c r="H39" s="62">
        <f t="shared" si="2"/>
        <v>0.0000000001112650056</v>
      </c>
      <c r="I39" s="60" t="str">
        <f>IFERROR(__xludf.DUMMYFUNCTION("if(regexmatch($B39,""\(""),CONCATENATE(regexreplace(REGEXREPLACE(substitute(left($B39,find(""("",$B39)-1),"" "",""""),""\d"",""0""),""[-0]*\."",""0.""), REGEXEXTRACT($B39,""\((.*)\)""),TRIM(REGEXEXTRACT($B39,""\)(.*)""))),"""")"),"")</f>
        <v/>
      </c>
      <c r="J39" s="62" t="str">
        <f t="shared" si="3"/>
        <v/>
      </c>
      <c r="K39" s="62" t="b">
        <f t="shared" si="4"/>
        <v>0</v>
      </c>
      <c r="L39" s="62" t="b">
        <f t="shared" si="5"/>
        <v>1</v>
      </c>
      <c r="M39" s="60" t="str">
        <f>IFERROR(__xludf.DUMMYFUNCTION("if(regexmatch(B39,""e(.*)$""),regexextract(B39,""e(.*)$""),"""")"),"-10")</f>
        <v>-10</v>
      </c>
    </row>
    <row r="40">
      <c r="A40" s="80" t="s">
        <v>1090</v>
      </c>
      <c r="B40" s="80" t="s">
        <v>4442</v>
      </c>
      <c r="C40" s="80" t="s">
        <v>520</v>
      </c>
      <c r="D40" s="18" t="str">
        <f t="shared" si="1"/>
        <v>s</v>
      </c>
      <c r="E40" s="60" t="str">
        <f>VLOOKUP($A40,nist_names_ids!A:B,2,false)</f>
        <v>aut</v>
      </c>
      <c r="F40" s="61">
        <f>countif(Constants!A:A,E40)</f>
        <v>1</v>
      </c>
      <c r="G40" s="60" t="str">
        <f>IFERROR(__xludf.DUMMYFUNCTION("REGEXREPLACE(substitute(substitute(B40,"" "",""""),""..."",""""),""\(.*\)"","""")"),"2.418884326505e-17")</f>
        <v>2.418884326505e-17</v>
      </c>
      <c r="H40" s="62">
        <f t="shared" si="2"/>
        <v>0</v>
      </c>
      <c r="I40" s="60" t="str">
        <f>IFERROR(__xludf.DUMMYFUNCTION("if(regexmatch($B40,""\(""),CONCATENATE(regexreplace(REGEXREPLACE(substitute(left($B40,find(""("",$B40)-1),"" "",""""),""\d"",""0""),""[-0]*\."",""0.""), REGEXEXTRACT($B40,""\((.*)\)""),TRIM(REGEXEXTRACT($B40,""\)(.*)""))),"""")"),"0.00000000000016e-17")</f>
        <v>0.00000000000016e-17</v>
      </c>
      <c r="J40" s="62">
        <f t="shared" si="3"/>
        <v>0</v>
      </c>
      <c r="K40" s="62" t="b">
        <f t="shared" si="4"/>
        <v>0</v>
      </c>
      <c r="L40" s="62" t="b">
        <f t="shared" si="5"/>
        <v>0</v>
      </c>
      <c r="M40" s="60" t="str">
        <f>IFERROR(__xludf.DUMMYFUNCTION("if(regexmatch(B40,""e(.*)$""),regexextract(B40,""e(.*)$""),"""")"),"-17")</f>
        <v>-17</v>
      </c>
    </row>
    <row r="41">
      <c r="A41" s="80" t="s">
        <v>1107</v>
      </c>
      <c r="B41" s="80" t="s">
        <v>4446</v>
      </c>
      <c r="C41" s="80" t="s">
        <v>4447</v>
      </c>
      <c r="D41" s="18" t="str">
        <f t="shared" si="1"/>
        <v>m s^-1</v>
      </c>
      <c r="E41" s="60" t="str">
        <f>VLOOKUP($A41,nist_names_ids!A:B,2,false)</f>
        <v>auvel</v>
      </c>
      <c r="F41" s="61">
        <f>countif(Constants!A:A,E41)</f>
        <v>1</v>
      </c>
      <c r="G41" s="60" t="str">
        <f>IFERROR(__xludf.DUMMYFUNCTION("REGEXREPLACE(substitute(substitute(B41,"" "",""""),""..."",""""),""\(.*\)"","""")"),"2.1876912541e6")</f>
        <v>2.1876912541e6</v>
      </c>
      <c r="H41" s="62">
        <f t="shared" si="2"/>
        <v>2187691.254</v>
      </c>
      <c r="I41" s="60" t="str">
        <f>IFERROR(__xludf.DUMMYFUNCTION("if(regexmatch($B41,""\(""),CONCATENATE(regexreplace(REGEXREPLACE(substitute(left($B41,find(""("",$B41)-1),"" "",""""),""\d"",""0""),""[-0]*\."",""0.""), REGEXEXTRACT($B41,""\((.*)\)""),TRIM(REGEXEXTRACT($B41,""\)(.*)""))),"""")"),"0.000000000015e6")</f>
        <v>0.000000000015e6</v>
      </c>
      <c r="J41" s="62">
        <f t="shared" si="3"/>
        <v>0.000015</v>
      </c>
      <c r="K41" s="62" t="b">
        <f t="shared" si="4"/>
        <v>0</v>
      </c>
      <c r="L41" s="62" t="b">
        <f t="shared" si="5"/>
        <v>0</v>
      </c>
      <c r="M41" s="60" t="str">
        <f>IFERROR(__xludf.DUMMYFUNCTION("if(regexmatch(B41,""e(.*)$""),regexextract(B41,""e(.*)$""),"""")"),"6")</f>
        <v>6</v>
      </c>
    </row>
    <row r="42">
      <c r="A42" s="80" t="s">
        <v>1125</v>
      </c>
      <c r="B42" s="80" t="s">
        <v>4451</v>
      </c>
      <c r="C42" s="80" t="s">
        <v>4452</v>
      </c>
      <c r="D42" s="18" t="str">
        <f t="shared" si="1"/>
        <v>mol^-1</v>
      </c>
      <c r="E42" s="60" t="str">
        <f>VLOOKUP($A42,nist_names_ids!A:B,2,false)</f>
        <v>na</v>
      </c>
      <c r="F42" s="61">
        <f>countif(Constants!A:A,E42)</f>
        <v>1</v>
      </c>
      <c r="G42" s="60" t="str">
        <f>IFERROR(__xludf.DUMMYFUNCTION("REGEXREPLACE(substitute(substitute(B42,"" "",""""),""..."",""""),""\(.*\)"","""")"),"6.02214179e23")</f>
        <v>6.02214179e23</v>
      </c>
      <c r="H42" s="62">
        <f t="shared" si="2"/>
        <v>6.02214E+23</v>
      </c>
      <c r="I42" s="60" t="str">
        <f>IFERROR(__xludf.DUMMYFUNCTION("if(regexmatch($B42,""\(""),CONCATENATE(regexreplace(REGEXREPLACE(substitute(left($B42,find(""("",$B42)-1),"" "",""""),""\d"",""0""),""[-0]*\."",""0.""), REGEXEXTRACT($B42,""\((.*)\)""),TRIM(REGEXEXTRACT($B42,""\)(.*)""))),"""")"),"0.0000000030e23")</f>
        <v>0.0000000030e23</v>
      </c>
      <c r="J42" s="62">
        <f t="shared" si="3"/>
        <v>300000000000000</v>
      </c>
      <c r="K42" s="62" t="b">
        <f t="shared" si="4"/>
        <v>0</v>
      </c>
      <c r="L42" s="62" t="b">
        <f t="shared" si="5"/>
        <v>0</v>
      </c>
      <c r="M42" s="60" t="str">
        <f>IFERROR(__xludf.DUMMYFUNCTION("if(regexmatch(B42,""e(.*)$""),regexextract(B42,""e(.*)$""),"""")"),"23")</f>
        <v>23</v>
      </c>
    </row>
    <row r="43">
      <c r="A43" s="80" t="s">
        <v>1146</v>
      </c>
      <c r="B43" s="80" t="s">
        <v>4453</v>
      </c>
      <c r="C43" s="80" t="s">
        <v>4421</v>
      </c>
      <c r="D43" s="18" t="str">
        <f t="shared" si="1"/>
        <v>J T^-1</v>
      </c>
      <c r="E43" s="60" t="str">
        <f>VLOOKUP($A43,nist_names_ids!A:B,2,false)</f>
        <v>mub</v>
      </c>
      <c r="F43" s="61">
        <f>countif(Constants!A:A,E43)</f>
        <v>1</v>
      </c>
      <c r="G43" s="60" t="str">
        <f>IFERROR(__xludf.DUMMYFUNCTION("REGEXREPLACE(substitute(substitute(B43,"" "",""""),""..."",""""),""\(.*\)"","""")"),"927.400915e-26")</f>
        <v>927.400915e-26</v>
      </c>
      <c r="H43" s="62">
        <f t="shared" si="2"/>
        <v>0</v>
      </c>
      <c r="I43" s="60" t="str">
        <f>IFERROR(__xludf.DUMMYFUNCTION("if(regexmatch($B43,""\(""),CONCATENATE(regexreplace(REGEXREPLACE(substitute(left($B43,find(""("",$B43)-1),"" "",""""),""\d"",""0""),""[-0]*\."",""0.""), REGEXEXTRACT($B43,""\((.*)\)""),TRIM(REGEXEXTRACT($B43,""\)(.*)""))),"""")"),"0.00000023e-26")</f>
        <v>0.00000023e-26</v>
      </c>
      <c r="J43" s="62">
        <f t="shared" si="3"/>
        <v>0</v>
      </c>
      <c r="K43" s="62" t="b">
        <f t="shared" si="4"/>
        <v>0</v>
      </c>
      <c r="L43" s="62" t="b">
        <f t="shared" si="5"/>
        <v>0</v>
      </c>
      <c r="M43" s="60" t="str">
        <f>IFERROR(__xludf.DUMMYFUNCTION("if(regexmatch(B43,""e(.*)$""),regexextract(B43,""e(.*)$""),"""")"),"-26")</f>
        <v>-26</v>
      </c>
    </row>
    <row r="44">
      <c r="A44" s="80" t="s">
        <v>1184</v>
      </c>
      <c r="B44" s="80" t="s">
        <v>4458</v>
      </c>
      <c r="C44" s="80" t="s">
        <v>4459</v>
      </c>
      <c r="D44" s="18" t="str">
        <f t="shared" si="1"/>
        <v>Hz T^-1</v>
      </c>
      <c r="E44" s="60" t="str">
        <f>VLOOKUP($A44,nist_names_ids!A:B,2,false)</f>
        <v>mubshhz</v>
      </c>
      <c r="F44" s="61">
        <f>countif(Constants!A:A,E44)</f>
        <v>1</v>
      </c>
      <c r="G44" s="60" t="str">
        <f>IFERROR(__xludf.DUMMYFUNCTION("REGEXREPLACE(substitute(substitute(B44,"" "",""""),""..."",""""),""\(.*\)"","""")"),"13.99624604e9")</f>
        <v>13.99624604e9</v>
      </c>
      <c r="H44" s="62">
        <f t="shared" si="2"/>
        <v>13996246040</v>
      </c>
      <c r="I44" s="60" t="str">
        <f>IFERROR(__xludf.DUMMYFUNCTION("if(regexmatch($B44,""\(""),CONCATENATE(regexreplace(REGEXREPLACE(substitute(left($B44,find(""("",$B44)-1),"" "",""""),""\d"",""0""),""[-0]*\."",""0.""), REGEXEXTRACT($B44,""\((.*)\)""),TRIM(REGEXEXTRACT($B44,""\)(.*)""))),"""")"),"0.0000000035e9")</f>
        <v>0.0000000035e9</v>
      </c>
      <c r="J44" s="62">
        <f t="shared" si="3"/>
        <v>3.5</v>
      </c>
      <c r="K44" s="62" t="b">
        <f t="shared" si="4"/>
        <v>0</v>
      </c>
      <c r="L44" s="62" t="b">
        <f t="shared" si="5"/>
        <v>0</v>
      </c>
      <c r="M44" s="60" t="str">
        <f>IFERROR(__xludf.DUMMYFUNCTION("if(regexmatch(B44,""e(.*)$""),regexextract(B44,""e(.*)$""),"""")"),"9")</f>
        <v>9</v>
      </c>
    </row>
    <row r="45">
      <c r="A45" s="80" t="s">
        <v>1224</v>
      </c>
      <c r="B45" s="80" t="s">
        <v>4460</v>
      </c>
      <c r="C45" s="80" t="s">
        <v>4461</v>
      </c>
      <c r="D45" s="18" t="str">
        <f t="shared" si="1"/>
        <v>K T^-1</v>
      </c>
      <c r="E45" s="60" t="str">
        <f>VLOOKUP($A45,nist_names_ids!A:B,2,false)</f>
        <v>mubskk</v>
      </c>
      <c r="F45" s="61">
        <f>countif(Constants!A:A,E45)</f>
        <v>1</v>
      </c>
      <c r="G45" s="60" t="str">
        <f>IFERROR(__xludf.DUMMYFUNCTION("REGEXREPLACE(substitute(substitute(B45,"" "",""""),""..."",""""),""\(.*\)"","""")"),"0.6717131")</f>
        <v>0.6717131</v>
      </c>
      <c r="H45" s="62">
        <f t="shared" si="2"/>
        <v>0.6717131</v>
      </c>
      <c r="I45" s="60" t="str">
        <f>IFERROR(__xludf.DUMMYFUNCTION("if(regexmatch($B45,""\(""),CONCATENATE(regexreplace(REGEXREPLACE(substitute(left($B45,find(""("",$B45)-1),"" "",""""),""\d"",""0""),""[-0]*\."",""0.""), REGEXEXTRACT($B45,""\((.*)\)""),TRIM(REGEXEXTRACT($B45,""\)(.*)""))),"""")"),"0.000000012")</f>
        <v>0.000000012</v>
      </c>
      <c r="J45" s="62">
        <f t="shared" si="3"/>
        <v>0.000000012</v>
      </c>
      <c r="K45" s="62" t="b">
        <f t="shared" si="4"/>
        <v>0</v>
      </c>
      <c r="L45" s="62" t="b">
        <f t="shared" si="5"/>
        <v>0</v>
      </c>
      <c r="M45" s="60" t="str">
        <f>IFERROR(__xludf.DUMMYFUNCTION("if(regexmatch(B45,""e(.*)$""),regexextract(B45,""e(.*)$""),"""")"),"")</f>
        <v/>
      </c>
    </row>
    <row r="46">
      <c r="A46" s="80" t="s">
        <v>1162</v>
      </c>
      <c r="B46" s="80" t="s">
        <v>4468</v>
      </c>
      <c r="C46" s="80" t="s">
        <v>4469</v>
      </c>
      <c r="D46" s="18" t="str">
        <f t="shared" si="1"/>
        <v>eV T^-1</v>
      </c>
      <c r="E46" s="60" t="str">
        <f>VLOOKUP($A46,nist_names_ids!A:B,2,false)</f>
        <v>mubev</v>
      </c>
      <c r="F46" s="61">
        <f>countif(Constants!A:A,E46)</f>
        <v>1</v>
      </c>
      <c r="G46" s="60" t="str">
        <f>IFERROR(__xludf.DUMMYFUNCTION("REGEXREPLACE(substitute(substitute(B46,"" "",""""),""..."",""""),""\(.*\)"","""")"),"5.7883817555e-5")</f>
        <v>5.7883817555e-5</v>
      </c>
      <c r="H46" s="62">
        <f t="shared" si="2"/>
        <v>0.00005788381756</v>
      </c>
      <c r="I46" s="60" t="str">
        <f>IFERROR(__xludf.DUMMYFUNCTION("if(regexmatch($B46,""\(""),CONCATENATE(regexreplace(REGEXREPLACE(substitute(left($B46,find(""("",$B46)-1),"" "",""""),""\d"",""0""),""[-0]*\."",""0.""), REGEXEXTRACT($B46,""\((.*)\)""),TRIM(REGEXEXTRACT($B46,""\)(.*)""))),"""")"),"0.000000000079e-5")</f>
        <v>0.000000000079e-5</v>
      </c>
      <c r="J46" s="62">
        <f t="shared" si="3"/>
        <v>0</v>
      </c>
      <c r="K46" s="62" t="b">
        <f t="shared" si="4"/>
        <v>0</v>
      </c>
      <c r="L46" s="62" t="b">
        <f t="shared" si="5"/>
        <v>0</v>
      </c>
      <c r="M46" s="60" t="str">
        <f>IFERROR(__xludf.DUMMYFUNCTION("if(regexmatch(B46,""e(.*)$""),regexextract(B46,""e(.*)$""),"""")"),"-5")</f>
        <v>-5</v>
      </c>
    </row>
    <row r="47">
      <c r="A47" s="80" t="s">
        <v>1657</v>
      </c>
      <c r="B47" s="80" t="s">
        <v>4473</v>
      </c>
      <c r="C47" s="80" t="s">
        <v>4474</v>
      </c>
      <c r="D47" s="18" t="str">
        <f t="shared" si="1"/>
        <v>m^-1 T^-1</v>
      </c>
      <c r="E47" s="60" t="str">
        <f>VLOOKUP($A47,nist_names_ids!A:B,2,false)</f>
        <v>mubshcminv</v>
      </c>
      <c r="F47" s="61">
        <f>countif(Constants!A:A,E47)</f>
        <v>1</v>
      </c>
      <c r="G47" s="60" t="str">
        <f>IFERROR(__xludf.DUMMYFUNCTION("REGEXREPLACE(substitute(substitute(B47,"" "",""""),""..."",""""),""\(.*\)"","""")"),"46.6864515")</f>
        <v>46.6864515</v>
      </c>
      <c r="H47" s="62">
        <f t="shared" si="2"/>
        <v>46.6864515</v>
      </c>
      <c r="I47" s="60" t="str">
        <f>IFERROR(__xludf.DUMMYFUNCTION("if(regexmatch($B47,""\(""),CONCATENATE(regexreplace(REGEXREPLACE(substitute(left($B47,find(""("",$B47)-1),"" "",""""),""\d"",""0""),""[-0]*\."",""0.""), REGEXEXTRACT($B47,""\((.*)\)""),TRIM(REGEXEXTRACT($B47,""\)(.*)""))),"""")"),"0.000000012")</f>
        <v>0.000000012</v>
      </c>
      <c r="J47" s="62">
        <f t="shared" si="3"/>
        <v>0.000000012</v>
      </c>
      <c r="K47" s="62" t="b">
        <f t="shared" si="4"/>
        <v>0</v>
      </c>
      <c r="L47" s="62" t="b">
        <f t="shared" si="5"/>
        <v>0</v>
      </c>
      <c r="M47" s="60" t="str">
        <f>IFERROR(__xludf.DUMMYFUNCTION("if(regexmatch(B47,""e(.*)$""),regexextract(B47,""e(.*)$""),"""")"),"")</f>
        <v/>
      </c>
    </row>
    <row r="48">
      <c r="A48" s="80" t="s">
        <v>1240</v>
      </c>
      <c r="B48" s="80" t="s">
        <v>4418</v>
      </c>
      <c r="C48" s="80" t="s">
        <v>381</v>
      </c>
      <c r="D48" s="18" t="str">
        <f t="shared" si="1"/>
        <v>m</v>
      </c>
      <c r="E48" s="60" t="str">
        <f>VLOOKUP($A48,nist_names_ids!A:B,2,false)</f>
        <v>bohrrada0</v>
      </c>
      <c r="F48" s="61">
        <f>countif(Constants!A:A,E48)</f>
        <v>1</v>
      </c>
      <c r="G48" s="60" t="str">
        <f>IFERROR(__xludf.DUMMYFUNCTION("REGEXREPLACE(substitute(substitute(B48,"" "",""""),""..."",""""),""\(.*\)"","""")"),"0.52917720859e-10")</f>
        <v>0.52917720859e-10</v>
      </c>
      <c r="H48" s="62">
        <f t="shared" si="2"/>
        <v>0</v>
      </c>
      <c r="I48" s="60" t="str">
        <f>IFERROR(__xludf.DUMMYFUNCTION("if(regexmatch($B48,""\(""),CONCATENATE(regexreplace(REGEXREPLACE(substitute(left($B48,find(""("",$B48)-1),"" "",""""),""\d"",""0""),""[-0]*\."",""0.""), REGEXEXTRACT($B48,""\((.*)\)""),TRIM(REGEXEXTRACT($B48,""\)(.*)""))),"""")"),"0.0000000000036e-10")</f>
        <v>0.0000000000036e-10</v>
      </c>
      <c r="J48" s="62">
        <f t="shared" si="3"/>
        <v>0</v>
      </c>
      <c r="K48" s="62" t="b">
        <f t="shared" si="4"/>
        <v>0</v>
      </c>
      <c r="L48" s="62" t="b">
        <f t="shared" si="5"/>
        <v>0</v>
      </c>
      <c r="M48" s="60" t="str">
        <f>IFERROR(__xludf.DUMMYFUNCTION("if(regexmatch(B48,""e(.*)$""),regexextract(B48,""e(.*)$""),"""")"),"-10")</f>
        <v>-10</v>
      </c>
    </row>
    <row r="49">
      <c r="A49" s="80" t="s">
        <v>1258</v>
      </c>
      <c r="B49" s="80" t="s">
        <v>4480</v>
      </c>
      <c r="C49" s="80" t="s">
        <v>4481</v>
      </c>
      <c r="D49" s="18" t="str">
        <f t="shared" si="1"/>
        <v>J K^-1</v>
      </c>
      <c r="E49" s="60" t="str">
        <f>VLOOKUP($A49,nist_names_ids!A:B,2,false)</f>
        <v>k</v>
      </c>
      <c r="F49" s="61">
        <f>countif(Constants!A:A,E49)</f>
        <v>1</v>
      </c>
      <c r="G49" s="60" t="str">
        <f>IFERROR(__xludf.DUMMYFUNCTION("REGEXREPLACE(substitute(substitute(B49,"" "",""""),""..."",""""),""\(.*\)"","""")"),"1.3806504e-23")</f>
        <v>1.3806504e-23</v>
      </c>
      <c r="H49" s="62">
        <f t="shared" si="2"/>
        <v>0</v>
      </c>
      <c r="I49" s="60" t="str">
        <f>IFERROR(__xludf.DUMMYFUNCTION("if(regexmatch($B49,""\(""),CONCATENATE(regexreplace(REGEXREPLACE(substitute(left($B49,find(""("",$B49)-1),"" "",""""),""\d"",""0""),""[-0]*\."",""0.""), REGEXEXTRACT($B49,""\((.*)\)""),TRIM(REGEXEXTRACT($B49,""\)(.*)""))),"""")"),"0.000000024e-23")</f>
        <v>0.000000024e-23</v>
      </c>
      <c r="J49" s="62">
        <f t="shared" si="3"/>
        <v>0</v>
      </c>
      <c r="K49" s="62" t="b">
        <f t="shared" si="4"/>
        <v>0</v>
      </c>
      <c r="L49" s="62" t="b">
        <f t="shared" si="5"/>
        <v>0</v>
      </c>
      <c r="M49" s="60" t="str">
        <f>IFERROR(__xludf.DUMMYFUNCTION("if(regexmatch(B49,""e(.*)$""),regexextract(B49,""e(.*)$""),"""")"),"-23")</f>
        <v>-23</v>
      </c>
    </row>
    <row r="50">
      <c r="A50" s="80" t="s">
        <v>1301</v>
      </c>
      <c r="B50" s="80" t="s">
        <v>4485</v>
      </c>
      <c r="C50" s="80" t="s">
        <v>4487</v>
      </c>
      <c r="D50" s="18" t="str">
        <f t="shared" si="1"/>
        <v>Hz K^-1</v>
      </c>
      <c r="E50" s="60" t="str">
        <f>VLOOKUP($A50,nist_names_ids!A:B,2,false)</f>
        <v>kshhz</v>
      </c>
      <c r="F50" s="61">
        <f>countif(Constants!A:A,E50)</f>
        <v>1</v>
      </c>
      <c r="G50" s="60" t="str">
        <f>IFERROR(__xludf.DUMMYFUNCTION("REGEXREPLACE(substitute(substitute(B50,"" "",""""),""..."",""""),""\(.*\)"","""")"),"2.0836644e10")</f>
        <v>2.0836644e10</v>
      </c>
      <c r="H50" s="62">
        <f t="shared" si="2"/>
        <v>20836644000</v>
      </c>
      <c r="I50" s="60" t="str">
        <f>IFERROR(__xludf.DUMMYFUNCTION("if(regexmatch($B50,""\(""),CONCATENATE(regexreplace(REGEXREPLACE(substitute(left($B50,find(""("",$B50)-1),"" "",""""),""\d"",""0""),""[-0]*\."",""0.""), REGEXEXTRACT($B50,""\((.*)\)""),TRIM(REGEXEXTRACT($B50,""\)(.*)""))),"""")"),"0.000000036e10")</f>
        <v>0.000000036e10</v>
      </c>
      <c r="J50" s="62">
        <f t="shared" si="3"/>
        <v>360</v>
      </c>
      <c r="K50" s="62" t="b">
        <f t="shared" si="4"/>
        <v>0</v>
      </c>
      <c r="L50" s="62" t="b">
        <f t="shared" si="5"/>
        <v>0</v>
      </c>
      <c r="M50" s="60" t="str">
        <f>IFERROR(__xludf.DUMMYFUNCTION("if(regexmatch(B50,""e(.*)$""),regexextract(B50,""e(.*)$""),"""")"),"10")</f>
        <v>10</v>
      </c>
    </row>
    <row r="51">
      <c r="A51" s="80" t="s">
        <v>1279</v>
      </c>
      <c r="B51" s="80" t="s">
        <v>4490</v>
      </c>
      <c r="C51" s="80" t="s">
        <v>4491</v>
      </c>
      <c r="D51" s="18" t="str">
        <f t="shared" si="1"/>
        <v>eV K^-1</v>
      </c>
      <c r="E51" s="60" t="str">
        <f>VLOOKUP($A51,nist_names_ids!A:B,2,false)</f>
        <v>tkev</v>
      </c>
      <c r="F51" s="61">
        <f>countif(Constants!A:A,E51)</f>
        <v>1</v>
      </c>
      <c r="G51" s="60" t="str">
        <f>IFERROR(__xludf.DUMMYFUNCTION("REGEXREPLACE(substitute(substitute(B51,"" "",""""),""..."",""""),""\(.*\)"","""")"),"8.617343e-5")</f>
        <v>8.617343e-5</v>
      </c>
      <c r="H51" s="62">
        <f t="shared" si="2"/>
        <v>0.00008617343</v>
      </c>
      <c r="I51" s="60" t="str">
        <f>IFERROR(__xludf.DUMMYFUNCTION("if(regexmatch($B51,""\(""),CONCATENATE(regexreplace(REGEXREPLACE(substitute(left($B51,find(""("",$B51)-1),"" "",""""),""\d"",""0""),""[-0]*\."",""0.""), REGEXEXTRACT($B51,""\((.*)\)""),TRIM(REGEXEXTRACT($B51,""\)(.*)""))),"""")"),"0.00000015e-5")</f>
        <v>0.00000015e-5</v>
      </c>
      <c r="J51" s="62">
        <f t="shared" si="3"/>
        <v>0</v>
      </c>
      <c r="K51" s="62" t="b">
        <f t="shared" si="4"/>
        <v>0</v>
      </c>
      <c r="L51" s="62" t="b">
        <f t="shared" si="5"/>
        <v>0</v>
      </c>
      <c r="M51" s="60" t="str">
        <f>IFERROR(__xludf.DUMMYFUNCTION("if(regexmatch(B51,""e(.*)$""),regexextract(B51,""e(.*)$""),"""")"),"-5")</f>
        <v>-5</v>
      </c>
    </row>
    <row r="52">
      <c r="A52" s="80" t="s">
        <v>1691</v>
      </c>
      <c r="B52" s="80" t="s">
        <v>4517</v>
      </c>
      <c r="C52" s="80" t="s">
        <v>4518</v>
      </c>
      <c r="D52" s="18" t="str">
        <f t="shared" si="1"/>
        <v>m^-1 K^-1</v>
      </c>
      <c r="E52" s="60" t="str">
        <f>VLOOKUP($A52,nist_names_ids!A:B,2,false)</f>
        <v>kshcminv</v>
      </c>
      <c r="F52" s="61">
        <f>countif(Constants!A:A,E52)</f>
        <v>1</v>
      </c>
      <c r="G52" s="60" t="str">
        <f>IFERROR(__xludf.DUMMYFUNCTION("REGEXREPLACE(substitute(substitute(B52,"" "",""""),""..."",""""),""\(.*\)"","""")"),"69.50356")</f>
        <v>69.50356</v>
      </c>
      <c r="H52" s="62">
        <f t="shared" si="2"/>
        <v>69.50356</v>
      </c>
      <c r="I52" s="60" t="str">
        <f>IFERROR(__xludf.DUMMYFUNCTION("if(regexmatch($B52,""\(""),CONCATENATE(regexreplace(REGEXREPLACE(substitute(left($B52,find(""("",$B52)-1),"" "",""""),""\d"",""0""),""[-0]*\."",""0.""), REGEXEXTRACT($B52,""\((.*)\)""),TRIM(REGEXEXTRACT($B52,""\)(.*)""))),"""")"),"0.0000012")</f>
        <v>0.0000012</v>
      </c>
      <c r="J52" s="62">
        <f t="shared" si="3"/>
        <v>0.0000012</v>
      </c>
      <c r="K52" s="62" t="b">
        <f t="shared" si="4"/>
        <v>0</v>
      </c>
      <c r="L52" s="62" t="b">
        <f t="shared" si="5"/>
        <v>0</v>
      </c>
      <c r="M52" s="60" t="str">
        <f>IFERROR(__xludf.DUMMYFUNCTION("if(regexmatch(B52,""e(.*)$""),regexextract(B52,""e(.*)$""),"""")"),"")</f>
        <v/>
      </c>
    </row>
    <row r="53">
      <c r="A53" s="80" t="s">
        <v>1335</v>
      </c>
      <c r="B53" s="80" t="s">
        <v>4521</v>
      </c>
      <c r="C53" s="80" t="s">
        <v>506</v>
      </c>
      <c r="D53" s="18" t="str">
        <f t="shared" si="1"/>
        <v>Ohm</v>
      </c>
      <c r="E53" s="60" t="str">
        <f>VLOOKUP($A53,nist_names_ids!A:B,2,false)</f>
        <v>z0</v>
      </c>
      <c r="F53" s="61">
        <f>countif(Constants!A:A,E53)</f>
        <v>1</v>
      </c>
      <c r="G53" s="60" t="str">
        <f>IFERROR(__xludf.DUMMYFUNCTION("REGEXREPLACE(substitute(substitute(B53,"" "",""""),""..."",""""),""\(.*\)"","""")"),"376.730313461")</f>
        <v>376.730313461</v>
      </c>
      <c r="H53" s="62">
        <f t="shared" si="2"/>
        <v>376.7303135</v>
      </c>
      <c r="I53" s="60" t="str">
        <f>IFERROR(__xludf.DUMMYFUNCTION("if(regexmatch($B53,""\(""),CONCATENATE(regexreplace(REGEXREPLACE(substitute(left($B53,find(""("",$B53)-1),"" "",""""),""\d"",""0""),""[-0]*\."",""0.""), REGEXEXTRACT($B53,""\((.*)\)""),TRIM(REGEXEXTRACT($B53,""\)(.*)""))),"""")"),"")</f>
        <v/>
      </c>
      <c r="J53" s="62" t="str">
        <f t="shared" si="3"/>
        <v/>
      </c>
      <c r="K53" s="62" t="b">
        <f t="shared" si="4"/>
        <v>0</v>
      </c>
      <c r="L53" s="62" t="b">
        <f t="shared" si="5"/>
        <v>1</v>
      </c>
      <c r="M53" s="60" t="str">
        <f>IFERROR(__xludf.DUMMYFUNCTION("if(regexmatch(B53,""e(.*)$""),regexextract(B53,""e(.*)$""),"""")"),"")</f>
        <v/>
      </c>
    </row>
    <row r="54">
      <c r="A54" s="80" t="s">
        <v>1351</v>
      </c>
      <c r="B54" s="80" t="s">
        <v>4525</v>
      </c>
      <c r="C54" s="80" t="s">
        <v>381</v>
      </c>
      <c r="D54" s="18" t="str">
        <f t="shared" si="1"/>
        <v>m</v>
      </c>
      <c r="E54" s="60" t="str">
        <f>VLOOKUP($A54,nist_names_ids!A:B,2,false)</f>
        <v>re</v>
      </c>
      <c r="F54" s="61">
        <f>countif(Constants!A:A,E54)</f>
        <v>1</v>
      </c>
      <c r="G54" s="60" t="str">
        <f>IFERROR(__xludf.DUMMYFUNCTION("REGEXREPLACE(substitute(substitute(B54,"" "",""""),""..."",""""),""\(.*\)"","""")"),"2.8179402894e-15")</f>
        <v>2.8179402894e-15</v>
      </c>
      <c r="H54" s="62">
        <f t="shared" si="2"/>
        <v>0</v>
      </c>
      <c r="I54" s="60" t="str">
        <f>IFERROR(__xludf.DUMMYFUNCTION("if(regexmatch($B54,""\(""),CONCATENATE(regexreplace(REGEXREPLACE(substitute(left($B54,find(""("",$B54)-1),"" "",""""),""\d"",""0""),""[-0]*\."",""0.""), REGEXEXTRACT($B54,""\((.*)\)""),TRIM(REGEXEXTRACT($B54,""\)(.*)""))),"""")"),"0.000000000058e-15")</f>
        <v>0.000000000058e-15</v>
      </c>
      <c r="J54" s="62">
        <f t="shared" si="3"/>
        <v>0</v>
      </c>
      <c r="K54" s="62" t="b">
        <f t="shared" si="4"/>
        <v>0</v>
      </c>
      <c r="L54" s="62" t="b">
        <f t="shared" si="5"/>
        <v>0</v>
      </c>
      <c r="M54" s="60" t="str">
        <f>IFERROR(__xludf.DUMMYFUNCTION("if(regexmatch(B54,""e(.*)$""),regexextract(B54,""e(.*)$""),"""")"),"-15")</f>
        <v>-15</v>
      </c>
    </row>
    <row r="55">
      <c r="A55" s="80" t="s">
        <v>1371</v>
      </c>
      <c r="B55" s="80" t="s">
        <v>4528</v>
      </c>
      <c r="C55" s="80" t="s">
        <v>381</v>
      </c>
      <c r="D55" s="18" t="str">
        <f t="shared" si="1"/>
        <v>m</v>
      </c>
      <c r="E55" s="60" t="str">
        <f>VLOOKUP($A55,nist_names_ids!A:B,2,false)</f>
        <v>ecomwl</v>
      </c>
      <c r="F55" s="61">
        <f>countif(Constants!A:A,E55)</f>
        <v>1</v>
      </c>
      <c r="G55" s="60" t="str">
        <f>IFERROR(__xludf.DUMMYFUNCTION("REGEXREPLACE(substitute(substitute(B55,"" "",""""),""..."",""""),""\(.*\)"","""")"),"2.4263102175e-12")</f>
        <v>2.4263102175e-12</v>
      </c>
      <c r="H55" s="62">
        <f t="shared" si="2"/>
        <v>0</v>
      </c>
      <c r="I55" s="60" t="str">
        <f>IFERROR(__xludf.DUMMYFUNCTION("if(regexmatch($B55,""\(""),CONCATENATE(regexreplace(REGEXREPLACE(substitute(left($B55,find(""("",$B55)-1),"" "",""""),""\d"",""0""),""[-0]*\."",""0.""), REGEXEXTRACT($B55,""\((.*)\)""),TRIM(REGEXEXTRACT($B55,""\)(.*)""))),"""")"),"0.000000000033e-12")</f>
        <v>0.000000000033e-12</v>
      </c>
      <c r="J55" s="62">
        <f t="shared" si="3"/>
        <v>0</v>
      </c>
      <c r="K55" s="62" t="b">
        <f t="shared" si="4"/>
        <v>0</v>
      </c>
      <c r="L55" s="62" t="b">
        <f t="shared" si="5"/>
        <v>0</v>
      </c>
      <c r="M55" s="60" t="str">
        <f>IFERROR(__xludf.DUMMYFUNCTION("if(regexmatch(B55,""e(.*)$""),regexextract(B55,""e(.*)$""),"""")"),"-12")</f>
        <v>-12</v>
      </c>
    </row>
    <row r="56">
      <c r="A56" s="80" t="s">
        <v>1711</v>
      </c>
      <c r="B56" s="80" t="s">
        <v>4530</v>
      </c>
      <c r="C56" s="80" t="s">
        <v>381</v>
      </c>
      <c r="D56" s="18" t="str">
        <f t="shared" si="1"/>
        <v>m</v>
      </c>
      <c r="E56" s="60" t="str">
        <f>VLOOKUP($A56,nist_names_ids!A:B,2,false)</f>
        <v>ecomwlbar</v>
      </c>
      <c r="F56" s="61">
        <f>countif(Constants!A:A,E56)</f>
        <v>1</v>
      </c>
      <c r="G56" s="60" t="str">
        <f>IFERROR(__xludf.DUMMYFUNCTION("REGEXREPLACE(substitute(substitute(B56,"" "",""""),""..."",""""),""\(.*\)"","""")"),"386.15926459e-15")</f>
        <v>386.15926459e-15</v>
      </c>
      <c r="H56" s="62">
        <f t="shared" si="2"/>
        <v>0</v>
      </c>
      <c r="I56" s="60" t="str">
        <f>IFERROR(__xludf.DUMMYFUNCTION("if(regexmatch($B56,""\(""),CONCATENATE(regexreplace(REGEXREPLACE(substitute(left($B56,find(""("",$B56)-1),"" "",""""),""\d"",""0""),""[-0]*\."",""0.""), REGEXEXTRACT($B56,""\((.*)\)""),TRIM(REGEXEXTRACT($B56,""\)(.*)""))),"""")"),"0.0000000053e-15")</f>
        <v>0.0000000053e-15</v>
      </c>
      <c r="J56" s="62">
        <f t="shared" si="3"/>
        <v>0</v>
      </c>
      <c r="K56" s="62" t="b">
        <f t="shared" si="4"/>
        <v>0</v>
      </c>
      <c r="L56" s="62" t="b">
        <f t="shared" si="5"/>
        <v>0</v>
      </c>
      <c r="M56" s="60" t="str">
        <f>IFERROR(__xludf.DUMMYFUNCTION("if(regexmatch(B56,""e(.*)$""),regexextract(B56,""e(.*)$""),"""")"),"-15")</f>
        <v>-15</v>
      </c>
    </row>
    <row r="57">
      <c r="A57" s="80" t="s">
        <v>1388</v>
      </c>
      <c r="B57" s="80" t="s">
        <v>4532</v>
      </c>
      <c r="C57" s="80" t="s">
        <v>526</v>
      </c>
      <c r="D57" s="18" t="str">
        <f t="shared" si="1"/>
        <v>S</v>
      </c>
      <c r="E57" s="60" t="str">
        <f>VLOOKUP($A57,nist_names_ids!A:B,2,false)</f>
        <v>conqu2e2sh</v>
      </c>
      <c r="F57" s="61">
        <f>countif(Constants!A:A,E57)</f>
        <v>1</v>
      </c>
      <c r="G57" s="60" t="str">
        <f>IFERROR(__xludf.DUMMYFUNCTION("REGEXREPLACE(substitute(substitute(B57,"" "",""""),""..."",""""),""\(.*\)"","""")"),"7.7480917004e-5")</f>
        <v>7.7480917004e-5</v>
      </c>
      <c r="H57" s="62">
        <f t="shared" si="2"/>
        <v>0.000077480917</v>
      </c>
      <c r="I57" s="60" t="str">
        <f>IFERROR(__xludf.DUMMYFUNCTION("if(regexmatch($B57,""\(""),CONCATENATE(regexreplace(REGEXREPLACE(substitute(left($B57,find(""("",$B57)-1),"" "",""""),""\d"",""0""),""[-0]*\."",""0.""), REGEXEXTRACT($B57,""\((.*)\)""),TRIM(REGEXEXTRACT($B57,""\)(.*)""))),"""")"),"0.000000000053e-5")</f>
        <v>0.000000000053e-5</v>
      </c>
      <c r="J57" s="62">
        <f t="shared" si="3"/>
        <v>0</v>
      </c>
      <c r="K57" s="62" t="b">
        <f t="shared" si="4"/>
        <v>0</v>
      </c>
      <c r="L57" s="62" t="b">
        <f t="shared" si="5"/>
        <v>0</v>
      </c>
      <c r="M57" s="60" t="str">
        <f>IFERROR(__xludf.DUMMYFUNCTION("if(regexmatch(B57,""e(.*)$""),regexextract(B57,""e(.*)$""),"""")"),"-5")</f>
        <v>-5</v>
      </c>
    </row>
    <row r="58">
      <c r="A58" s="80" t="s">
        <v>1445</v>
      </c>
      <c r="B58" s="80" t="s">
        <v>1718</v>
      </c>
      <c r="C58" s="80" t="s">
        <v>4534</v>
      </c>
      <c r="D58" s="18" t="str">
        <f t="shared" si="1"/>
        <v>Hz V^-1</v>
      </c>
      <c r="E58" s="60" t="str">
        <f>VLOOKUP($A58,nist_names_ids!A:B,2,false)</f>
        <v>kj90</v>
      </c>
      <c r="F58" s="61">
        <f>countif(Constants!A:A,E58)</f>
        <v>1</v>
      </c>
      <c r="G58" s="60" t="str">
        <f>IFERROR(__xludf.DUMMYFUNCTION("REGEXREPLACE(substitute(substitute(B58,"" "",""""),""..."",""""),""\(.*\)"","""")"),"483597.9e9")</f>
        <v>483597.9e9</v>
      </c>
      <c r="H58" s="62">
        <f t="shared" si="2"/>
        <v>483597900000000</v>
      </c>
      <c r="I58" s="60" t="str">
        <f>IFERROR(__xludf.DUMMYFUNCTION("if(regexmatch($B58,""\(""),CONCATENATE(regexreplace(REGEXREPLACE(substitute(left($B58,find(""("",$B58)-1),"" "",""""),""\d"",""0""),""[-0]*\."",""0.""), REGEXEXTRACT($B58,""\((.*)\)""),TRIM(REGEXEXTRACT($B58,""\)(.*)""))),"""")"),"")</f>
        <v/>
      </c>
      <c r="J58" s="62" t="str">
        <f t="shared" si="3"/>
        <v/>
      </c>
      <c r="K58" s="62" t="b">
        <f t="shared" si="4"/>
        <v>0</v>
      </c>
      <c r="L58" s="62" t="b">
        <f t="shared" si="5"/>
        <v>0</v>
      </c>
      <c r="M58" s="60" t="str">
        <f>IFERROR(__xludf.DUMMYFUNCTION("if(regexmatch(B58,""e(.*)$""),regexextract(B58,""e(.*)$""),"""")"),"9")</f>
        <v>9</v>
      </c>
    </row>
    <row r="59">
      <c r="A59" s="80" t="s">
        <v>1722</v>
      </c>
      <c r="B59" s="80" t="s">
        <v>1723</v>
      </c>
      <c r="C59" s="80" t="s">
        <v>506</v>
      </c>
      <c r="D59" s="18" t="str">
        <f t="shared" si="1"/>
        <v>Ohm</v>
      </c>
      <c r="E59" s="60" t="str">
        <f>VLOOKUP($A59,nist_names_ids!A:B,2,false)</f>
        <v>rk90</v>
      </c>
      <c r="F59" s="61">
        <f>countif(Constants!A:A,E59)</f>
        <v>1</v>
      </c>
      <c r="G59" s="60" t="str">
        <f>IFERROR(__xludf.DUMMYFUNCTION("REGEXREPLACE(substitute(substitute(B59,"" "",""""),""..."",""""),""\(.*\)"","""")"),"25812.807")</f>
        <v>25812.807</v>
      </c>
      <c r="H59" s="62">
        <f t="shared" si="2"/>
        <v>25812.807</v>
      </c>
      <c r="I59" s="60" t="str">
        <f>IFERROR(__xludf.DUMMYFUNCTION("if(regexmatch($B59,""\(""),CONCATENATE(regexreplace(REGEXREPLACE(substitute(left($B59,find(""("",$B59)-1),"" "",""""),""\d"",""0""),""[-0]*\."",""0.""), REGEXEXTRACT($B59,""\((.*)\)""),TRIM(REGEXEXTRACT($B59,""\)(.*)""))),"""")"),"")</f>
        <v/>
      </c>
      <c r="J59" s="62" t="str">
        <f t="shared" si="3"/>
        <v/>
      </c>
      <c r="K59" s="62" t="b">
        <f t="shared" si="4"/>
        <v>0</v>
      </c>
      <c r="L59" s="62" t="b">
        <f t="shared" si="5"/>
        <v>0</v>
      </c>
      <c r="M59" s="60" t="str">
        <f>IFERROR(__xludf.DUMMYFUNCTION("if(regexmatch(B59,""e(.*)$""),regexextract(B59,""e(.*)$""),"""")"),"")</f>
        <v/>
      </c>
    </row>
    <row r="60">
      <c r="A60" s="80" t="s">
        <v>1824</v>
      </c>
      <c r="B60" s="80" t="s">
        <v>4539</v>
      </c>
      <c r="C60" s="80" t="s">
        <v>381</v>
      </c>
      <c r="D60" s="18" t="str">
        <f t="shared" si="1"/>
        <v>m</v>
      </c>
      <c r="E60" s="60" t="str">
        <f>VLOOKUP($A60,nist_names_ids!A:B,2,false)</f>
        <v>xucukalph1</v>
      </c>
      <c r="F60" s="61">
        <f>countif(Constants!A:A,E60)</f>
        <v>1</v>
      </c>
      <c r="G60" s="60" t="str">
        <f>IFERROR(__xludf.DUMMYFUNCTION("REGEXREPLACE(substitute(substitute(B60,"" "",""""),""..."",""""),""\(.*\)"","""")"),"1.00207699e-13")</f>
        <v>1.00207699e-13</v>
      </c>
      <c r="H60" s="62">
        <f t="shared" si="2"/>
        <v>0</v>
      </c>
      <c r="I60" s="60" t="str">
        <f>IFERROR(__xludf.DUMMYFUNCTION("if(regexmatch($B60,""\(""),CONCATENATE(regexreplace(REGEXREPLACE(substitute(left($B60,find(""("",$B60)-1),"" "",""""),""\d"",""0""),""[-0]*\."",""0.""), REGEXEXTRACT($B60,""\((.*)\)""),TRIM(REGEXEXTRACT($B60,""\)(.*)""))),"""")"),"0.0000000028e-13")</f>
        <v>0.0000000028e-13</v>
      </c>
      <c r="J60" s="62">
        <f t="shared" si="3"/>
        <v>0</v>
      </c>
      <c r="K60" s="62" t="b">
        <f t="shared" si="4"/>
        <v>0</v>
      </c>
      <c r="L60" s="62" t="b">
        <f t="shared" si="5"/>
        <v>0</v>
      </c>
      <c r="M60" s="60" t="str">
        <f>IFERROR(__xludf.DUMMYFUNCTION("if(regexmatch(B60,""e(.*)$""),regexextract(B60,""e(.*)$""),"""")"),"-13")</f>
        <v>-13</v>
      </c>
    </row>
    <row r="61">
      <c r="A61" s="80" t="s">
        <v>1551</v>
      </c>
      <c r="B61" s="80" t="s">
        <v>4540</v>
      </c>
      <c r="C61" s="80"/>
      <c r="D61" s="18" t="str">
        <f t="shared" si="1"/>
        <v/>
      </c>
      <c r="E61" s="60" t="str">
        <f>VLOOKUP($A61,nist_names_ids!A:B,2,false)</f>
        <v>gdn</v>
      </c>
      <c r="F61" s="61">
        <f>countif(Constants!A:A,E61)</f>
        <v>1</v>
      </c>
      <c r="G61" s="60" t="str">
        <f>IFERROR(__xludf.DUMMYFUNCTION("REGEXREPLACE(substitute(substitute(B61,"" "",""""),""..."",""""),""\(.*\)"","""")"),"0.8574382308")</f>
        <v>0.8574382308</v>
      </c>
      <c r="H61" s="62">
        <f t="shared" si="2"/>
        <v>0.8574382308</v>
      </c>
      <c r="I61" s="60" t="str">
        <f>IFERROR(__xludf.DUMMYFUNCTION("if(regexmatch($B61,""\(""),CONCATENATE(regexreplace(REGEXREPLACE(substitute(left($B61,find(""("",$B61)-1),"" "",""""),""\d"",""0""),""[-0]*\."",""0.""), REGEXEXTRACT($B61,""\((.*)\)""),TRIM(REGEXEXTRACT($B61,""\)(.*)""))),"""")"),"0.000000000072")</f>
        <v>0.000000000072</v>
      </c>
      <c r="J61" s="62">
        <f t="shared" si="3"/>
        <v>0</v>
      </c>
      <c r="K61" s="62" t="b">
        <f t="shared" si="4"/>
        <v>0</v>
      </c>
      <c r="L61" s="62" t="b">
        <f t="shared" si="5"/>
        <v>0</v>
      </c>
      <c r="M61" s="60" t="str">
        <f>IFERROR(__xludf.DUMMYFUNCTION("if(regexmatch(B61,""e(.*)$""),regexextract(B61,""e(.*)$""),"""")"),"")</f>
        <v/>
      </c>
    </row>
    <row r="62">
      <c r="A62" s="80" t="s">
        <v>1572</v>
      </c>
      <c r="B62" s="80" t="s">
        <v>4542</v>
      </c>
      <c r="C62" s="80" t="s">
        <v>4421</v>
      </c>
      <c r="D62" s="18" t="str">
        <f t="shared" si="1"/>
        <v>J T^-1</v>
      </c>
      <c r="E62" s="60" t="str">
        <f>VLOOKUP($A62,nist_names_ids!A:B,2,false)</f>
        <v>mud</v>
      </c>
      <c r="F62" s="61">
        <f>countif(Constants!A:A,E62)</f>
        <v>1</v>
      </c>
      <c r="G62" s="60" t="str">
        <f>IFERROR(__xludf.DUMMYFUNCTION("REGEXREPLACE(substitute(substitute(B62,"" "",""""),""..."",""""),""\(.*\)"","""")"),"0.433073465e-26")</f>
        <v>0.433073465e-26</v>
      </c>
      <c r="H62" s="62">
        <f t="shared" si="2"/>
        <v>0</v>
      </c>
      <c r="I62" s="60" t="str">
        <f>IFERROR(__xludf.DUMMYFUNCTION("if(regexmatch($B62,""\(""),CONCATENATE(regexreplace(REGEXREPLACE(substitute(left($B62,find(""("",$B62)-1),"" "",""""),""\d"",""0""),""[-0]*\."",""0.""), REGEXEXTRACT($B62,""\((.*)\)""),TRIM(REGEXEXTRACT($B62,""\)(.*)""))),"""")"),"0.00000000011e-26")</f>
        <v>0.00000000011e-26</v>
      </c>
      <c r="J62" s="62">
        <f t="shared" si="3"/>
        <v>0</v>
      </c>
      <c r="K62" s="62" t="b">
        <f t="shared" si="4"/>
        <v>0</v>
      </c>
      <c r="L62" s="62" t="b">
        <f t="shared" si="5"/>
        <v>0</v>
      </c>
      <c r="M62" s="60" t="str">
        <f>IFERROR(__xludf.DUMMYFUNCTION("if(regexmatch(B62,""e(.*)$""),regexextract(B62,""e(.*)$""),"""")"),"-26")</f>
        <v>-26</v>
      </c>
    </row>
    <row r="63">
      <c r="A63" s="80" t="s">
        <v>1588</v>
      </c>
      <c r="B63" s="80" t="s">
        <v>4547</v>
      </c>
      <c r="C63" s="80"/>
      <c r="D63" s="18" t="str">
        <f t="shared" si="1"/>
        <v/>
      </c>
      <c r="E63" s="60" t="str">
        <f>VLOOKUP($A63,nist_names_ids!A:B,2,false)</f>
        <v>mudsmub</v>
      </c>
      <c r="F63" s="61">
        <f>countif(Constants!A:A,E63)</f>
        <v>1</v>
      </c>
      <c r="G63" s="60" t="str">
        <f>IFERROR(__xludf.DUMMYFUNCTION("REGEXREPLACE(substitute(substitute(B63,"" "",""""),""..."",""""),""\(.*\)"","""")"),"0.4669754556e-3")</f>
        <v>0.4669754556e-3</v>
      </c>
      <c r="H63" s="62">
        <f t="shared" si="2"/>
        <v>0.0004669754556</v>
      </c>
      <c r="I63" s="60" t="str">
        <f>IFERROR(__xludf.DUMMYFUNCTION("if(regexmatch($B63,""\(""),CONCATENATE(regexreplace(REGEXREPLACE(substitute(left($B63,find(""("",$B63)-1),"" "",""""),""\d"",""0""),""[-0]*\."",""0.""), REGEXEXTRACT($B63,""\((.*)\)""),TRIM(REGEXEXTRACT($B63,""\)(.*)""))),"""")"),"0.000000000039e-3")</f>
        <v>0.000000000039e-3</v>
      </c>
      <c r="J63" s="62">
        <f t="shared" si="3"/>
        <v>0</v>
      </c>
      <c r="K63" s="62" t="b">
        <f t="shared" si="4"/>
        <v>0</v>
      </c>
      <c r="L63" s="62" t="b">
        <f t="shared" si="5"/>
        <v>0</v>
      </c>
      <c r="M63" s="60" t="str">
        <f>IFERROR(__xludf.DUMMYFUNCTION("if(regexmatch(B63,""e(.*)$""),regexextract(B63,""e(.*)$""),"""")"),"-3")</f>
        <v>-3</v>
      </c>
    </row>
    <row r="64">
      <c r="A64" s="80" t="s">
        <v>1600</v>
      </c>
      <c r="B64" s="80" t="s">
        <v>4540</v>
      </c>
      <c r="C64" s="80"/>
      <c r="D64" s="18" t="str">
        <f t="shared" si="1"/>
        <v/>
      </c>
      <c r="E64" s="60" t="str">
        <f>VLOOKUP($A64,nist_names_ids!A:B,2,false)</f>
        <v>mudsmun</v>
      </c>
      <c r="F64" s="61">
        <f>countif(Constants!A:A,E64)</f>
        <v>1</v>
      </c>
      <c r="G64" s="60" t="str">
        <f>IFERROR(__xludf.DUMMYFUNCTION("REGEXREPLACE(substitute(substitute(B64,"" "",""""),""..."",""""),""\(.*\)"","""")"),"0.8574382308")</f>
        <v>0.8574382308</v>
      </c>
      <c r="H64" s="62">
        <f t="shared" si="2"/>
        <v>0.8574382308</v>
      </c>
      <c r="I64" s="60" t="str">
        <f>IFERROR(__xludf.DUMMYFUNCTION("if(regexmatch($B64,""\(""),CONCATENATE(regexreplace(REGEXREPLACE(substitute(left($B64,find(""("",$B64)-1),"" "",""""),""\d"",""0""),""[-0]*\."",""0.""), REGEXEXTRACT($B64,""\((.*)\)""),TRIM(REGEXEXTRACT($B64,""\)(.*)""))),"""")"),"0.000000000072")</f>
        <v>0.000000000072</v>
      </c>
      <c r="J64" s="62">
        <f t="shared" si="3"/>
        <v>0</v>
      </c>
      <c r="K64" s="62" t="b">
        <f t="shared" si="4"/>
        <v>0</v>
      </c>
      <c r="L64" s="62" t="b">
        <f t="shared" si="5"/>
        <v>0</v>
      </c>
      <c r="M64" s="60" t="str">
        <f>IFERROR(__xludf.DUMMYFUNCTION("if(regexmatch(B64,""e(.*)$""),regexextract(B64,""e(.*)$""),"""")"),"")</f>
        <v/>
      </c>
    </row>
    <row r="65">
      <c r="A65" s="80" t="s">
        <v>1609</v>
      </c>
      <c r="B65" s="80" t="s">
        <v>4552</v>
      </c>
      <c r="C65" s="80" t="s">
        <v>98</v>
      </c>
      <c r="D65" s="18" t="str">
        <f t="shared" si="1"/>
        <v>kg</v>
      </c>
      <c r="E65" s="60" t="str">
        <f>VLOOKUP($A65,nist_names_ids!A:B,2,false)</f>
        <v>md</v>
      </c>
      <c r="F65" s="61">
        <f>countif(Constants!A:A,E65)</f>
        <v>1</v>
      </c>
      <c r="G65" s="60" t="str">
        <f>IFERROR(__xludf.DUMMYFUNCTION("REGEXREPLACE(substitute(substitute(B65,"" "",""""),""..."",""""),""\(.*\)"","""")"),"3.34358320e-27")</f>
        <v>3.34358320e-27</v>
      </c>
      <c r="H65" s="62">
        <f t="shared" si="2"/>
        <v>0</v>
      </c>
      <c r="I65" s="60" t="str">
        <f>IFERROR(__xludf.DUMMYFUNCTION("if(regexmatch($B65,""\(""),CONCATENATE(regexreplace(REGEXREPLACE(substitute(left($B65,find(""("",$B65)-1),"" "",""""),""\d"",""0""),""[-0]*\."",""0.""), REGEXEXTRACT($B65,""\((.*)\)""),TRIM(REGEXEXTRACT($B65,""\)(.*)""))),"""")"),"0.0000000017e-27")</f>
        <v>0.0000000017e-27</v>
      </c>
      <c r="J65" s="62">
        <f t="shared" si="3"/>
        <v>0</v>
      </c>
      <c r="K65" s="62" t="b">
        <f t="shared" si="4"/>
        <v>0</v>
      </c>
      <c r="L65" s="62" t="b">
        <f t="shared" si="5"/>
        <v>0</v>
      </c>
      <c r="M65" s="60" t="str">
        <f>IFERROR(__xludf.DUMMYFUNCTION("if(regexmatch(B65,""e(.*)$""),regexextract(B65,""e(.*)$""),"""")"),"-27")</f>
        <v>-27</v>
      </c>
    </row>
    <row r="66">
      <c r="A66" s="80" t="s">
        <v>1617</v>
      </c>
      <c r="B66" s="80" t="s">
        <v>4554</v>
      </c>
      <c r="C66" s="80" t="s">
        <v>173</v>
      </c>
      <c r="D66" s="18" t="str">
        <f t="shared" si="1"/>
        <v>J</v>
      </c>
      <c r="E66" s="60" t="str">
        <f>VLOOKUP($A66,nist_names_ids!A:B,2,false)</f>
        <v>mdc2</v>
      </c>
      <c r="F66" s="61">
        <f>countif(Constants!A:A,E66)</f>
        <v>1</v>
      </c>
      <c r="G66" s="60" t="str">
        <f>IFERROR(__xludf.DUMMYFUNCTION("REGEXREPLACE(substitute(substitute(B66,"" "",""""),""..."",""""),""\(.*\)"","""")"),"3.00506272e-10")</f>
        <v>3.00506272e-10</v>
      </c>
      <c r="H66" s="62">
        <f t="shared" si="2"/>
        <v>0.000000000300506272</v>
      </c>
      <c r="I66" s="60" t="str">
        <f>IFERROR(__xludf.DUMMYFUNCTION("if(regexmatch($B66,""\(""),CONCATENATE(regexreplace(REGEXREPLACE(substitute(left($B66,find(""("",$B66)-1),"" "",""""),""\d"",""0""),""[-0]*\."",""0.""), REGEXEXTRACT($B66,""\((.*)\)""),TRIM(REGEXEXTRACT($B66,""\)(.*)""))),"""")"),"0.0000000015e-10")</f>
        <v>0.0000000015e-10</v>
      </c>
      <c r="J66" s="62">
        <f t="shared" si="3"/>
        <v>0</v>
      </c>
      <c r="K66" s="62" t="b">
        <f t="shared" si="4"/>
        <v>0</v>
      </c>
      <c r="L66" s="62" t="b">
        <f t="shared" si="5"/>
        <v>0</v>
      </c>
      <c r="M66" s="60" t="str">
        <f>IFERROR(__xludf.DUMMYFUNCTION("if(regexmatch(B66,""e(.*)$""),regexextract(B66,""e(.*)$""),"""")"),"-10")</f>
        <v>-10</v>
      </c>
    </row>
    <row r="67">
      <c r="A67" s="80" t="s">
        <v>1632</v>
      </c>
      <c r="B67" s="80" t="s">
        <v>4558</v>
      </c>
      <c r="C67" s="80" t="s">
        <v>224</v>
      </c>
      <c r="D67" s="18" t="str">
        <f t="shared" si="1"/>
        <v>MeV</v>
      </c>
      <c r="E67" s="60" t="str">
        <f>VLOOKUP($A67,nist_names_ids!A:B,2,false)</f>
        <v>mdc2mev</v>
      </c>
      <c r="F67" s="61">
        <f>countif(Constants!A:A,E67)</f>
        <v>1</v>
      </c>
      <c r="G67" s="60" t="str">
        <f>IFERROR(__xludf.DUMMYFUNCTION("REGEXREPLACE(substitute(substitute(B67,"" "",""""),""..."",""""),""\(.*\)"","""")"),"1875.612793")</f>
        <v>1875.612793</v>
      </c>
      <c r="H67" s="62">
        <f t="shared" si="2"/>
        <v>1875.612793</v>
      </c>
      <c r="I67" s="60" t="str">
        <f>IFERROR(__xludf.DUMMYFUNCTION("if(regexmatch($B67,""\(""),CONCATENATE(regexreplace(REGEXREPLACE(substitute(left($B67,find(""("",$B67)-1),"" "",""""),""\d"",""0""),""[-0]*\."",""0.""), REGEXEXTRACT($B67,""\((.*)\)""),TRIM(REGEXEXTRACT($B67,""\)(.*)""))),"""")"),"0.00000047")</f>
        <v>0.00000047</v>
      </c>
      <c r="J67" s="62">
        <f t="shared" si="3"/>
        <v>0.00000047</v>
      </c>
      <c r="K67" s="62" t="b">
        <f t="shared" si="4"/>
        <v>0</v>
      </c>
      <c r="L67" s="62" t="b">
        <f t="shared" si="5"/>
        <v>0</v>
      </c>
      <c r="M67" s="60" t="str">
        <f>IFERROR(__xludf.DUMMYFUNCTION("if(regexmatch(B67,""e(.*)$""),regexextract(B67,""e(.*)$""),"""")"),"")</f>
        <v/>
      </c>
    </row>
    <row r="68">
      <c r="A68" s="80" t="s">
        <v>1643</v>
      </c>
      <c r="B68" s="80" t="s">
        <v>4559</v>
      </c>
      <c r="C68" s="80" t="s">
        <v>249</v>
      </c>
      <c r="D68" s="18" t="str">
        <f t="shared" si="1"/>
        <v>u</v>
      </c>
      <c r="E68" s="60" t="str">
        <f>VLOOKUP($A68,nist_names_ids!A:B,2,false)</f>
        <v>mdu</v>
      </c>
      <c r="F68" s="61">
        <f>countif(Constants!A:A,E68)</f>
        <v>1</v>
      </c>
      <c r="G68" s="60" t="str">
        <f>IFERROR(__xludf.DUMMYFUNCTION("REGEXREPLACE(substitute(substitute(B68,"" "",""""),""..."",""""),""\(.*\)"","""")"),"2.013553212724")</f>
        <v>2.013553212724</v>
      </c>
      <c r="H68" s="62">
        <f t="shared" si="2"/>
        <v>2.013553213</v>
      </c>
      <c r="I68" s="60" t="str">
        <f>IFERROR(__xludf.DUMMYFUNCTION("if(regexmatch($B68,""\(""),CONCATENATE(regexreplace(REGEXREPLACE(substitute(left($B68,find(""("",$B68)-1),"" "",""""),""\d"",""0""),""[-0]*\."",""0.""), REGEXEXTRACT($B68,""\((.*)\)""),TRIM(REGEXEXTRACT($B68,""\)(.*)""))),"""")"),"0.00000000000078")</f>
        <v>0.00000000000078</v>
      </c>
      <c r="J68" s="62">
        <f t="shared" si="3"/>
        <v>0</v>
      </c>
      <c r="K68" s="62" t="b">
        <f t="shared" si="4"/>
        <v>0</v>
      </c>
      <c r="L68" s="62" t="b">
        <f t="shared" si="5"/>
        <v>0</v>
      </c>
      <c r="M68" s="60" t="str">
        <f>IFERROR(__xludf.DUMMYFUNCTION("if(regexmatch(B68,""e(.*)$""),regexextract(B68,""e(.*)$""),"""")"),"")</f>
        <v/>
      </c>
    </row>
    <row r="69">
      <c r="A69" s="80" t="s">
        <v>1651</v>
      </c>
      <c r="B69" s="80" t="s">
        <v>4565</v>
      </c>
      <c r="C69" s="80" t="s">
        <v>4309</v>
      </c>
      <c r="D69" s="18" t="str">
        <f t="shared" si="1"/>
        <v>kg mol^-1</v>
      </c>
      <c r="E69" s="60" t="str">
        <f>VLOOKUP($A69,nist_names_ids!A:B,2,false)</f>
        <v>mmd</v>
      </c>
      <c r="F69" s="61">
        <f>countif(Constants!A:A,E69)</f>
        <v>1</v>
      </c>
      <c r="G69" s="60" t="str">
        <f>IFERROR(__xludf.DUMMYFUNCTION("REGEXREPLACE(substitute(substitute(B69,"" "",""""),""..."",""""),""\(.*\)"","""")"),"2.013553212724e-3")</f>
        <v>2.013553212724e-3</v>
      </c>
      <c r="H69" s="62">
        <f t="shared" si="2"/>
        <v>0.002013553213</v>
      </c>
      <c r="I69" s="60" t="str">
        <f>IFERROR(__xludf.DUMMYFUNCTION("if(regexmatch($B69,""\(""),CONCATENATE(regexreplace(REGEXREPLACE(substitute(left($B69,find(""("",$B69)-1),"" "",""""),""\d"",""0""),""[-0]*\."",""0.""), REGEXEXTRACT($B69,""\((.*)\)""),TRIM(REGEXEXTRACT($B69,""\)(.*)""))),"""")"),"0.00000000000078e-3")</f>
        <v>0.00000000000078e-3</v>
      </c>
      <c r="J69" s="62">
        <f t="shared" si="3"/>
        <v>0</v>
      </c>
      <c r="K69" s="62" t="b">
        <f t="shared" si="4"/>
        <v>0</v>
      </c>
      <c r="L69" s="62" t="b">
        <f t="shared" si="5"/>
        <v>0</v>
      </c>
      <c r="M69" s="60" t="str">
        <f>IFERROR(__xludf.DUMMYFUNCTION("if(regexmatch(B69,""e(.*)$""),regexextract(B69,""e(.*)$""),"""")"),"-3")</f>
        <v>-3</v>
      </c>
    </row>
    <row r="70">
      <c r="A70" s="80" t="s">
        <v>1681</v>
      </c>
      <c r="B70" s="80" t="s">
        <v>4568</v>
      </c>
      <c r="C70" s="80" t="s">
        <v>381</v>
      </c>
      <c r="D70" s="18" t="str">
        <f t="shared" si="1"/>
        <v>m</v>
      </c>
      <c r="E70" s="60" t="str">
        <f>VLOOKUP($A70,nist_names_ids!A:B,2,false)</f>
        <v>rd</v>
      </c>
      <c r="F70" s="61">
        <f>countif(Constants!A:A,E70)</f>
        <v>1</v>
      </c>
      <c r="G70" s="60" t="str">
        <f>IFERROR(__xludf.DUMMYFUNCTION("REGEXREPLACE(substitute(substitute(B70,"" "",""""),""..."",""""),""\(.*\)"","""")"),"2.1402e-15")</f>
        <v>2.1402e-15</v>
      </c>
      <c r="H70" s="62">
        <f t="shared" si="2"/>
        <v>0</v>
      </c>
      <c r="I70" s="60" t="str">
        <f>IFERROR(__xludf.DUMMYFUNCTION("if(regexmatch($B70,""\(""),CONCATENATE(regexreplace(REGEXREPLACE(substitute(left($B70,find(""("",$B70)-1),"" "",""""),""\d"",""0""),""[-0]*\."",""0.""), REGEXEXTRACT($B70,""\((.*)\)""),TRIM(REGEXEXTRACT($B70,""\)(.*)""))),"""")"),"0.000028e-15")</f>
        <v>0.000028e-15</v>
      </c>
      <c r="J70" s="62">
        <f t="shared" si="3"/>
        <v>0</v>
      </c>
      <c r="K70" s="62" t="b">
        <f t="shared" si="4"/>
        <v>0</v>
      </c>
      <c r="L70" s="62" t="b">
        <f t="shared" si="5"/>
        <v>0</v>
      </c>
      <c r="M70" s="60" t="str">
        <f>IFERROR(__xludf.DUMMYFUNCTION("if(regexmatch(B70,""e(.*)$""),regexextract(B70,""e(.*)$""),"""")"),"-15")</f>
        <v>-15</v>
      </c>
    </row>
    <row r="71">
      <c r="A71" s="80" t="s">
        <v>1985</v>
      </c>
      <c r="B71" s="80" t="s">
        <v>4570</v>
      </c>
      <c r="C71" s="80"/>
      <c r="D71" s="18" t="str">
        <f t="shared" si="1"/>
        <v/>
      </c>
      <c r="E71" s="60" t="str">
        <f>VLOOKUP($A71,nist_names_ids!A:B,2,false)</f>
        <v>mudsmuem</v>
      </c>
      <c r="F71" s="61">
        <f>countif(Constants!A:A,E71)</f>
        <v>1</v>
      </c>
      <c r="G71" s="60" t="str">
        <f>IFERROR(__xludf.DUMMYFUNCTION("REGEXREPLACE(substitute(substitute(B71,"" "",""""),""..."",""""),""\(.*\)"","""")"),"-4.664345537e-4")</f>
        <v>-4.664345537e-4</v>
      </c>
      <c r="H71" s="62">
        <f t="shared" si="2"/>
        <v>-0.0004664345537</v>
      </c>
      <c r="I71" s="60" t="str">
        <f>IFERROR(__xludf.DUMMYFUNCTION("if(regexmatch($B71,""\(""),CONCATENATE(regexreplace(REGEXREPLACE(substitute(left($B71,find(""("",$B71)-1),"" "",""""),""\d"",""0""),""[-0]*\."",""0.""), REGEXEXTRACT($B71,""\((.*)\)""),TRIM(REGEXEXTRACT($B71,""\)(.*)""))),"""")"),"0.00000000039e-4")</f>
        <v>0.00000000039e-4</v>
      </c>
      <c r="J71" s="62">
        <f t="shared" si="3"/>
        <v>0</v>
      </c>
      <c r="K71" s="62" t="b">
        <f t="shared" si="4"/>
        <v>0</v>
      </c>
      <c r="L71" s="62" t="b">
        <f t="shared" si="5"/>
        <v>0</v>
      </c>
      <c r="M71" s="60" t="str">
        <f>IFERROR(__xludf.DUMMYFUNCTION("if(regexmatch(B71,""e(.*)$""),regexextract(B71,""e(.*)$""),"""")"),"-4")</f>
        <v>-4</v>
      </c>
    </row>
    <row r="72">
      <c r="A72" s="80" t="s">
        <v>1738</v>
      </c>
      <c r="B72" s="80" t="s">
        <v>4572</v>
      </c>
      <c r="C72" s="80"/>
      <c r="D72" s="18" t="str">
        <f t="shared" si="1"/>
        <v/>
      </c>
      <c r="E72" s="60" t="str">
        <f>VLOOKUP($A72,nist_names_ids!A:B,2,false)</f>
        <v>mdsme</v>
      </c>
      <c r="F72" s="61">
        <f>countif(Constants!A:A,E72)</f>
        <v>1</v>
      </c>
      <c r="G72" s="60" t="str">
        <f>IFERROR(__xludf.DUMMYFUNCTION("REGEXREPLACE(substitute(substitute(B72,"" "",""""),""..."",""""),""\(.*\)"","""")"),"3670.4829654")</f>
        <v>3670.4829654</v>
      </c>
      <c r="H72" s="62">
        <f t="shared" si="2"/>
        <v>3670.482965</v>
      </c>
      <c r="I72" s="60" t="str">
        <f>IFERROR(__xludf.DUMMYFUNCTION("if(regexmatch($B72,""\(""),CONCATENATE(regexreplace(REGEXREPLACE(substitute(left($B72,find(""("",$B72)-1),"" "",""""),""\d"",""0""),""[-0]*\."",""0.""), REGEXEXTRACT($B72,""\((.*)\)""),TRIM(REGEXEXTRACT($B72,""\)(.*)""))),"""")"),"0.000000016")</f>
        <v>0.000000016</v>
      </c>
      <c r="J72" s="62">
        <f t="shared" si="3"/>
        <v>0.000000016</v>
      </c>
      <c r="K72" s="62" t="b">
        <f t="shared" si="4"/>
        <v>0</v>
      </c>
      <c r="L72" s="62" t="b">
        <f t="shared" si="5"/>
        <v>0</v>
      </c>
      <c r="M72" s="60" t="str">
        <f>IFERROR(__xludf.DUMMYFUNCTION("if(regexmatch(B72,""e(.*)$""),regexextract(B72,""e(.*)$""),"""")"),"")</f>
        <v/>
      </c>
    </row>
    <row r="73">
      <c r="A73" s="80" t="s">
        <v>1994</v>
      </c>
      <c r="B73" s="80" t="s">
        <v>4574</v>
      </c>
      <c r="C73" s="80"/>
      <c r="D73" s="18" t="str">
        <f t="shared" si="1"/>
        <v/>
      </c>
      <c r="E73" s="60" t="str">
        <f>VLOOKUP($A73,nist_names_ids!A:B,2,false)</f>
        <v>mudsmunn</v>
      </c>
      <c r="F73" s="61">
        <f>countif(Constants!A:A,E73)</f>
        <v>1</v>
      </c>
      <c r="G73" s="60" t="str">
        <f>IFERROR(__xludf.DUMMYFUNCTION("REGEXREPLACE(substitute(substitute(B73,"" "",""""),""..."",""""),""\(.*\)"","""")"),"-0.44820652")</f>
        <v>-0.44820652</v>
      </c>
      <c r="H73" s="62">
        <f t="shared" si="2"/>
        <v>-0.44820652</v>
      </c>
      <c r="I73" s="60" t="str">
        <f>IFERROR(__xludf.DUMMYFUNCTION("if(regexmatch($B73,""\(""),CONCATENATE(regexreplace(REGEXREPLACE(substitute(left($B73,find(""("",$B73)-1),"" "",""""),""\d"",""0""),""[-0]*\."",""0.""), REGEXEXTRACT($B73,""\((.*)\)""),TRIM(REGEXEXTRACT($B73,""\)(.*)""))),"""")"),"0.0000000011")</f>
        <v>0.0000000011</v>
      </c>
      <c r="J73" s="62">
        <f t="shared" si="3"/>
        <v>0.0000000011</v>
      </c>
      <c r="K73" s="62" t="b">
        <f t="shared" si="4"/>
        <v>0</v>
      </c>
      <c r="L73" s="62" t="b">
        <f t="shared" si="5"/>
        <v>0</v>
      </c>
      <c r="M73" s="60" t="str">
        <f>IFERROR(__xludf.DUMMYFUNCTION("if(regexmatch(B73,""e(.*)$""),regexextract(B73,""e(.*)$""),"""")"),"")</f>
        <v/>
      </c>
    </row>
    <row r="74">
      <c r="A74" s="80" t="s">
        <v>2016</v>
      </c>
      <c r="B74" s="80" t="s">
        <v>4576</v>
      </c>
      <c r="C74" s="80"/>
      <c r="D74" s="18" t="str">
        <f t="shared" si="1"/>
        <v/>
      </c>
      <c r="E74" s="60" t="str">
        <f>VLOOKUP($A74,nist_names_ids!A:B,2,false)</f>
        <v>mudsmup</v>
      </c>
      <c r="F74" s="61">
        <f>countif(Constants!A:A,E74)</f>
        <v>1</v>
      </c>
      <c r="G74" s="60" t="str">
        <f>IFERROR(__xludf.DUMMYFUNCTION("REGEXREPLACE(substitute(substitute(B74,"" "",""""),""..."",""""),""\(.*\)"","""")"),"0.3070122070")</f>
        <v>0.3070122070</v>
      </c>
      <c r="H74" s="62">
        <f t="shared" si="2"/>
        <v>0.307012207</v>
      </c>
      <c r="I74" s="60" t="str">
        <f>IFERROR(__xludf.DUMMYFUNCTION("if(regexmatch($B74,""\(""),CONCATENATE(regexreplace(REGEXREPLACE(substitute(left($B74,find(""("",$B74)-1),"" "",""""),""\d"",""0""),""[-0]*\."",""0.""), REGEXEXTRACT($B74,""\((.*)\)""),TRIM(REGEXEXTRACT($B74,""\)(.*)""))),"""")"),"0.000000000024")</f>
        <v>0.000000000024</v>
      </c>
      <c r="J74" s="62">
        <f t="shared" si="3"/>
        <v>0</v>
      </c>
      <c r="K74" s="62" t="b">
        <f t="shared" si="4"/>
        <v>0</v>
      </c>
      <c r="L74" s="62" t="b">
        <f t="shared" si="5"/>
        <v>0</v>
      </c>
      <c r="M74" s="60" t="str">
        <f>IFERROR(__xludf.DUMMYFUNCTION("if(regexmatch(B74,""e(.*)$""),regexextract(B74,""e(.*)$""),"""")"),"")</f>
        <v/>
      </c>
    </row>
    <row r="75">
      <c r="A75" s="80" t="s">
        <v>1785</v>
      </c>
      <c r="B75" s="80" t="s">
        <v>4579</v>
      </c>
      <c r="C75" s="80"/>
      <c r="D75" s="18" t="str">
        <f t="shared" si="1"/>
        <v/>
      </c>
      <c r="E75" s="60" t="str">
        <f>VLOOKUP($A75,nist_names_ids!A:B,2,false)</f>
        <v>mdsmp</v>
      </c>
      <c r="F75" s="61">
        <f>countif(Constants!A:A,E75)</f>
        <v>1</v>
      </c>
      <c r="G75" s="60" t="str">
        <f>IFERROR(__xludf.DUMMYFUNCTION("REGEXREPLACE(substitute(substitute(B75,"" "",""""),""..."",""""),""\(.*\)"","""")"),"1.99900750108")</f>
        <v>1.99900750108</v>
      </c>
      <c r="H75" s="62">
        <f t="shared" si="2"/>
        <v>1.999007501</v>
      </c>
      <c r="I75" s="60" t="str">
        <f>IFERROR(__xludf.DUMMYFUNCTION("if(regexmatch($B75,""\(""),CONCATENATE(regexreplace(REGEXREPLACE(substitute(left($B75,find(""("",$B75)-1),"" "",""""),""\d"",""0""),""[-0]*\."",""0.""), REGEXEXTRACT($B75,""\((.*)\)""),TRIM(REGEXEXTRACT($B75,""\)(.*)""))),"""")"),"0.0000000000022")</f>
        <v>0.0000000000022</v>
      </c>
      <c r="J75" s="62">
        <f t="shared" si="3"/>
        <v>0</v>
      </c>
      <c r="K75" s="62" t="b">
        <f t="shared" si="4"/>
        <v>0</v>
      </c>
      <c r="L75" s="62" t="b">
        <f t="shared" si="5"/>
        <v>0</v>
      </c>
      <c r="M75" s="60" t="str">
        <f>IFERROR(__xludf.DUMMYFUNCTION("if(regexmatch(B75,""e(.*)$""),regexextract(B75,""e(.*)$""),"""")"),"")</f>
        <v/>
      </c>
    </row>
    <row r="76">
      <c r="A76" s="80" t="s">
        <v>2034</v>
      </c>
      <c r="B76" s="80" t="s">
        <v>4582</v>
      </c>
      <c r="C76" s="80" t="s">
        <v>4438</v>
      </c>
      <c r="D76" s="18" t="str">
        <f t="shared" si="1"/>
        <v>F m^-1</v>
      </c>
      <c r="E76" s="60" t="str">
        <f>VLOOKUP($A76,nist_names_ids!A:B,2,false)</f>
        <v>ep0</v>
      </c>
      <c r="F76" s="61">
        <f>countif(Constants!A:A,E76)</f>
        <v>1</v>
      </c>
      <c r="G76" s="60" t="str">
        <f>IFERROR(__xludf.DUMMYFUNCTION("REGEXREPLACE(substitute(substitute(B76,"" "",""""),""..."",""""),""\(.*\)"","""")"),"8.854187817e-12")</f>
        <v>8.854187817e-12</v>
      </c>
      <c r="H76" s="62">
        <f t="shared" si="2"/>
        <v>0</v>
      </c>
      <c r="I76" s="60" t="str">
        <f>IFERROR(__xludf.DUMMYFUNCTION("if(regexmatch($B76,""\(""),CONCATENATE(regexreplace(REGEXREPLACE(substitute(left($B76,find(""("",$B76)-1),"" "",""""),""\d"",""0""),""[-0]*\."",""0.""), REGEXEXTRACT($B76,""\((.*)\)""),TRIM(REGEXEXTRACT($B76,""\)(.*)""))),"""")"),"")</f>
        <v/>
      </c>
      <c r="J76" s="62" t="str">
        <f t="shared" si="3"/>
        <v/>
      </c>
      <c r="K76" s="62" t="b">
        <f t="shared" si="4"/>
        <v>0</v>
      </c>
      <c r="L76" s="62" t="b">
        <f t="shared" si="5"/>
        <v>1</v>
      </c>
      <c r="M76" s="60" t="str">
        <f>IFERROR(__xludf.DUMMYFUNCTION("if(regexmatch(B76,""e(.*)$""),regexextract(B76,""e(.*)$""),"""")"),"-12")</f>
        <v>-12</v>
      </c>
    </row>
    <row r="77">
      <c r="A77" s="80" t="s">
        <v>1687</v>
      </c>
      <c r="B77" s="80" t="s">
        <v>4586</v>
      </c>
      <c r="C77" s="80" t="s">
        <v>4587</v>
      </c>
      <c r="D77" s="18" t="str">
        <f t="shared" si="1"/>
        <v>C kg^-1</v>
      </c>
      <c r="E77" s="60" t="str">
        <f>VLOOKUP($A77,nist_names_ids!A:B,2,false)</f>
        <v>esme</v>
      </c>
      <c r="F77" s="61">
        <f>countif(Constants!A:A,E77)</f>
        <v>1</v>
      </c>
      <c r="G77" s="60" t="str">
        <f>IFERROR(__xludf.DUMMYFUNCTION("REGEXREPLACE(substitute(substitute(B77,"" "",""""),""..."",""""),""\(.*\)"","""")"),"-1.758820150e11")</f>
        <v>-1.758820150e11</v>
      </c>
      <c r="H77" s="62">
        <f t="shared" si="2"/>
        <v>-175882015000</v>
      </c>
      <c r="I77" s="60" t="str">
        <f>IFERROR(__xludf.DUMMYFUNCTION("if(regexmatch($B77,""\(""),CONCATENATE(regexreplace(REGEXREPLACE(substitute(left($B77,find(""("",$B77)-1),"" "",""""),""\d"",""0""),""[-0]*\."",""0.""), REGEXEXTRACT($B77,""\((.*)\)""),TRIM(REGEXEXTRACT($B77,""\)(.*)""))),"""")"),"0.00000000044e11")</f>
        <v>0.00000000044e11</v>
      </c>
      <c r="J77" s="62">
        <f t="shared" si="3"/>
        <v>44</v>
      </c>
      <c r="K77" s="62" t="b">
        <f t="shared" si="4"/>
        <v>0</v>
      </c>
      <c r="L77" s="62" t="b">
        <f t="shared" si="5"/>
        <v>0</v>
      </c>
      <c r="M77" s="60" t="str">
        <f>IFERROR(__xludf.DUMMYFUNCTION("if(regexmatch(B77,""e(.*)$""),regexextract(B77,""e(.*)$""),"""")"),"11")</f>
        <v>11</v>
      </c>
    </row>
    <row r="78">
      <c r="A78" s="80" t="s">
        <v>1706</v>
      </c>
      <c r="B78" s="80" t="s">
        <v>4593</v>
      </c>
      <c r="C78" s="80"/>
      <c r="D78" s="18" t="str">
        <f t="shared" si="1"/>
        <v/>
      </c>
      <c r="E78" s="60" t="str">
        <f>VLOOKUP($A78,nist_names_ids!A:B,2,false)</f>
        <v>gem</v>
      </c>
      <c r="F78" s="61">
        <f>countif(Constants!A:A,E78)</f>
        <v>1</v>
      </c>
      <c r="G78" s="60" t="str">
        <f>IFERROR(__xludf.DUMMYFUNCTION("REGEXREPLACE(substitute(substitute(B78,"" "",""""),""..."",""""),""\(.*\)"","""")"),"-2.0023193043622")</f>
        <v>-2.0023193043622</v>
      </c>
      <c r="H78" s="62">
        <f t="shared" si="2"/>
        <v>-2.002319304</v>
      </c>
      <c r="I78" s="60" t="str">
        <f>IFERROR(__xludf.DUMMYFUNCTION("if(regexmatch($B78,""\(""),CONCATENATE(regexreplace(REGEXREPLACE(substitute(left($B78,find(""("",$B78)-1),"" "",""""),""\d"",""0""),""[-0]*\."",""0.""), REGEXEXTRACT($B78,""\((.*)\)""),TRIM(REGEXEXTRACT($B78,""\)(.*)""))),"""")"),"0.000000000000015")</f>
        <v>0.000000000000015</v>
      </c>
      <c r="J78" s="62">
        <f t="shared" si="3"/>
        <v>0</v>
      </c>
      <c r="K78" s="62" t="b">
        <f t="shared" si="4"/>
        <v>0</v>
      </c>
      <c r="L78" s="62" t="b">
        <f t="shared" si="5"/>
        <v>0</v>
      </c>
      <c r="M78" s="60" t="str">
        <f>IFERROR(__xludf.DUMMYFUNCTION("if(regexmatch(B78,""e(.*)$""),regexextract(B78,""e(.*)$""),"""")"),"")</f>
        <v/>
      </c>
    </row>
    <row r="79">
      <c r="A79" s="80" t="s">
        <v>1715</v>
      </c>
      <c r="B79" s="80" t="s">
        <v>4595</v>
      </c>
      <c r="C79" s="80" t="s">
        <v>4596</v>
      </c>
      <c r="D79" s="18" t="str">
        <f t="shared" si="1"/>
        <v>s^-1 T^-1</v>
      </c>
      <c r="E79" s="60" t="str">
        <f>VLOOKUP($A79,nist_names_ids!A:B,2,false)</f>
        <v>gammae</v>
      </c>
      <c r="F79" s="61">
        <f>countif(Constants!A:A,E79)</f>
        <v>1</v>
      </c>
      <c r="G79" s="60" t="str">
        <f>IFERROR(__xludf.DUMMYFUNCTION("REGEXREPLACE(substitute(substitute(B79,"" "",""""),""..."",""""),""\(.*\)"","""")"),"1.760859770e11")</f>
        <v>1.760859770e11</v>
      </c>
      <c r="H79" s="62">
        <f t="shared" si="2"/>
        <v>176085977000</v>
      </c>
      <c r="I79" s="60" t="str">
        <f>IFERROR(__xludf.DUMMYFUNCTION("if(regexmatch($B79,""\(""),CONCATENATE(regexreplace(REGEXREPLACE(substitute(left($B79,find(""("",$B79)-1),"" "",""""),""\d"",""0""),""[-0]*\."",""0.""), REGEXEXTRACT($B79,""\((.*)\)""),TRIM(REGEXEXTRACT($B79,""\)(.*)""))),"""")"),"0.00000000044e11")</f>
        <v>0.00000000044e11</v>
      </c>
      <c r="J79" s="62">
        <f t="shared" si="3"/>
        <v>44</v>
      </c>
      <c r="K79" s="62" t="b">
        <f t="shared" si="4"/>
        <v>0</v>
      </c>
      <c r="L79" s="62" t="b">
        <f t="shared" si="5"/>
        <v>0</v>
      </c>
      <c r="M79" s="60" t="str">
        <f>IFERROR(__xludf.DUMMYFUNCTION("if(regexmatch(B79,""e(.*)$""),regexextract(B79,""e(.*)$""),"""")"),"11")</f>
        <v>11</v>
      </c>
    </row>
    <row r="80">
      <c r="A80" s="80" t="s">
        <v>1731</v>
      </c>
      <c r="B80" s="80" t="s">
        <v>4601</v>
      </c>
      <c r="C80" s="80" t="s">
        <v>4602</v>
      </c>
      <c r="D80" s="18" t="str">
        <f t="shared" si="1"/>
        <v>MHz T^-1</v>
      </c>
      <c r="E80" s="60" t="str">
        <f>VLOOKUP($A80,nist_names_ids!A:B,2,false)</f>
        <v>gammaebar</v>
      </c>
      <c r="F80" s="61">
        <f>countif(Constants!A:A,E80)</f>
        <v>1</v>
      </c>
      <c r="G80" s="60" t="str">
        <f>IFERROR(__xludf.DUMMYFUNCTION("REGEXREPLACE(substitute(substitute(B80,"" "",""""),""..."",""""),""\(.*\)"","""")"),"28024.95364")</f>
        <v>28024.95364</v>
      </c>
      <c r="H80" s="62">
        <f t="shared" si="2"/>
        <v>28024.95364</v>
      </c>
      <c r="I80" s="60" t="str">
        <f>IFERROR(__xludf.DUMMYFUNCTION("if(regexmatch($B80,""\(""),CONCATENATE(regexreplace(REGEXREPLACE(substitute(left($B80,find(""("",$B80)-1),"" "",""""),""\d"",""0""),""[-0]*\."",""0.""), REGEXEXTRACT($B80,""\((.*)\)""),TRIM(REGEXEXTRACT($B80,""\)(.*)""))),"""")"),"0.0000070")</f>
        <v>0.0000070</v>
      </c>
      <c r="J80" s="62">
        <f t="shared" si="3"/>
        <v>0.000007</v>
      </c>
      <c r="K80" s="62" t="b">
        <f t="shared" si="4"/>
        <v>0</v>
      </c>
      <c r="L80" s="62" t="b">
        <f t="shared" si="5"/>
        <v>0</v>
      </c>
      <c r="M80" s="60" t="str">
        <f>IFERROR(__xludf.DUMMYFUNCTION("if(regexmatch(B80,""e(.*)$""),regexextract(B80,""e(.*)$""),"""")"),"")</f>
        <v/>
      </c>
    </row>
    <row r="81">
      <c r="A81" s="80" t="s">
        <v>1763</v>
      </c>
      <c r="B81" s="80" t="s">
        <v>4606</v>
      </c>
      <c r="C81" s="80" t="s">
        <v>4421</v>
      </c>
      <c r="D81" s="18" t="str">
        <f t="shared" si="1"/>
        <v>J T^-1</v>
      </c>
      <c r="E81" s="60" t="str">
        <f>VLOOKUP($A81,nist_names_ids!A:B,2,false)</f>
        <v>muem</v>
      </c>
      <c r="F81" s="61">
        <f>countif(Constants!A:A,E81)</f>
        <v>1</v>
      </c>
      <c r="G81" s="60" t="str">
        <f>IFERROR(__xludf.DUMMYFUNCTION("REGEXREPLACE(substitute(substitute(B81,"" "",""""),""..."",""""),""\(.*\)"","""")"),"-928.476377e-26")</f>
        <v>-928.476377e-26</v>
      </c>
      <c r="H81" s="62">
        <f t="shared" si="2"/>
        <v>0</v>
      </c>
      <c r="I81" s="60" t="str">
        <f>IFERROR(__xludf.DUMMYFUNCTION("if(regexmatch($B81,""\(""),CONCATENATE(regexreplace(REGEXREPLACE(substitute(left($B81,find(""("",$B81)-1),"" "",""""),""\d"",""0""),""[-0]*\."",""0.""), REGEXEXTRACT($B81,""\((.*)\)""),TRIM(REGEXEXTRACT($B81,""\)(.*)""))),"""")"),"0.00000023e-26")</f>
        <v>0.00000023e-26</v>
      </c>
      <c r="J81" s="62">
        <f t="shared" si="3"/>
        <v>0</v>
      </c>
      <c r="K81" s="62" t="b">
        <f t="shared" si="4"/>
        <v>0</v>
      </c>
      <c r="L81" s="62" t="b">
        <f t="shared" si="5"/>
        <v>0</v>
      </c>
      <c r="M81" s="60" t="str">
        <f>IFERROR(__xludf.DUMMYFUNCTION("if(regexmatch(B81,""e(.*)$""),regexextract(B81,""e(.*)$""),"""")"),"-26")</f>
        <v>-26</v>
      </c>
    </row>
    <row r="82">
      <c r="A82" s="80" t="s">
        <v>1773</v>
      </c>
      <c r="B82" s="80" t="s">
        <v>4611</v>
      </c>
      <c r="C82" s="80"/>
      <c r="D82" s="18" t="str">
        <f t="shared" si="1"/>
        <v/>
      </c>
      <c r="E82" s="60" t="str">
        <f>VLOOKUP($A82,nist_names_ids!A:B,2,false)</f>
        <v>ae</v>
      </c>
      <c r="F82" s="61">
        <f>countif(Constants!A:A,E82)</f>
        <v>2</v>
      </c>
      <c r="G82" s="60" t="str">
        <f>IFERROR(__xludf.DUMMYFUNCTION("REGEXREPLACE(substitute(substitute(B82,"" "",""""),""..."",""""),""\(.*\)"","""")"),"1.15965218111e-3")</f>
        <v>1.15965218111e-3</v>
      </c>
      <c r="H82" s="62">
        <f t="shared" si="2"/>
        <v>0.001159652181</v>
      </c>
      <c r="I82" s="60" t="str">
        <f>IFERROR(__xludf.DUMMYFUNCTION("if(regexmatch($B82,""\(""),CONCATENATE(regexreplace(REGEXREPLACE(substitute(left($B82,find(""("",$B82)-1),"" "",""""),""\d"",""0""),""[-0]*\."",""0.""), REGEXEXTRACT($B82,""\((.*)\)""),TRIM(REGEXEXTRACT($B82,""\)(.*)""))),"""")"),"0.0000000000074e-3")</f>
        <v>0.0000000000074e-3</v>
      </c>
      <c r="J82" s="62">
        <f t="shared" si="3"/>
        <v>0</v>
      </c>
      <c r="K82" s="62" t="b">
        <f t="shared" si="4"/>
        <v>0</v>
      </c>
      <c r="L82" s="62" t="b">
        <f t="shared" si="5"/>
        <v>0</v>
      </c>
      <c r="M82" s="60" t="str">
        <f>IFERROR(__xludf.DUMMYFUNCTION("if(regexmatch(B82,""e(.*)$""),regexextract(B82,""e(.*)$""),"""")"),"-3")</f>
        <v>-3</v>
      </c>
    </row>
    <row r="83">
      <c r="A83" s="80" t="s">
        <v>1789</v>
      </c>
      <c r="B83" s="80" t="s">
        <v>4615</v>
      </c>
      <c r="C83" s="80"/>
      <c r="D83" s="18" t="str">
        <f t="shared" si="1"/>
        <v/>
      </c>
      <c r="E83" s="60" t="str">
        <f>VLOOKUP($A83,nist_names_ids!A:B,2,false)</f>
        <v>muemsmub</v>
      </c>
      <c r="F83" s="61">
        <f>countif(Constants!A:A,E83)</f>
        <v>1</v>
      </c>
      <c r="G83" s="60" t="str">
        <f>IFERROR(__xludf.DUMMYFUNCTION("REGEXREPLACE(substitute(substitute(B83,"" "",""""),""..."",""""),""\(.*\)"","""")"),"-1.00115965218111")</f>
        <v>-1.00115965218111</v>
      </c>
      <c r="H83" s="62">
        <f t="shared" si="2"/>
        <v>-1.001159652</v>
      </c>
      <c r="I83" s="60" t="str">
        <f>IFERROR(__xludf.DUMMYFUNCTION("if(regexmatch($B83,""\(""),CONCATENATE(regexreplace(REGEXREPLACE(substitute(left($B83,find(""("",$B83)-1),"" "",""""),""\d"",""0""),""[-0]*\."",""0.""), REGEXEXTRACT($B83,""\((.*)\)""),TRIM(REGEXEXTRACT($B83,""\)(.*)""))),"""")"),"0.0000000000000074")</f>
        <v>0.0000000000000074</v>
      </c>
      <c r="J83" s="62">
        <f t="shared" si="3"/>
        <v>0</v>
      </c>
      <c r="K83" s="62" t="b">
        <f t="shared" si="4"/>
        <v>0</v>
      </c>
      <c r="L83" s="62" t="b">
        <f t="shared" si="5"/>
        <v>0</v>
      </c>
      <c r="M83" s="60" t="str">
        <f>IFERROR(__xludf.DUMMYFUNCTION("if(regexmatch(B83,""e(.*)$""),regexextract(B83,""e(.*)$""),"""")"),"")</f>
        <v/>
      </c>
    </row>
    <row r="84">
      <c r="A84" s="80" t="s">
        <v>1800</v>
      </c>
      <c r="B84" s="80" t="s">
        <v>4620</v>
      </c>
      <c r="C84" s="80"/>
      <c r="D84" s="18" t="str">
        <f t="shared" si="1"/>
        <v/>
      </c>
      <c r="E84" s="60" t="str">
        <f>VLOOKUP($A84,nist_names_ids!A:B,2,false)</f>
        <v>muemsmun</v>
      </c>
      <c r="F84" s="61">
        <f>countif(Constants!A:A,E84)</f>
        <v>1</v>
      </c>
      <c r="G84" s="60" t="str">
        <f>IFERROR(__xludf.DUMMYFUNCTION("REGEXREPLACE(substitute(substitute(B84,"" "",""""),""..."",""""),""\(.*\)"","""")"),"-1838.28197092")</f>
        <v>-1838.28197092</v>
      </c>
      <c r="H84" s="62">
        <f t="shared" si="2"/>
        <v>-1838.281971</v>
      </c>
      <c r="I84" s="60" t="str">
        <f>IFERROR(__xludf.DUMMYFUNCTION("if(regexmatch($B84,""\(""),CONCATENATE(regexreplace(REGEXREPLACE(substitute(left($B84,find(""("",$B84)-1),"" "",""""),""\d"",""0""),""[-0]*\."",""0.""), REGEXEXTRACT($B84,""\((.*)\)""),TRIM(REGEXEXTRACT($B84,""\)(.*)""))),"""")"),"0.0000000080")</f>
        <v>0.0000000080</v>
      </c>
      <c r="J84" s="62">
        <f t="shared" si="3"/>
        <v>0.000000008</v>
      </c>
      <c r="K84" s="62" t="b">
        <f t="shared" si="4"/>
        <v>0</v>
      </c>
      <c r="L84" s="62" t="b">
        <f t="shared" si="5"/>
        <v>0</v>
      </c>
      <c r="M84" s="60" t="str">
        <f>IFERROR(__xludf.DUMMYFUNCTION("if(regexmatch(B84,""e(.*)$""),regexextract(B84,""e(.*)$""),"""")"),"")</f>
        <v/>
      </c>
    </row>
    <row r="85">
      <c r="A85" s="80" t="s">
        <v>1818</v>
      </c>
      <c r="B85" s="80" t="s">
        <v>4432</v>
      </c>
      <c r="C85" s="80" t="s">
        <v>98</v>
      </c>
      <c r="D85" s="18" t="str">
        <f t="shared" si="1"/>
        <v>kg</v>
      </c>
      <c r="E85" s="60" t="str">
        <f>VLOOKUP($A85,nist_names_ids!A:B,2,false)</f>
        <v>me</v>
      </c>
      <c r="F85" s="61">
        <f>countif(Constants!A:A,E85)</f>
        <v>1</v>
      </c>
      <c r="G85" s="60" t="str">
        <f>IFERROR(__xludf.DUMMYFUNCTION("REGEXREPLACE(substitute(substitute(B85,"" "",""""),""..."",""""),""\(.*\)"","""")"),"9.10938215e-31")</f>
        <v>9.10938215e-31</v>
      </c>
      <c r="H85" s="62">
        <f t="shared" si="2"/>
        <v>0</v>
      </c>
      <c r="I85" s="60" t="str">
        <f>IFERROR(__xludf.DUMMYFUNCTION("if(regexmatch($B85,""\(""),CONCATENATE(regexreplace(REGEXREPLACE(substitute(left($B85,find(""("",$B85)-1),"" "",""""),""\d"",""0""),""[-0]*\."",""0.""), REGEXEXTRACT($B85,""\((.*)\)""),TRIM(REGEXEXTRACT($B85,""\)(.*)""))),"""")"),"0.0000000045e-31")</f>
        <v>0.0000000045e-31</v>
      </c>
      <c r="J85" s="62">
        <f t="shared" si="3"/>
        <v>0</v>
      </c>
      <c r="K85" s="62" t="b">
        <f t="shared" si="4"/>
        <v>0</v>
      </c>
      <c r="L85" s="62" t="b">
        <f t="shared" si="5"/>
        <v>0</v>
      </c>
      <c r="M85" s="60" t="str">
        <f>IFERROR(__xludf.DUMMYFUNCTION("if(regexmatch(B85,""e(.*)$""),regexextract(B85,""e(.*)$""),"""")"),"-31")</f>
        <v>-31</v>
      </c>
    </row>
    <row r="86">
      <c r="A86" s="80" t="s">
        <v>1831</v>
      </c>
      <c r="B86" s="80" t="s">
        <v>4624</v>
      </c>
      <c r="C86" s="80" t="s">
        <v>173</v>
      </c>
      <c r="D86" s="18" t="str">
        <f t="shared" si="1"/>
        <v>J</v>
      </c>
      <c r="E86" s="60" t="str">
        <f>VLOOKUP($A86,nist_names_ids!A:B,2,false)</f>
        <v>mec2</v>
      </c>
      <c r="F86" s="61">
        <f>countif(Constants!A:A,E86)</f>
        <v>1</v>
      </c>
      <c r="G86" s="60" t="str">
        <f>IFERROR(__xludf.DUMMYFUNCTION("REGEXREPLACE(substitute(substitute(B86,"" "",""""),""..."",""""),""\(.*\)"","""")"),"8.18710438e-14")</f>
        <v>8.18710438e-14</v>
      </c>
      <c r="H86" s="62">
        <f t="shared" si="2"/>
        <v>0</v>
      </c>
      <c r="I86" s="60" t="str">
        <f>IFERROR(__xludf.DUMMYFUNCTION("if(regexmatch($B86,""\(""),CONCATENATE(regexreplace(REGEXREPLACE(substitute(left($B86,find(""("",$B86)-1),"" "",""""),""\d"",""0""),""[-0]*\."",""0.""), REGEXEXTRACT($B86,""\((.*)\)""),TRIM(REGEXEXTRACT($B86,""\)(.*)""))),"""")"),"0.0000000041e-14")</f>
        <v>0.0000000041e-14</v>
      </c>
      <c r="J86" s="62">
        <f t="shared" si="3"/>
        <v>0</v>
      </c>
      <c r="K86" s="62" t="b">
        <f t="shared" si="4"/>
        <v>0</v>
      </c>
      <c r="L86" s="62" t="b">
        <f t="shared" si="5"/>
        <v>0</v>
      </c>
      <c r="M86" s="60" t="str">
        <f>IFERROR(__xludf.DUMMYFUNCTION("if(regexmatch(B86,""e(.*)$""),regexextract(B86,""e(.*)$""),"""")"),"-14")</f>
        <v>-14</v>
      </c>
    </row>
    <row r="87">
      <c r="A87" s="80" t="s">
        <v>1845</v>
      </c>
      <c r="B87" s="80" t="s">
        <v>4626</v>
      </c>
      <c r="C87" s="80" t="s">
        <v>224</v>
      </c>
      <c r="D87" s="18" t="str">
        <f t="shared" si="1"/>
        <v>MeV</v>
      </c>
      <c r="E87" s="60" t="str">
        <f>VLOOKUP($A87,nist_names_ids!A:B,2,false)</f>
        <v>mec2mev</v>
      </c>
      <c r="F87" s="61">
        <f>countif(Constants!A:A,E87)</f>
        <v>1</v>
      </c>
      <c r="G87" s="60" t="str">
        <f>IFERROR(__xludf.DUMMYFUNCTION("REGEXREPLACE(substitute(substitute(B87,"" "",""""),""..."",""""),""\(.*\)"","""")"),"0.510998910")</f>
        <v>0.510998910</v>
      </c>
      <c r="H87" s="62">
        <f t="shared" si="2"/>
        <v>0.51099891</v>
      </c>
      <c r="I87" s="60" t="str">
        <f>IFERROR(__xludf.DUMMYFUNCTION("if(regexmatch($B87,""\(""),CONCATENATE(regexreplace(REGEXREPLACE(substitute(left($B87,find(""("",$B87)-1),"" "",""""),""\d"",""0""),""[-0]*\."",""0.""), REGEXEXTRACT($B87,""\((.*)\)""),TRIM(REGEXEXTRACT($B87,""\)(.*)""))),"""")"),"0.00000000013")</f>
        <v>0.00000000013</v>
      </c>
      <c r="J87" s="62">
        <f t="shared" si="3"/>
        <v>0.00000000013</v>
      </c>
      <c r="K87" s="62" t="b">
        <f t="shared" si="4"/>
        <v>0</v>
      </c>
      <c r="L87" s="62" t="b">
        <f t="shared" si="5"/>
        <v>0</v>
      </c>
      <c r="M87" s="60" t="str">
        <f>IFERROR(__xludf.DUMMYFUNCTION("if(regexmatch(B87,""e(.*)$""),regexextract(B87,""e(.*)$""),"""")"),"")</f>
        <v/>
      </c>
    </row>
    <row r="88">
      <c r="A88" s="80" t="s">
        <v>1853</v>
      </c>
      <c r="B88" s="80" t="s">
        <v>4628</v>
      </c>
      <c r="C88" s="80" t="s">
        <v>249</v>
      </c>
      <c r="D88" s="18" t="str">
        <f t="shared" si="1"/>
        <v>u</v>
      </c>
      <c r="E88" s="60" t="str">
        <f>VLOOKUP($A88,nist_names_ids!A:B,2,false)</f>
        <v>meu</v>
      </c>
      <c r="F88" s="61">
        <f>countif(Constants!A:A,E88)</f>
        <v>1</v>
      </c>
      <c r="G88" s="60" t="str">
        <f>IFERROR(__xludf.DUMMYFUNCTION("REGEXREPLACE(substitute(substitute(B88,"" "",""""),""..."",""""),""\(.*\)"","""")"),"5.4857990943e-4")</f>
        <v>5.4857990943e-4</v>
      </c>
      <c r="H88" s="62">
        <f t="shared" si="2"/>
        <v>0.0005485799094</v>
      </c>
      <c r="I88" s="60" t="str">
        <f>IFERROR(__xludf.DUMMYFUNCTION("if(regexmatch($B88,""\(""),CONCATENATE(regexreplace(REGEXREPLACE(substitute(left($B88,find(""("",$B88)-1),"" "",""""),""\d"",""0""),""[-0]*\."",""0.""), REGEXEXTRACT($B88,""\((.*)\)""),TRIM(REGEXEXTRACT($B88,""\)(.*)""))),"""")"),"0.000000000023e-4")</f>
        <v>0.000000000023e-4</v>
      </c>
      <c r="J88" s="62">
        <f t="shared" si="3"/>
        <v>0</v>
      </c>
      <c r="K88" s="62" t="b">
        <f t="shared" si="4"/>
        <v>0</v>
      </c>
      <c r="L88" s="62" t="b">
        <f t="shared" si="5"/>
        <v>0</v>
      </c>
      <c r="M88" s="60" t="str">
        <f>IFERROR(__xludf.DUMMYFUNCTION("if(regexmatch(B88,""e(.*)$""),regexextract(B88,""e(.*)$""),"""")"),"-4")</f>
        <v>-4</v>
      </c>
    </row>
    <row r="89">
      <c r="A89" s="80" t="s">
        <v>1860</v>
      </c>
      <c r="B89" s="80" t="s">
        <v>4630</v>
      </c>
      <c r="C89" s="80" t="s">
        <v>4309</v>
      </c>
      <c r="D89" s="18" t="str">
        <f t="shared" si="1"/>
        <v>kg mol^-1</v>
      </c>
      <c r="E89" s="60" t="str">
        <f>VLOOKUP($A89,nist_names_ids!A:B,2,false)</f>
        <v>mme</v>
      </c>
      <c r="F89" s="61">
        <f>countif(Constants!A:A,E89)</f>
        <v>1</v>
      </c>
      <c r="G89" s="60" t="str">
        <f>IFERROR(__xludf.DUMMYFUNCTION("REGEXREPLACE(substitute(substitute(B89,"" "",""""),""..."",""""),""\(.*\)"","""")"),"5.4857990943e-7")</f>
        <v>5.4857990943e-7</v>
      </c>
      <c r="H89" s="62">
        <f t="shared" si="2"/>
        <v>0.0000005485799094</v>
      </c>
      <c r="I89" s="60" t="str">
        <f>IFERROR(__xludf.DUMMYFUNCTION("if(regexmatch($B89,""\(""),CONCATENATE(regexreplace(REGEXREPLACE(substitute(left($B89,find(""("",$B89)-1),"" "",""""),""\d"",""0""),""[-0]*\."",""0.""), REGEXEXTRACT($B89,""\((.*)\)""),TRIM(REGEXEXTRACT($B89,""\)(.*)""))),"""")"),"0.000000000023e-7")</f>
        <v>0.000000000023e-7</v>
      </c>
      <c r="J89" s="62">
        <f t="shared" si="3"/>
        <v>0</v>
      </c>
      <c r="K89" s="62" t="b">
        <f t="shared" si="4"/>
        <v>0</v>
      </c>
      <c r="L89" s="62" t="b">
        <f t="shared" si="5"/>
        <v>0</v>
      </c>
      <c r="M89" s="60" t="str">
        <f>IFERROR(__xludf.DUMMYFUNCTION("if(regexmatch(B89,""e(.*)$""),regexextract(B89,""e(.*)$""),"""")"),"-7")</f>
        <v>-7</v>
      </c>
    </row>
    <row r="90">
      <c r="A90" s="80" t="s">
        <v>1900</v>
      </c>
      <c r="B90" s="80" t="s">
        <v>4634</v>
      </c>
      <c r="C90" s="80"/>
      <c r="D90" s="18" t="str">
        <f t="shared" si="1"/>
        <v/>
      </c>
      <c r="E90" s="60" t="str">
        <f>VLOOKUP($A90,nist_names_ids!A:B,2,false)</f>
        <v>mesmalpha</v>
      </c>
      <c r="F90" s="61">
        <f>countif(Constants!A:A,E90)</f>
        <v>1</v>
      </c>
      <c r="G90" s="60" t="str">
        <f>IFERROR(__xludf.DUMMYFUNCTION("REGEXREPLACE(substitute(substitute(B90,"" "",""""),""..."",""""),""\(.*\)"","""")"),"1.37093355570e-4")</f>
        <v>1.37093355570e-4</v>
      </c>
      <c r="H90" s="62">
        <f t="shared" si="2"/>
        <v>0.0001370933556</v>
      </c>
      <c r="I90" s="60" t="str">
        <f>IFERROR(__xludf.DUMMYFUNCTION("if(regexmatch($B90,""\(""),CONCATENATE(regexreplace(REGEXREPLACE(substitute(left($B90,find(""("",$B90)-1),"" "",""""),""\d"",""0""),""[-0]*\."",""0.""), REGEXEXTRACT($B90,""\((.*)\)""),TRIM(REGEXEXTRACT($B90,""\)(.*)""))),"""")"),"0.0000000000058e-4")</f>
        <v>0.0000000000058e-4</v>
      </c>
      <c r="J90" s="62">
        <f t="shared" si="3"/>
        <v>0</v>
      </c>
      <c r="K90" s="62" t="b">
        <f t="shared" si="4"/>
        <v>0</v>
      </c>
      <c r="L90" s="62" t="b">
        <f t="shared" si="5"/>
        <v>0</v>
      </c>
      <c r="M90" s="60" t="str">
        <f>IFERROR(__xludf.DUMMYFUNCTION("if(regexmatch(B90,""e(.*)$""),regexextract(B90,""e(.*)$""),"""")"),"-4")</f>
        <v>-4</v>
      </c>
    </row>
    <row r="91">
      <c r="A91" s="80" t="s">
        <v>2022</v>
      </c>
      <c r="B91" s="80" t="s">
        <v>4652</v>
      </c>
      <c r="C91" s="80"/>
      <c r="D91" s="18" t="str">
        <f t="shared" si="1"/>
        <v/>
      </c>
      <c r="E91" s="60" t="str">
        <f>VLOOKUP($A91,nist_names_ids!A:B,2,false)</f>
        <v>muemsmuhp</v>
      </c>
      <c r="F91" s="61">
        <f>countif(Constants!A:A,E91)</f>
        <v>1</v>
      </c>
      <c r="G91" s="60" t="str">
        <f>IFERROR(__xludf.DUMMYFUNCTION("REGEXREPLACE(substitute(substitute(B91,"" "",""""),""..."",""""),""\(.*\)"","""")"),"864.058257")</f>
        <v>864.058257</v>
      </c>
      <c r="H91" s="62">
        <f t="shared" si="2"/>
        <v>864.058257</v>
      </c>
      <c r="I91" s="60" t="str">
        <f>IFERROR(__xludf.DUMMYFUNCTION("if(regexmatch($B91,""\(""),CONCATENATE(regexreplace(REGEXREPLACE(substitute(left($B91,find(""("",$B91)-1),"" "",""""),""\d"",""0""),""[-0]*\."",""0.""), REGEXEXTRACT($B91,""\((.*)\)""),TRIM(REGEXEXTRACT($B91,""\)(.*)""))),"""")"),"0.00000010")</f>
        <v>0.00000010</v>
      </c>
      <c r="J91" s="62">
        <f t="shared" si="3"/>
        <v>0.0000001</v>
      </c>
      <c r="K91" s="62" t="b">
        <f t="shared" si="4"/>
        <v>0</v>
      </c>
      <c r="L91" s="62" t="b">
        <f t="shared" si="5"/>
        <v>0</v>
      </c>
      <c r="M91" s="60" t="str">
        <f>IFERROR(__xludf.DUMMYFUNCTION("if(regexmatch(B91,""e(.*)$""),regexextract(B91,""e(.*)$""),"""")"),"")</f>
        <v/>
      </c>
    </row>
    <row r="92">
      <c r="A92" s="80" t="s">
        <v>2031</v>
      </c>
      <c r="B92" s="80" t="s">
        <v>4654</v>
      </c>
      <c r="C92" s="80"/>
      <c r="D92" s="18" t="str">
        <f t="shared" si="1"/>
        <v/>
      </c>
      <c r="E92" s="60" t="str">
        <f>VLOOKUP($A92,nist_names_ids!A:B,2,false)</f>
        <v>muemsmupp</v>
      </c>
      <c r="F92" s="61">
        <f>countif(Constants!A:A,E92)</f>
        <v>1</v>
      </c>
      <c r="G92" s="60" t="str">
        <f>IFERROR(__xludf.DUMMYFUNCTION("REGEXREPLACE(substitute(substitute(B92,"" "",""""),""..."",""""),""\(.*\)"","""")"),"-658.2275971")</f>
        <v>-658.2275971</v>
      </c>
      <c r="H92" s="62">
        <f t="shared" si="2"/>
        <v>-658.2275971</v>
      </c>
      <c r="I92" s="60" t="str">
        <f>IFERROR(__xludf.DUMMYFUNCTION("if(regexmatch($B92,""\(""),CONCATENATE(regexreplace(REGEXREPLACE(substitute(left($B92,find(""("",$B92)-1),"" "",""""),""\d"",""0""),""[-0]*\."",""0.""), REGEXEXTRACT($B92,""\((.*)\)""),TRIM(REGEXEXTRACT($B92,""\)(.*)""))),"""")"),"0.000000072")</f>
        <v>0.000000072</v>
      </c>
      <c r="J92" s="62">
        <f t="shared" si="3"/>
        <v>0.000000072</v>
      </c>
      <c r="K92" s="62" t="b">
        <f t="shared" si="4"/>
        <v>0</v>
      </c>
      <c r="L92" s="62" t="b">
        <f t="shared" si="5"/>
        <v>0</v>
      </c>
      <c r="M92" s="60" t="str">
        <f>IFERROR(__xludf.DUMMYFUNCTION("if(regexmatch(B92,""e(.*)$""),regexextract(B92,""e(.*)$""),"""")"),"")</f>
        <v/>
      </c>
    </row>
    <row r="93">
      <c r="A93" s="80" t="s">
        <v>1919</v>
      </c>
      <c r="B93" s="80" t="s">
        <v>4656</v>
      </c>
      <c r="C93" s="80" t="s">
        <v>173</v>
      </c>
      <c r="D93" s="18" t="str">
        <f t="shared" si="1"/>
        <v>J</v>
      </c>
      <c r="E93" s="60" t="str">
        <f>VLOOKUP($A93,nist_names_ids!A:B,2,false)</f>
        <v>tevj</v>
      </c>
      <c r="F93" s="61">
        <f>countif(Constants!A:A,E93)</f>
        <v>1</v>
      </c>
      <c r="G93" s="60" t="str">
        <f>IFERROR(__xludf.DUMMYFUNCTION("REGEXREPLACE(substitute(substitute(B93,"" "",""""),""..."",""""),""\(.*\)"","""")"),"1.602176487e-19")</f>
        <v>1.602176487e-19</v>
      </c>
      <c r="H93" s="62">
        <f t="shared" si="2"/>
        <v>0</v>
      </c>
      <c r="I93" s="60" t="str">
        <f>IFERROR(__xludf.DUMMYFUNCTION("if(regexmatch($B93,""\(""),CONCATENATE(regexreplace(REGEXREPLACE(substitute(left($B93,find(""("",$B93)-1),"" "",""""),""\d"",""0""),""[-0]*\."",""0.""), REGEXEXTRACT($B93,""\((.*)\)""),TRIM(REGEXEXTRACT($B93,""\)(.*)""))),"""")"),"0.00000000040e-19")</f>
        <v>0.00000000040e-19</v>
      </c>
      <c r="J93" s="62">
        <f t="shared" si="3"/>
        <v>0</v>
      </c>
      <c r="K93" s="62" t="b">
        <f t="shared" si="4"/>
        <v>0</v>
      </c>
      <c r="L93" s="62" t="b">
        <f t="shared" si="5"/>
        <v>0</v>
      </c>
      <c r="M93" s="60" t="str">
        <f>IFERROR(__xludf.DUMMYFUNCTION("if(regexmatch(B93,""e(.*)$""),regexextract(B93,""e(.*)$""),"""")"),"-19")</f>
        <v>-19</v>
      </c>
    </row>
    <row r="94">
      <c r="A94" s="80" t="s">
        <v>1920</v>
      </c>
      <c r="B94" s="80" t="s">
        <v>4658</v>
      </c>
      <c r="C94" s="80" t="s">
        <v>249</v>
      </c>
      <c r="D94" s="18" t="str">
        <f t="shared" si="1"/>
        <v>u</v>
      </c>
      <c r="E94" s="60" t="str">
        <f>VLOOKUP($A94,nist_names_ids!A:B,2,false)</f>
        <v>evu</v>
      </c>
      <c r="F94" s="61">
        <f>countif(Constants!A:A,E94)</f>
        <v>1</v>
      </c>
      <c r="G94" s="60" t="str">
        <f>IFERROR(__xludf.DUMMYFUNCTION("REGEXREPLACE(substitute(substitute(B94,"" "",""""),""..."",""""),""\(.*\)"","""")"),"1.073544188e-9")</f>
        <v>1.073544188e-9</v>
      </c>
      <c r="H94" s="62">
        <f t="shared" si="2"/>
        <v>0.000000001073544188</v>
      </c>
      <c r="I94" s="60" t="str">
        <f>IFERROR(__xludf.DUMMYFUNCTION("if(regexmatch($B94,""\(""),CONCATENATE(regexreplace(REGEXREPLACE(substitute(left($B94,find(""("",$B94)-1),"" "",""""),""\d"",""0""),""[-0]*\."",""0.""), REGEXEXTRACT($B94,""\((.*)\)""),TRIM(REGEXEXTRACT($B94,""\)(.*)""))),"""")"),"0.00000000027e-9")</f>
        <v>0.00000000027e-9</v>
      </c>
      <c r="J94" s="62">
        <f t="shared" si="3"/>
        <v>0</v>
      </c>
      <c r="K94" s="62" t="b">
        <f t="shared" si="4"/>
        <v>0</v>
      </c>
      <c r="L94" s="62" t="b">
        <f t="shared" si="5"/>
        <v>0</v>
      </c>
      <c r="M94" s="60" t="str">
        <f>IFERROR(__xludf.DUMMYFUNCTION("if(regexmatch(B94,""e(.*)$""),regexextract(B94,""e(.*)$""),"""")"),"-9")</f>
        <v>-9</v>
      </c>
    </row>
    <row r="95">
      <c r="A95" s="80" t="s">
        <v>1923</v>
      </c>
      <c r="B95" s="80" t="s">
        <v>4674</v>
      </c>
      <c r="C95" s="80" t="s">
        <v>170</v>
      </c>
      <c r="D95" s="18" t="str">
        <f t="shared" si="1"/>
        <v>E_h</v>
      </c>
      <c r="E95" s="60" t="str">
        <f>VLOOKUP($A95,nist_names_ids!A:B,2,false)</f>
        <v>evhr</v>
      </c>
      <c r="F95" s="61">
        <f>countif(Constants!A:A,E95)</f>
        <v>1</v>
      </c>
      <c r="G95" s="60" t="str">
        <f>IFERROR(__xludf.DUMMYFUNCTION("REGEXREPLACE(substitute(substitute(B95,"" "",""""),""..."",""""),""\(.*\)"","""")"),"3.674932540e-2")</f>
        <v>3.674932540e-2</v>
      </c>
      <c r="H95" s="62">
        <f t="shared" si="2"/>
        <v>0.0367493254</v>
      </c>
      <c r="I95" s="60" t="str">
        <f>IFERROR(__xludf.DUMMYFUNCTION("if(regexmatch($B95,""\(""),CONCATENATE(regexreplace(REGEXREPLACE(substitute(left($B95,find(""("",$B95)-1),"" "",""""),""\d"",""0""),""[-0]*\."",""0.""), REGEXEXTRACT($B95,""\((.*)\)""),TRIM(REGEXEXTRACT($B95,""\)(.*)""))),"""")"),"0.00000000092e-2")</f>
        <v>0.00000000092e-2</v>
      </c>
      <c r="J95" s="62">
        <f t="shared" si="3"/>
        <v>0</v>
      </c>
      <c r="K95" s="62" t="b">
        <f t="shared" si="4"/>
        <v>0</v>
      </c>
      <c r="L95" s="62" t="b">
        <f t="shared" si="5"/>
        <v>0</v>
      </c>
      <c r="M95" s="60" t="str">
        <f>IFERROR(__xludf.DUMMYFUNCTION("if(regexmatch(B95,""e(.*)$""),regexextract(B95,""e(.*)$""),"""")"),"-2")</f>
        <v>-2</v>
      </c>
    </row>
    <row r="96">
      <c r="A96" s="80" t="s">
        <v>1931</v>
      </c>
      <c r="B96" s="80" t="s">
        <v>4687</v>
      </c>
      <c r="C96" s="80" t="s">
        <v>257</v>
      </c>
      <c r="D96" s="18" t="str">
        <f t="shared" si="1"/>
        <v>Hz</v>
      </c>
      <c r="E96" s="60" t="str">
        <f>VLOOKUP($A96,nist_names_ids!A:B,2,false)</f>
        <v>evhz</v>
      </c>
      <c r="F96" s="61">
        <f>countif(Constants!A:A,E96)</f>
        <v>1</v>
      </c>
      <c r="G96" s="60" t="str">
        <f>IFERROR(__xludf.DUMMYFUNCTION("REGEXREPLACE(substitute(substitute(B96,"" "",""""),""..."",""""),""\(.*\)"","""")"),"2.417989454e14")</f>
        <v>2.417989454e14</v>
      </c>
      <c r="H96" s="62">
        <f t="shared" si="2"/>
        <v>241798945400000</v>
      </c>
      <c r="I96" s="60" t="str">
        <f>IFERROR(__xludf.DUMMYFUNCTION("if(regexmatch($B96,""\(""),CONCATENATE(regexreplace(REGEXREPLACE(substitute(left($B96,find(""("",$B96)-1),"" "",""""),""\d"",""0""),""[-0]*\."",""0.""), REGEXEXTRACT($B96,""\((.*)\)""),TRIM(REGEXEXTRACT($B96,""\)(.*)""))),"""")"),"0.00000000060e14")</f>
        <v>0.00000000060e14</v>
      </c>
      <c r="J96" s="62">
        <f t="shared" si="3"/>
        <v>60000</v>
      </c>
      <c r="K96" s="62" t="b">
        <f t="shared" si="4"/>
        <v>0</v>
      </c>
      <c r="L96" s="62" t="b">
        <f t="shared" si="5"/>
        <v>0</v>
      </c>
      <c r="M96" s="60" t="str">
        <f>IFERROR(__xludf.DUMMYFUNCTION("if(regexmatch(B96,""e(.*)$""),regexextract(B96,""e(.*)$""),"""")"),"14")</f>
        <v>14</v>
      </c>
    </row>
    <row r="97">
      <c r="A97" s="80" t="s">
        <v>1934</v>
      </c>
      <c r="B97" s="80" t="s">
        <v>4701</v>
      </c>
      <c r="C97" s="80" t="s">
        <v>4359</v>
      </c>
      <c r="D97" s="18" t="str">
        <f t="shared" si="1"/>
        <v>m^-1</v>
      </c>
      <c r="E97" s="60" t="str">
        <f>VLOOKUP($A97,nist_names_ids!A:B,2,false)</f>
        <v>evminv</v>
      </c>
      <c r="F97" s="61">
        <f>countif(Constants!A:A,E97)</f>
        <v>1</v>
      </c>
      <c r="G97" s="60" t="str">
        <f>IFERROR(__xludf.DUMMYFUNCTION("REGEXREPLACE(substitute(substitute(B97,"" "",""""),""..."",""""),""\(.*\)"","""")"),"8.06554465e5")</f>
        <v>8.06554465e5</v>
      </c>
      <c r="H97" s="62">
        <f t="shared" si="2"/>
        <v>806554.465</v>
      </c>
      <c r="I97" s="60" t="str">
        <f>IFERROR(__xludf.DUMMYFUNCTION("if(regexmatch($B97,""\(""),CONCATENATE(regexreplace(REGEXREPLACE(substitute(left($B97,find(""("",$B97)-1),"" "",""""),""\d"",""0""),""[-0]*\."",""0.""), REGEXEXTRACT($B97,""\((.*)\)""),TRIM(REGEXEXTRACT($B97,""\)(.*)""))),"""")"),"0.0000000020e5")</f>
        <v>0.0000000020e5</v>
      </c>
      <c r="J97" s="62">
        <f t="shared" si="3"/>
        <v>0.0002</v>
      </c>
      <c r="K97" s="62" t="b">
        <f t="shared" si="4"/>
        <v>0</v>
      </c>
      <c r="L97" s="62" t="b">
        <f t="shared" si="5"/>
        <v>0</v>
      </c>
      <c r="M97" s="60" t="str">
        <f>IFERROR(__xludf.DUMMYFUNCTION("if(regexmatch(B97,""e(.*)$""),regexextract(B97,""e(.*)$""),"""")"),"5")</f>
        <v>5</v>
      </c>
    </row>
    <row r="98">
      <c r="A98" s="80" t="s">
        <v>1937</v>
      </c>
      <c r="B98" s="80" t="s">
        <v>4656</v>
      </c>
      <c r="C98" s="80" t="s">
        <v>173</v>
      </c>
      <c r="D98" s="18" t="str">
        <f t="shared" si="1"/>
        <v>J</v>
      </c>
      <c r="E98" s="60" t="str">
        <f>VLOOKUP($A98,nist_names_ids!A:B,2,false)</f>
        <v>evj</v>
      </c>
      <c r="F98" s="61">
        <f>countif(Constants!A:A,E98)</f>
        <v>1</v>
      </c>
      <c r="G98" s="60" t="str">
        <f>IFERROR(__xludf.DUMMYFUNCTION("REGEXREPLACE(substitute(substitute(B98,"" "",""""),""..."",""""),""\(.*\)"","""")"),"1.602176487e-19")</f>
        <v>1.602176487e-19</v>
      </c>
      <c r="H98" s="62">
        <f t="shared" si="2"/>
        <v>0</v>
      </c>
      <c r="I98" s="60" t="str">
        <f>IFERROR(__xludf.DUMMYFUNCTION("if(regexmatch($B98,""\(""),CONCATENATE(regexreplace(REGEXREPLACE(substitute(left($B98,find(""("",$B98)-1),"" "",""""),""\d"",""0""),""[-0]*\."",""0.""), REGEXEXTRACT($B98,""\((.*)\)""),TRIM(REGEXEXTRACT($B98,""\)(.*)""))),"""")"),"0.00000000040e-19")</f>
        <v>0.00000000040e-19</v>
      </c>
      <c r="J98" s="62">
        <f t="shared" si="3"/>
        <v>0</v>
      </c>
      <c r="K98" s="62" t="b">
        <f t="shared" si="4"/>
        <v>0</v>
      </c>
      <c r="L98" s="62" t="b">
        <f t="shared" si="5"/>
        <v>0</v>
      </c>
      <c r="M98" s="60" t="str">
        <f>IFERROR(__xludf.DUMMYFUNCTION("if(regexmatch(B98,""e(.*)$""),regexextract(B98,""e(.*)$""),"""")"),"-19")</f>
        <v>-19</v>
      </c>
    </row>
    <row r="99">
      <c r="A99" s="80" t="s">
        <v>1940</v>
      </c>
      <c r="B99" s="80" t="s">
        <v>4709</v>
      </c>
      <c r="C99" s="80" t="s">
        <v>345</v>
      </c>
      <c r="D99" s="18" t="str">
        <f t="shared" si="1"/>
        <v>K</v>
      </c>
      <c r="E99" s="60" t="str">
        <f>VLOOKUP($A99,nist_names_ids!A:B,2,false)</f>
        <v>evk</v>
      </c>
      <c r="F99" s="61">
        <f>countif(Constants!A:A,E99)</f>
        <v>1</v>
      </c>
      <c r="G99" s="60" t="str">
        <f>IFERROR(__xludf.DUMMYFUNCTION("REGEXREPLACE(substitute(substitute(B99,"" "",""""),""..."",""""),""\(.*\)"","""")"),"1.1604505e4")</f>
        <v>1.1604505e4</v>
      </c>
      <c r="H99" s="62">
        <f t="shared" si="2"/>
        <v>11604.505</v>
      </c>
      <c r="I99" s="60" t="str">
        <f>IFERROR(__xludf.DUMMYFUNCTION("if(regexmatch($B99,""\(""),CONCATENATE(regexreplace(REGEXREPLACE(substitute(left($B99,find(""("",$B99)-1),"" "",""""),""\d"",""0""),""[-0]*\."",""0.""), REGEXEXTRACT($B99,""\((.*)\)""),TRIM(REGEXEXTRACT($B99,""\)(.*)""))),"""")"),"0.000000020e4")</f>
        <v>0.000000020e4</v>
      </c>
      <c r="J99" s="62">
        <f t="shared" si="3"/>
        <v>0.0002</v>
      </c>
      <c r="K99" s="62" t="b">
        <f t="shared" si="4"/>
        <v>0</v>
      </c>
      <c r="L99" s="62" t="b">
        <f t="shared" si="5"/>
        <v>0</v>
      </c>
      <c r="M99" s="60" t="str">
        <f>IFERROR(__xludf.DUMMYFUNCTION("if(regexmatch(B99,""e(.*)$""),regexextract(B99,""e(.*)$""),"""")"),"4")</f>
        <v>4</v>
      </c>
    </row>
    <row r="100">
      <c r="A100" s="80" t="s">
        <v>1944</v>
      </c>
      <c r="B100" s="80" t="s">
        <v>4716</v>
      </c>
      <c r="C100" s="80" t="s">
        <v>98</v>
      </c>
      <c r="D100" s="18" t="str">
        <f t="shared" si="1"/>
        <v>kg</v>
      </c>
      <c r="E100" s="60" t="str">
        <f>VLOOKUP($A100,nist_names_ids!A:B,2,false)</f>
        <v>evkg</v>
      </c>
      <c r="F100" s="61">
        <f>countif(Constants!A:A,E100)</f>
        <v>1</v>
      </c>
      <c r="G100" s="60" t="str">
        <f>IFERROR(__xludf.DUMMYFUNCTION("REGEXREPLACE(substitute(substitute(B100,"" "",""""),""..."",""""),""\(.*\)"","""")"),"1.782661758e-36")</f>
        <v>1.782661758e-36</v>
      </c>
      <c r="H100" s="62">
        <f t="shared" si="2"/>
        <v>0</v>
      </c>
      <c r="I100" s="60" t="str">
        <f>IFERROR(__xludf.DUMMYFUNCTION("if(regexmatch($B100,""\(""),CONCATENATE(regexreplace(REGEXREPLACE(substitute(left($B100,find(""("",$B100)-1),"" "",""""),""\d"",""0""),""[-0]*\."",""0.""), REGEXEXTRACT($B100,""\((.*)\)""),TRIM(REGEXEXTRACT($B100,""\)(.*)""))),"""")"),"0.00000000044e-36")</f>
        <v>0.00000000044e-36</v>
      </c>
      <c r="J100" s="62">
        <f t="shared" si="3"/>
        <v>0</v>
      </c>
      <c r="K100" s="62" t="b">
        <f t="shared" si="4"/>
        <v>0</v>
      </c>
      <c r="L100" s="62" t="b">
        <f t="shared" si="5"/>
        <v>0</v>
      </c>
      <c r="M100" s="60" t="str">
        <f>IFERROR(__xludf.DUMMYFUNCTION("if(regexmatch(B100,""e(.*)$""),regexextract(B100,""e(.*)$""),"""")"),"-36")</f>
        <v>-36</v>
      </c>
    </row>
    <row r="101">
      <c r="A101" s="80" t="s">
        <v>2376</v>
      </c>
      <c r="B101" s="80" t="s">
        <v>4720</v>
      </c>
      <c r="C101" s="80"/>
      <c r="D101" s="18" t="str">
        <f t="shared" si="1"/>
        <v/>
      </c>
      <c r="E101" s="60" t="str">
        <f>VLOOKUP($A101,nist_names_ids!A:B,2,false)</f>
        <v>muemsmud</v>
      </c>
      <c r="F101" s="61">
        <f>countif(Constants!A:A,E101)</f>
        <v>1</v>
      </c>
      <c r="G101" s="60" t="str">
        <f>IFERROR(__xludf.DUMMYFUNCTION("REGEXREPLACE(substitute(substitute(B101,"" "",""""),""..."",""""),""\(.*\)"","""")"),"-2143.923498")</f>
        <v>-2143.923498</v>
      </c>
      <c r="H101" s="62">
        <f t="shared" si="2"/>
        <v>-2143.923498</v>
      </c>
      <c r="I101" s="60" t="str">
        <f>IFERROR(__xludf.DUMMYFUNCTION("if(regexmatch($B101,""\(""),CONCATENATE(regexreplace(REGEXREPLACE(substitute(left($B101,find(""("",$B101)-1),"" "",""""),""\d"",""0""),""[-0]*\."",""0.""), REGEXEXTRACT($B101,""\((.*)\)""),TRIM(REGEXEXTRACT($B101,""\)(.*)""))),"""")"),"0.00000018")</f>
        <v>0.00000018</v>
      </c>
      <c r="J101" s="62">
        <f t="shared" si="3"/>
        <v>0.00000018</v>
      </c>
      <c r="K101" s="62" t="b">
        <f t="shared" si="4"/>
        <v>0</v>
      </c>
      <c r="L101" s="62" t="b">
        <f t="shared" si="5"/>
        <v>0</v>
      </c>
      <c r="M101" s="60" t="str">
        <f>IFERROR(__xludf.DUMMYFUNCTION("if(regexmatch(B101,""e(.*)$""),regexextract(B101,""e(.*)$""),"""")"),"")</f>
        <v/>
      </c>
    </row>
    <row r="102">
      <c r="A102" s="80" t="s">
        <v>1806</v>
      </c>
      <c r="B102" s="80" t="s">
        <v>4722</v>
      </c>
      <c r="C102" s="80"/>
      <c r="D102" s="18" t="str">
        <f t="shared" si="1"/>
        <v/>
      </c>
      <c r="E102" s="60" t="str">
        <f>VLOOKUP($A102,nist_names_ids!A:B,2,false)</f>
        <v>mesmd</v>
      </c>
      <c r="F102" s="61">
        <f>countif(Constants!A:A,E102)</f>
        <v>1</v>
      </c>
      <c r="G102" s="60" t="str">
        <f>IFERROR(__xludf.DUMMYFUNCTION("REGEXREPLACE(substitute(substitute(B102,"" "",""""),""..."",""""),""\(.*\)"","""")"),"2.7244371093e-4")</f>
        <v>2.7244371093e-4</v>
      </c>
      <c r="H102" s="62">
        <f t="shared" si="2"/>
        <v>0.0002724437109</v>
      </c>
      <c r="I102" s="60" t="str">
        <f>IFERROR(__xludf.DUMMYFUNCTION("if(regexmatch($B102,""\(""),CONCATENATE(regexreplace(REGEXREPLACE(substitute(left($B102,find(""("",$B102)-1),"" "",""""),""\d"",""0""),""[-0]*\."",""0.""), REGEXEXTRACT($B102,""\((.*)\)""),TRIM(REGEXEXTRACT($B102,""\)(.*)""))),"""")"),"0.000000000012e-4")</f>
        <v>0.000000000012e-4</v>
      </c>
      <c r="J102" s="62">
        <f t="shared" si="3"/>
        <v>0</v>
      </c>
      <c r="K102" s="62" t="b">
        <f t="shared" si="4"/>
        <v>0</v>
      </c>
      <c r="L102" s="62" t="b">
        <f t="shared" si="5"/>
        <v>0</v>
      </c>
      <c r="M102" s="60" t="str">
        <f>IFERROR(__xludf.DUMMYFUNCTION("if(regexmatch(B102,""e(.*)$""),regexextract(B102,""e(.*)$""),"""")"),"-4")</f>
        <v>-4</v>
      </c>
    </row>
    <row r="103">
      <c r="A103" s="80" t="s">
        <v>2432</v>
      </c>
      <c r="B103" s="80" t="s">
        <v>4770</v>
      </c>
      <c r="C103" s="80"/>
      <c r="D103" s="18" t="str">
        <f t="shared" si="1"/>
        <v/>
      </c>
      <c r="E103" s="60" t="str">
        <f>VLOOKUP($A103,nist_names_ids!A:B,2,false)</f>
        <v>muemsmumum</v>
      </c>
      <c r="F103" s="61">
        <f>countif(Constants!A:A,E103)</f>
        <v>1</v>
      </c>
      <c r="G103" s="60" t="str">
        <f>IFERROR(__xludf.DUMMYFUNCTION("REGEXREPLACE(substitute(substitute(B103,"" "",""""),""..."",""""),""\(.*\)"","""")"),"206.7669877")</f>
        <v>206.7669877</v>
      </c>
      <c r="H103" s="62">
        <f t="shared" si="2"/>
        <v>206.7669877</v>
      </c>
      <c r="I103" s="60" t="str">
        <f>IFERROR(__xludf.DUMMYFUNCTION("if(regexmatch($B103,""\(""),CONCATENATE(regexreplace(REGEXREPLACE(substitute(left($B103,find(""("",$B103)-1),"" "",""""),""\d"",""0""),""[-0]*\."",""0.""), REGEXEXTRACT($B103,""\((.*)\)""),TRIM(REGEXEXTRACT($B103,""\)(.*)""))),"""")"),"0.000000052")</f>
        <v>0.000000052</v>
      </c>
      <c r="J103" s="62">
        <f t="shared" si="3"/>
        <v>0.000000052</v>
      </c>
      <c r="K103" s="62" t="b">
        <f t="shared" si="4"/>
        <v>0</v>
      </c>
      <c r="L103" s="62" t="b">
        <f t="shared" si="5"/>
        <v>0</v>
      </c>
      <c r="M103" s="60" t="str">
        <f>IFERROR(__xludf.DUMMYFUNCTION("if(regexmatch(B103,""e(.*)$""),regexextract(B103,""e(.*)$""),"""")"),"")</f>
        <v/>
      </c>
    </row>
    <row r="104">
      <c r="A104" s="80" t="s">
        <v>1868</v>
      </c>
      <c r="B104" s="80" t="s">
        <v>4774</v>
      </c>
      <c r="C104" s="80"/>
      <c r="D104" s="18" t="str">
        <f t="shared" si="1"/>
        <v/>
      </c>
      <c r="E104" s="60" t="str">
        <f>VLOOKUP($A104,nist_names_ids!A:B,2,false)</f>
        <v>mesmmu</v>
      </c>
      <c r="F104" s="61">
        <f>countif(Constants!A:A,E104)</f>
        <v>1</v>
      </c>
      <c r="G104" s="60" t="str">
        <f>IFERROR(__xludf.DUMMYFUNCTION("REGEXREPLACE(substitute(substitute(B104,"" "",""""),""..."",""""),""\(.*\)"","""")"),"4.83633171e-3")</f>
        <v>4.83633171e-3</v>
      </c>
      <c r="H104" s="62">
        <f t="shared" si="2"/>
        <v>0.00483633171</v>
      </c>
      <c r="I104" s="60" t="str">
        <f>IFERROR(__xludf.DUMMYFUNCTION("if(regexmatch($B104,""\(""),CONCATENATE(regexreplace(REGEXREPLACE(substitute(left($B104,find(""("",$B104)-1),"" "",""""),""\d"",""0""),""[-0]*\."",""0.""), REGEXEXTRACT($B104,""\((.*)\)""),TRIM(REGEXEXTRACT($B104,""\)(.*)""))),"""")"),"0.0000000012e-3")</f>
        <v>0.0000000012e-3</v>
      </c>
      <c r="J104" s="62">
        <f t="shared" si="3"/>
        <v>0</v>
      </c>
      <c r="K104" s="62" t="b">
        <f t="shared" si="4"/>
        <v>0</v>
      </c>
      <c r="L104" s="62" t="b">
        <f t="shared" si="5"/>
        <v>0</v>
      </c>
      <c r="M104" s="60" t="str">
        <f>IFERROR(__xludf.DUMMYFUNCTION("if(regexmatch(B104,""e(.*)$""),regexextract(B104,""e(.*)$""),"""")"),"-3")</f>
        <v>-3</v>
      </c>
    </row>
    <row r="105">
      <c r="A105" s="80" t="s">
        <v>2498</v>
      </c>
      <c r="B105" s="80" t="s">
        <v>4776</v>
      </c>
      <c r="C105" s="80"/>
      <c r="D105" s="18" t="str">
        <f t="shared" si="1"/>
        <v/>
      </c>
      <c r="E105" s="60" t="str">
        <f>VLOOKUP($A105,nist_names_ids!A:B,2,false)</f>
        <v>muemsmunn</v>
      </c>
      <c r="F105" s="61">
        <f>countif(Constants!A:A,E105)</f>
        <v>1</v>
      </c>
      <c r="G105" s="60" t="str">
        <f>IFERROR(__xludf.DUMMYFUNCTION("REGEXREPLACE(substitute(substitute(B105,"" "",""""),""..."",""""),""\(.*\)"","""")"),"960.92050")</f>
        <v>960.92050</v>
      </c>
      <c r="H105" s="62">
        <f t="shared" si="2"/>
        <v>960.9205</v>
      </c>
      <c r="I105" s="60" t="str">
        <f>IFERROR(__xludf.DUMMYFUNCTION("if(regexmatch($B105,""\(""),CONCATENATE(regexreplace(REGEXREPLACE(substitute(left($B105,find(""("",$B105)-1),"" "",""""),""\d"",""0""),""[-0]*\."",""0.""), REGEXEXTRACT($B105,""\((.*)\)""),TRIM(REGEXEXTRACT($B105,""\)(.*)""))),"""")"),"0.0000023")</f>
        <v>0.0000023</v>
      </c>
      <c r="J105" s="62">
        <f t="shared" si="3"/>
        <v>0.0000023</v>
      </c>
      <c r="K105" s="62" t="b">
        <f t="shared" si="4"/>
        <v>0</v>
      </c>
      <c r="L105" s="62" t="b">
        <f t="shared" si="5"/>
        <v>0</v>
      </c>
      <c r="M105" s="60" t="str">
        <f>IFERROR(__xludf.DUMMYFUNCTION("if(regexmatch(B105,""e(.*)$""),regexextract(B105,""e(.*)$""),"""")"),"")</f>
        <v/>
      </c>
    </row>
    <row r="106">
      <c r="A106" s="80" t="s">
        <v>1878</v>
      </c>
      <c r="B106" s="80" t="s">
        <v>4791</v>
      </c>
      <c r="C106" s="80"/>
      <c r="D106" s="18" t="str">
        <f t="shared" si="1"/>
        <v/>
      </c>
      <c r="E106" s="60" t="str">
        <f>VLOOKUP($A106,nist_names_ids!A:B,2,false)</f>
        <v>mesmn</v>
      </c>
      <c r="F106" s="61">
        <f>countif(Constants!A:A,E106)</f>
        <v>1</v>
      </c>
      <c r="G106" s="60" t="str">
        <f>IFERROR(__xludf.DUMMYFUNCTION("REGEXREPLACE(substitute(substitute(B106,"" "",""""),""..."",""""),""\(.*\)"","""")"),"5.4386734459e-4")</f>
        <v>5.4386734459e-4</v>
      </c>
      <c r="H106" s="62">
        <f t="shared" si="2"/>
        <v>0.0005438673446</v>
      </c>
      <c r="I106" s="60" t="str">
        <f>IFERROR(__xludf.DUMMYFUNCTION("if(regexmatch($B106,""\(""),CONCATENATE(regexreplace(REGEXREPLACE(substitute(left($B106,find(""("",$B106)-1),"" "",""""),""\d"",""0""),""[-0]*\."",""0.""), REGEXEXTRACT($B106,""\((.*)\)""),TRIM(REGEXEXTRACT($B106,""\)(.*)""))),"""")"),"0.000000000033e-4")</f>
        <v>0.000000000033e-4</v>
      </c>
      <c r="J106" s="62">
        <f t="shared" si="3"/>
        <v>0</v>
      </c>
      <c r="K106" s="62" t="b">
        <f t="shared" si="4"/>
        <v>0</v>
      </c>
      <c r="L106" s="62" t="b">
        <f t="shared" si="5"/>
        <v>0</v>
      </c>
      <c r="M106" s="60" t="str">
        <f>IFERROR(__xludf.DUMMYFUNCTION("if(regexmatch(B106,""e(.*)$""),regexextract(B106,""e(.*)$""),"""")"),"-4")</f>
        <v>-4</v>
      </c>
    </row>
    <row r="107">
      <c r="A107" s="80" t="s">
        <v>2541</v>
      </c>
      <c r="B107" s="80" t="s">
        <v>4796</v>
      </c>
      <c r="C107" s="80"/>
      <c r="D107" s="18" t="str">
        <f t="shared" si="1"/>
        <v/>
      </c>
      <c r="E107" s="60" t="str">
        <f>VLOOKUP($A107,nist_names_ids!A:B,2,false)</f>
        <v>muemsmup</v>
      </c>
      <c r="F107" s="61">
        <f>countif(Constants!A:A,E107)</f>
        <v>1</v>
      </c>
      <c r="G107" s="60" t="str">
        <f>IFERROR(__xludf.DUMMYFUNCTION("REGEXREPLACE(substitute(substitute(B107,"" "",""""),""..."",""""),""\(.*\)"","""")"),"-658.2106848")</f>
        <v>-658.2106848</v>
      </c>
      <c r="H107" s="62">
        <f t="shared" si="2"/>
        <v>-658.2106848</v>
      </c>
      <c r="I107" s="60" t="str">
        <f>IFERROR(__xludf.DUMMYFUNCTION("if(regexmatch($B107,""\(""),CONCATENATE(regexreplace(REGEXREPLACE(substitute(left($B107,find(""("",$B107)-1),"" "",""""),""\d"",""0""),""[-0]*\."",""0.""), REGEXEXTRACT($B107,""\((.*)\)""),TRIM(REGEXEXTRACT($B107,""\)(.*)""))),"""")"),"0.000000054")</f>
        <v>0.000000054</v>
      </c>
      <c r="J107" s="62">
        <f t="shared" si="3"/>
        <v>0.000000054</v>
      </c>
      <c r="K107" s="62" t="b">
        <f t="shared" si="4"/>
        <v>0</v>
      </c>
      <c r="L107" s="62" t="b">
        <f t="shared" si="5"/>
        <v>0</v>
      </c>
      <c r="M107" s="60" t="str">
        <f>IFERROR(__xludf.DUMMYFUNCTION("if(regexmatch(B107,""e(.*)$""),regexextract(B107,""e(.*)$""),"""")"),"")</f>
        <v/>
      </c>
    </row>
    <row r="108">
      <c r="A108" s="80" t="s">
        <v>1886</v>
      </c>
      <c r="B108" s="80" t="s">
        <v>4798</v>
      </c>
      <c r="C108" s="80"/>
      <c r="D108" s="18" t="str">
        <f t="shared" si="1"/>
        <v/>
      </c>
      <c r="E108" s="60" t="str">
        <f>VLOOKUP($A108,nist_names_ids!A:B,2,false)</f>
        <v>mesmp</v>
      </c>
      <c r="F108" s="61">
        <f>countif(Constants!A:A,E108)</f>
        <v>1</v>
      </c>
      <c r="G108" s="60" t="str">
        <f>IFERROR(__xludf.DUMMYFUNCTION("REGEXREPLACE(substitute(substitute(B108,"" "",""""),""..."",""""),""\(.*\)"","""")"),"5.4461702177e-4")</f>
        <v>5.4461702177e-4</v>
      </c>
      <c r="H108" s="62">
        <f t="shared" si="2"/>
        <v>0.0005446170218</v>
      </c>
      <c r="I108" s="60" t="str">
        <f>IFERROR(__xludf.DUMMYFUNCTION("if(regexmatch($B108,""\(""),CONCATENATE(regexreplace(REGEXREPLACE(substitute(left($B108,find(""("",$B108)-1),"" "",""""),""\d"",""0""),""[-0]*\."",""0.""), REGEXEXTRACT($B108,""\((.*)\)""),TRIM(REGEXEXTRACT($B108,""\)(.*)""))),"""")"),"0.000000000024e-4")</f>
        <v>0.000000000024e-4</v>
      </c>
      <c r="J108" s="62">
        <f t="shared" si="3"/>
        <v>0</v>
      </c>
      <c r="K108" s="62" t="b">
        <f t="shared" si="4"/>
        <v>0</v>
      </c>
      <c r="L108" s="62" t="b">
        <f t="shared" si="5"/>
        <v>0</v>
      </c>
      <c r="M108" s="60" t="str">
        <f>IFERROR(__xludf.DUMMYFUNCTION("if(regexmatch(B108,""e(.*)$""),regexextract(B108,""e(.*)$""),"""")"),"-4")</f>
        <v>-4</v>
      </c>
    </row>
    <row r="109">
      <c r="A109" s="80" t="s">
        <v>1896</v>
      </c>
      <c r="B109" s="80" t="s">
        <v>4801</v>
      </c>
      <c r="C109" s="80"/>
      <c r="D109" s="18" t="str">
        <f t="shared" si="1"/>
        <v/>
      </c>
      <c r="E109" s="60" t="str">
        <f>VLOOKUP($A109,nist_names_ids!A:B,2,false)</f>
        <v>mesmtau</v>
      </c>
      <c r="F109" s="61">
        <f>countif(Constants!A:A,E109)</f>
        <v>1</v>
      </c>
      <c r="G109" s="60" t="str">
        <f>IFERROR(__xludf.DUMMYFUNCTION("REGEXREPLACE(substitute(substitute(B109,"" "",""""),""..."",""""),""\(.*\)"","""")"),"2.87564e-4")</f>
        <v>2.87564e-4</v>
      </c>
      <c r="H109" s="62">
        <f t="shared" si="2"/>
        <v>0.000287564</v>
      </c>
      <c r="I109" s="60" t="str">
        <f>IFERROR(__xludf.DUMMYFUNCTION("if(regexmatch($B109,""\(""),CONCATENATE(regexreplace(REGEXREPLACE(substitute(left($B109,find(""("",$B109)-1),"" "",""""),""\d"",""0""),""[-0]*\."",""0.""), REGEXEXTRACT($B109,""\((.*)\)""),TRIM(REGEXEXTRACT($B109,""\)(.*)""))),"""")"),"0.0000047e-4")</f>
        <v>0.0000047e-4</v>
      </c>
      <c r="J109" s="62">
        <f t="shared" si="3"/>
        <v>0.00000000047</v>
      </c>
      <c r="K109" s="62" t="b">
        <f t="shared" si="4"/>
        <v>0</v>
      </c>
      <c r="L109" s="62" t="b">
        <f t="shared" si="5"/>
        <v>0</v>
      </c>
      <c r="M109" s="60" t="str">
        <f>IFERROR(__xludf.DUMMYFUNCTION("if(regexmatch(B109,""e(.*)$""),regexextract(B109,""e(.*)$""),"""")"),"-4")</f>
        <v>-4</v>
      </c>
    </row>
    <row r="110">
      <c r="A110" s="80" t="s">
        <v>2603</v>
      </c>
      <c r="B110" s="80" t="s">
        <v>4687</v>
      </c>
      <c r="C110" s="80" t="s">
        <v>4803</v>
      </c>
      <c r="D110" s="18" t="str">
        <f t="shared" si="1"/>
        <v>A J^-1</v>
      </c>
      <c r="E110" s="60" t="str">
        <f>VLOOKUP($A110,nist_names_ids!A:B,2,false)</f>
        <v>eshbar</v>
      </c>
      <c r="F110" s="61">
        <f>countif(Constants!A:A,E110)</f>
        <v>1</v>
      </c>
      <c r="G110" s="60" t="str">
        <f>IFERROR(__xludf.DUMMYFUNCTION("REGEXREPLACE(substitute(substitute(B110,"" "",""""),""..."",""""),""\(.*\)"","""")"),"2.417989454e14")</f>
        <v>2.417989454e14</v>
      </c>
      <c r="H110" s="62">
        <f t="shared" si="2"/>
        <v>241798945400000</v>
      </c>
      <c r="I110" s="60" t="str">
        <f>IFERROR(__xludf.DUMMYFUNCTION("if(regexmatch($B110,""\(""),CONCATENATE(regexreplace(REGEXREPLACE(substitute(left($B110,find(""("",$B110)-1),"" "",""""),""\d"",""0""),""[-0]*\."",""0.""), REGEXEXTRACT($B110,""\((.*)\)""),TRIM(REGEXEXTRACT($B110,""\)(.*)""))),"""")"),"0.00000000060e14")</f>
        <v>0.00000000060e14</v>
      </c>
      <c r="J110" s="62">
        <f t="shared" si="3"/>
        <v>60000</v>
      </c>
      <c r="K110" s="62" t="b">
        <f t="shared" si="4"/>
        <v>0</v>
      </c>
      <c r="L110" s="62" t="b">
        <f t="shared" si="5"/>
        <v>0</v>
      </c>
      <c r="M110" s="60" t="str">
        <f>IFERROR(__xludf.DUMMYFUNCTION("if(regexmatch(B110,""e(.*)$""),regexextract(B110,""e(.*)$""),"""")"),"14")</f>
        <v>14</v>
      </c>
    </row>
    <row r="111">
      <c r="A111" s="80" t="s">
        <v>1956</v>
      </c>
      <c r="B111" s="80" t="s">
        <v>4806</v>
      </c>
      <c r="C111" s="80" t="s">
        <v>4807</v>
      </c>
      <c r="D111" s="18" t="str">
        <f t="shared" si="1"/>
        <v>C mol^-1</v>
      </c>
      <c r="E111" s="60" t="str">
        <f>VLOOKUP($A111,nist_names_ids!A:B,2,false)</f>
        <v>f</v>
      </c>
      <c r="F111" s="61">
        <f>countif(Constants!A:A,E111)</f>
        <v>1</v>
      </c>
      <c r="G111" s="60" t="str">
        <f>IFERROR(__xludf.DUMMYFUNCTION("REGEXREPLACE(substitute(substitute(B111,"" "",""""),""..."",""""),""\(.*\)"","""")"),"96485.3399")</f>
        <v>96485.3399</v>
      </c>
      <c r="H111" s="62">
        <f t="shared" si="2"/>
        <v>96485.3399</v>
      </c>
      <c r="I111" s="60" t="str">
        <f>IFERROR(__xludf.DUMMYFUNCTION("if(regexmatch($B111,""\(""),CONCATENATE(regexreplace(REGEXREPLACE(substitute(left($B111,find(""("",$B111)-1),"" "",""""),""\d"",""0""),""[-0]*\."",""0.""), REGEXEXTRACT($B111,""\((.*)\)""),TRIM(REGEXEXTRACT($B111,""\)(.*)""))),"""")"),"0.000024")</f>
        <v>0.000024</v>
      </c>
      <c r="J111" s="62">
        <f t="shared" si="3"/>
        <v>0.000024</v>
      </c>
      <c r="K111" s="62" t="b">
        <f t="shared" si="4"/>
        <v>0</v>
      </c>
      <c r="L111" s="62" t="b">
        <f t="shared" si="5"/>
        <v>0</v>
      </c>
      <c r="M111" s="60" t="str">
        <f>IFERROR(__xludf.DUMMYFUNCTION("if(regexmatch(B111,""e(.*)$""),regexextract(B111,""e(.*)$""),"""")"),"")</f>
        <v/>
      </c>
    </row>
    <row r="112">
      <c r="A112" s="80" t="s">
        <v>2239</v>
      </c>
      <c r="B112" s="80" t="s">
        <v>4811</v>
      </c>
      <c r="C112" s="80" t="s">
        <v>4812</v>
      </c>
      <c r="D112" s="18" t="str">
        <f t="shared" si="1"/>
        <v>C_90 mol^-1</v>
      </c>
      <c r="E112" s="60" t="str">
        <f>VLOOKUP($A112,nist_names_ids!A:B,2,false)</f>
        <v>f90</v>
      </c>
      <c r="F112" s="61">
        <f>countif(Constants!A:A,E112)</f>
        <v>1</v>
      </c>
      <c r="G112" s="60" t="str">
        <f>IFERROR(__xludf.DUMMYFUNCTION("REGEXREPLACE(substitute(substitute(B112,"" "",""""),""..."",""""),""\(.*\)"","""")"),"96485.3401")</f>
        <v>96485.3401</v>
      </c>
      <c r="H112" s="62">
        <f t="shared" si="2"/>
        <v>96485.3401</v>
      </c>
      <c r="I112" s="60" t="str">
        <f>IFERROR(__xludf.DUMMYFUNCTION("if(regexmatch($B112,""\(""),CONCATENATE(regexreplace(REGEXREPLACE(substitute(left($B112,find(""("",$B112)-1),"" "",""""),""\d"",""0""),""[-0]*\."",""0.""), REGEXEXTRACT($B112,""\((.*)\)""),TRIM(REGEXEXTRACT($B112,""\)(.*)""))),"""")"),"0.000048")</f>
        <v>0.000048</v>
      </c>
      <c r="J112" s="62">
        <f t="shared" si="3"/>
        <v>0.000048</v>
      </c>
      <c r="K112" s="62" t="b">
        <f t="shared" si="4"/>
        <v>0</v>
      </c>
      <c r="L112" s="62" t="b">
        <f t="shared" si="5"/>
        <v>0</v>
      </c>
      <c r="M112" s="60" t="str">
        <f>IFERROR(__xludf.DUMMYFUNCTION("if(regexmatch(B112,""e(.*)$""),regexextract(B112,""e(.*)$""),"""")"),"")</f>
        <v/>
      </c>
    </row>
    <row r="113">
      <c r="A113" s="80" t="s">
        <v>1960</v>
      </c>
      <c r="B113" s="80" t="s">
        <v>4814</v>
      </c>
      <c r="C113" s="80" t="s">
        <v>4815</v>
      </c>
      <c r="D113" s="18" t="str">
        <f t="shared" si="1"/>
        <v>GeV^-2</v>
      </c>
      <c r="E113" s="60" t="str">
        <f>VLOOKUP($A113,nist_names_ids!A:B,2,false)</f>
        <v>gf</v>
      </c>
      <c r="F113" s="61">
        <f>countif(Constants!A:A,E113)</f>
        <v>1</v>
      </c>
      <c r="G113" s="60" t="str">
        <f>IFERROR(__xludf.DUMMYFUNCTION("REGEXREPLACE(substitute(substitute(B113,"" "",""""),""..."",""""),""\(.*\)"","""")"),"1.16637e-5")</f>
        <v>1.16637e-5</v>
      </c>
      <c r="H113" s="62">
        <f t="shared" si="2"/>
        <v>0.0000116637</v>
      </c>
      <c r="I113" s="60" t="str">
        <f>IFERROR(__xludf.DUMMYFUNCTION("if(regexmatch($B113,""\(""),CONCATENATE(regexreplace(REGEXREPLACE(substitute(left($B113,find(""("",$B113)-1),"" "",""""),""\d"",""0""),""[-0]*\."",""0.""), REGEXEXTRACT($B113,""\((.*)\)""),TRIM(REGEXEXTRACT($B113,""\)(.*)""))),"""")"),"0.000001e-5")</f>
        <v>0.000001e-5</v>
      </c>
      <c r="J113" s="62">
        <f t="shared" si="3"/>
        <v>0</v>
      </c>
      <c r="K113" s="62" t="b">
        <f t="shared" si="4"/>
        <v>0</v>
      </c>
      <c r="L113" s="62" t="b">
        <f t="shared" si="5"/>
        <v>0</v>
      </c>
      <c r="M113" s="60" t="str">
        <f>IFERROR(__xludf.DUMMYFUNCTION("if(regexmatch(B113,""e(.*)$""),regexextract(B113,""e(.*)$""),"""")"),"-5")</f>
        <v>-5</v>
      </c>
    </row>
    <row r="114">
      <c r="A114" s="80" t="s">
        <v>1966</v>
      </c>
      <c r="B114" s="80" t="s">
        <v>4822</v>
      </c>
      <c r="C114" s="80"/>
      <c r="D114" s="18" t="str">
        <f t="shared" si="1"/>
        <v/>
      </c>
      <c r="E114" s="60" t="str">
        <f>VLOOKUP($A114,nist_names_ids!A:B,2,false)</f>
        <v>alph</v>
      </c>
      <c r="F114" s="61">
        <f>countif(Constants!A:A,E114)</f>
        <v>1</v>
      </c>
      <c r="G114" s="60" t="str">
        <f>IFERROR(__xludf.DUMMYFUNCTION("REGEXREPLACE(substitute(substitute(B114,"" "",""""),""..."",""""),""\(.*\)"","""")"),"7.2973525376e-3")</f>
        <v>7.2973525376e-3</v>
      </c>
      <c r="H114" s="62">
        <f t="shared" si="2"/>
        <v>0.007297352538</v>
      </c>
      <c r="I114" s="60" t="str">
        <f>IFERROR(__xludf.DUMMYFUNCTION("if(regexmatch($B114,""\(""),CONCATENATE(regexreplace(REGEXREPLACE(substitute(left($B114,find(""("",$B114)-1),"" "",""""),""\d"",""0""),""[-0]*\."",""0.""), REGEXEXTRACT($B114,""\((.*)\)""),TRIM(REGEXEXTRACT($B114,""\)(.*)""))),"""")"),"0.000000000050e-3")</f>
        <v>0.000000000050e-3</v>
      </c>
      <c r="J114" s="62">
        <f t="shared" si="3"/>
        <v>0</v>
      </c>
      <c r="K114" s="62" t="b">
        <f t="shared" si="4"/>
        <v>0</v>
      </c>
      <c r="L114" s="62" t="b">
        <f t="shared" si="5"/>
        <v>0</v>
      </c>
      <c r="M114" s="60" t="str">
        <f>IFERROR(__xludf.DUMMYFUNCTION("if(regexmatch(B114,""e(.*)$""),regexextract(B114,""e(.*)$""),"""")"),"-3")</f>
        <v>-3</v>
      </c>
    </row>
    <row r="115">
      <c r="A115" s="80" t="s">
        <v>1972</v>
      </c>
      <c r="B115" s="80" t="s">
        <v>4824</v>
      </c>
      <c r="C115" s="80" t="s">
        <v>4825</v>
      </c>
      <c r="D115" s="18" t="str">
        <f t="shared" si="1"/>
        <v>W m^2</v>
      </c>
      <c r="E115" s="60" t="str">
        <f>VLOOKUP($A115,nist_names_ids!A:B,2,false)</f>
        <v>c11strc</v>
      </c>
      <c r="F115" s="61">
        <f>countif(Constants!A:A,E115)</f>
        <v>1</v>
      </c>
      <c r="G115" s="60" t="str">
        <f>IFERROR(__xludf.DUMMYFUNCTION("REGEXREPLACE(substitute(substitute(B115,"" "",""""),""..."",""""),""\(.*\)"","""")"),"3.74177118e-16")</f>
        <v>3.74177118e-16</v>
      </c>
      <c r="H115" s="62">
        <f t="shared" si="2"/>
        <v>0</v>
      </c>
      <c r="I115" s="60" t="str">
        <f>IFERROR(__xludf.DUMMYFUNCTION("if(regexmatch($B115,""\(""),CONCATENATE(regexreplace(REGEXREPLACE(substitute(left($B115,find(""("",$B115)-1),"" "",""""),""\d"",""0""),""[-0]*\."",""0.""), REGEXEXTRACT($B115,""\((.*)\)""),TRIM(REGEXEXTRACT($B115,""\)(.*)""))),"""")"),"0.0000000019e-16")</f>
        <v>0.0000000019e-16</v>
      </c>
      <c r="J115" s="62">
        <f t="shared" si="3"/>
        <v>0</v>
      </c>
      <c r="K115" s="62" t="b">
        <f t="shared" si="4"/>
        <v>0</v>
      </c>
      <c r="L115" s="62" t="b">
        <f t="shared" si="5"/>
        <v>0</v>
      </c>
      <c r="M115" s="60" t="str">
        <f>IFERROR(__xludf.DUMMYFUNCTION("if(regexmatch(B115,""e(.*)$""),regexextract(B115,""e(.*)$""),"""")"),"-16")</f>
        <v>-16</v>
      </c>
    </row>
    <row r="116">
      <c r="A116" s="80" t="s">
        <v>1979</v>
      </c>
      <c r="B116" s="80" t="s">
        <v>4829</v>
      </c>
      <c r="C116" s="80" t="s">
        <v>4830</v>
      </c>
      <c r="D116" s="18" t="str">
        <f t="shared" si="1"/>
        <v>W m^2 sr^-1</v>
      </c>
      <c r="E116" s="60" t="str">
        <f>VLOOKUP($A116,nist_names_ids!A:B,2,false)</f>
        <v>c1l</v>
      </c>
      <c r="F116" s="61">
        <f>countif(Constants!A:A,E116)</f>
        <v>1</v>
      </c>
      <c r="G116" s="60" t="str">
        <f>IFERROR(__xludf.DUMMYFUNCTION("REGEXREPLACE(substitute(substitute(B116,"" "",""""),""..."",""""),""\(.*\)"","""")"),"1.191042759e-16")</f>
        <v>1.191042759e-16</v>
      </c>
      <c r="H116" s="62">
        <f t="shared" si="2"/>
        <v>0</v>
      </c>
      <c r="I116" s="60" t="str">
        <f>IFERROR(__xludf.DUMMYFUNCTION("if(regexmatch($B116,""\(""),CONCATENATE(regexreplace(REGEXREPLACE(substitute(left($B116,find(""("",$B116)-1),"" "",""""),""\d"",""0""),""[-0]*\."",""0.""), REGEXEXTRACT($B116,""\((.*)\)""),TRIM(REGEXEXTRACT($B116,""\)(.*)""))),"""")"),"0.00000000059e-16")</f>
        <v>0.00000000059e-16</v>
      </c>
      <c r="J116" s="62">
        <f t="shared" si="3"/>
        <v>0</v>
      </c>
      <c r="K116" s="62" t="b">
        <f t="shared" si="4"/>
        <v>0</v>
      </c>
      <c r="L116" s="62" t="b">
        <f t="shared" si="5"/>
        <v>0</v>
      </c>
      <c r="M116" s="60" t="str">
        <f>IFERROR(__xludf.DUMMYFUNCTION("if(regexmatch(B116,""e(.*)$""),regexextract(B116,""e(.*)$""),"""")"),"-16")</f>
        <v>-16</v>
      </c>
    </row>
    <row r="117">
      <c r="A117" s="80" t="s">
        <v>1993</v>
      </c>
      <c r="B117" s="80" t="s">
        <v>4405</v>
      </c>
      <c r="C117" s="80" t="s">
        <v>181</v>
      </c>
      <c r="D117" s="18" t="str">
        <f t="shared" si="1"/>
        <v>eV</v>
      </c>
      <c r="E117" s="60" t="str">
        <f>VLOOKUP($A117,nist_names_ids!A:B,2,false)</f>
        <v>threv</v>
      </c>
      <c r="F117" s="61">
        <f>countif(Constants!A:A,E117)</f>
        <v>1</v>
      </c>
      <c r="G117" s="60" t="str">
        <f>IFERROR(__xludf.DUMMYFUNCTION("REGEXREPLACE(substitute(substitute(B117,"" "",""""),""..."",""""),""\(.*\)"","""")"),"27.21138386")</f>
        <v>27.21138386</v>
      </c>
      <c r="H117" s="62">
        <f t="shared" si="2"/>
        <v>27.21138386</v>
      </c>
      <c r="I117" s="60" t="str">
        <f>IFERROR(__xludf.DUMMYFUNCTION("if(regexmatch($B117,""\(""),CONCATENATE(regexreplace(REGEXREPLACE(substitute(left($B117,find(""("",$B117)-1),"" "",""""),""\d"",""0""),""[-0]*\."",""0.""), REGEXEXTRACT($B117,""\((.*)\)""),TRIM(REGEXEXTRACT($B117,""\)(.*)""))),"""")"),"0.0000000068")</f>
        <v>0.0000000068</v>
      </c>
      <c r="J117" s="62">
        <f t="shared" si="3"/>
        <v>0.0000000068</v>
      </c>
      <c r="K117" s="62" t="b">
        <f t="shared" si="4"/>
        <v>0</v>
      </c>
      <c r="L117" s="62" t="b">
        <f t="shared" si="5"/>
        <v>0</v>
      </c>
      <c r="M117" s="60" t="str">
        <f>IFERROR(__xludf.DUMMYFUNCTION("if(regexmatch(B117,""e(.*)$""),regexextract(B117,""e(.*)$""),"""")"),"")</f>
        <v/>
      </c>
    </row>
    <row r="118">
      <c r="A118" s="80" t="s">
        <v>2684</v>
      </c>
      <c r="B118" s="80" t="s">
        <v>4412</v>
      </c>
      <c r="C118" s="80" t="s">
        <v>173</v>
      </c>
      <c r="D118" s="18" t="str">
        <f t="shared" si="1"/>
        <v>J</v>
      </c>
      <c r="E118" s="60" t="str">
        <f>VLOOKUP($A118,nist_names_ids!A:B,2,false)</f>
        <v>hr</v>
      </c>
      <c r="F118" s="61">
        <f>countif(Constants!A:A,E118)</f>
        <v>1</v>
      </c>
      <c r="G118" s="60" t="str">
        <f>IFERROR(__xludf.DUMMYFUNCTION("REGEXREPLACE(substitute(substitute(B118,"" "",""""),""..."",""""),""\(.*\)"","""")"),"4.35974394e-18")</f>
        <v>4.35974394e-18</v>
      </c>
      <c r="H118" s="62">
        <f t="shared" si="2"/>
        <v>0</v>
      </c>
      <c r="I118" s="60" t="str">
        <f>IFERROR(__xludf.DUMMYFUNCTION("if(regexmatch($B118,""\(""),CONCATENATE(regexreplace(REGEXREPLACE(substitute(left($B118,find(""("",$B118)-1),"" "",""""),""\d"",""0""),""[-0]*\."",""0.""), REGEXEXTRACT($B118,""\((.*)\)""),TRIM(REGEXEXTRACT($B118,""\)(.*)""))),"""")"),"0.0000000022e-18")</f>
        <v>0.0000000022e-18</v>
      </c>
      <c r="J118" s="62">
        <f t="shared" si="3"/>
        <v>0</v>
      </c>
      <c r="K118" s="62" t="b">
        <f t="shared" si="4"/>
        <v>0</v>
      </c>
      <c r="L118" s="62" t="b">
        <f t="shared" si="5"/>
        <v>0</v>
      </c>
      <c r="M118" s="60" t="str">
        <f>IFERROR(__xludf.DUMMYFUNCTION("if(regexmatch(B118,""e(.*)$""),regexextract(B118,""e(.*)$""),"""")"),"-18")</f>
        <v>-18</v>
      </c>
    </row>
    <row r="119">
      <c r="A119" s="80" t="s">
        <v>1984</v>
      </c>
      <c r="B119" s="80" t="s">
        <v>4842</v>
      </c>
      <c r="C119" s="80" t="s">
        <v>249</v>
      </c>
      <c r="D119" s="18" t="str">
        <f t="shared" si="1"/>
        <v>u</v>
      </c>
      <c r="E119" s="60" t="str">
        <f>VLOOKUP($A119,nist_names_ids!A:B,2,false)</f>
        <v>hru</v>
      </c>
      <c r="F119" s="61">
        <f>countif(Constants!A:A,E119)</f>
        <v>1</v>
      </c>
      <c r="G119" s="60" t="str">
        <f>IFERROR(__xludf.DUMMYFUNCTION("REGEXREPLACE(substitute(substitute(B119,"" "",""""),""..."",""""),""\(.*\)"","""")"),"2.9212622986e-8")</f>
        <v>2.9212622986e-8</v>
      </c>
      <c r="H119" s="62">
        <f t="shared" si="2"/>
        <v>0.00000002921262299</v>
      </c>
      <c r="I119" s="60" t="str">
        <f>IFERROR(__xludf.DUMMYFUNCTION("if(regexmatch($B119,""\(""),CONCATENATE(regexreplace(REGEXREPLACE(substitute(left($B119,find(""("",$B119)-1),"" "",""""),""\d"",""0""),""[-0]*\."",""0.""), REGEXEXTRACT($B119,""\((.*)\)""),TRIM(REGEXEXTRACT($B119,""\)(.*)""))),"""")"),"0.000000000042e-8")</f>
        <v>0.000000000042e-8</v>
      </c>
      <c r="J119" s="62">
        <f t="shared" si="3"/>
        <v>0</v>
      </c>
      <c r="K119" s="62" t="b">
        <f t="shared" si="4"/>
        <v>0</v>
      </c>
      <c r="L119" s="62" t="b">
        <f t="shared" si="5"/>
        <v>0</v>
      </c>
      <c r="M119" s="60" t="str">
        <f>IFERROR(__xludf.DUMMYFUNCTION("if(regexmatch(B119,""e(.*)$""),regexextract(B119,""e(.*)$""),"""")"),"-8")</f>
        <v>-8</v>
      </c>
    </row>
    <row r="120">
      <c r="A120" s="80" t="s">
        <v>1988</v>
      </c>
      <c r="B120" s="80" t="s">
        <v>4405</v>
      </c>
      <c r="C120" s="80" t="s">
        <v>181</v>
      </c>
      <c r="D120" s="18" t="str">
        <f t="shared" si="1"/>
        <v>eV</v>
      </c>
      <c r="E120" s="60" t="str">
        <f>VLOOKUP($A120,nist_names_ids!A:B,2,false)</f>
        <v>hrev</v>
      </c>
      <c r="F120" s="61">
        <f>countif(Constants!A:A,E120)</f>
        <v>1</v>
      </c>
      <c r="G120" s="60" t="str">
        <f>IFERROR(__xludf.DUMMYFUNCTION("REGEXREPLACE(substitute(substitute(B120,"" "",""""),""..."",""""),""\(.*\)"","""")"),"27.21138386")</f>
        <v>27.21138386</v>
      </c>
      <c r="H120" s="62">
        <f t="shared" si="2"/>
        <v>27.21138386</v>
      </c>
      <c r="I120" s="60" t="str">
        <f>IFERROR(__xludf.DUMMYFUNCTION("if(regexmatch($B120,""\(""),CONCATENATE(regexreplace(REGEXREPLACE(substitute(left($B120,find(""("",$B120)-1),"" "",""""),""\d"",""0""),""[-0]*\."",""0.""), REGEXEXTRACT($B120,""\((.*)\)""),TRIM(REGEXEXTRACT($B120,""\)(.*)""))),"""")"),"0.0000000068")</f>
        <v>0.0000000068</v>
      </c>
      <c r="J120" s="62">
        <f t="shared" si="3"/>
        <v>0.0000000068</v>
      </c>
      <c r="K120" s="62" t="b">
        <f t="shared" si="4"/>
        <v>0</v>
      </c>
      <c r="L120" s="62" t="b">
        <f t="shared" si="5"/>
        <v>0</v>
      </c>
      <c r="M120" s="60" t="str">
        <f>IFERROR(__xludf.DUMMYFUNCTION("if(regexmatch(B120,""e(.*)$""),regexextract(B120,""e(.*)$""),"""")"),"")</f>
        <v/>
      </c>
    </row>
    <row r="121">
      <c r="A121" s="80" t="s">
        <v>1997</v>
      </c>
      <c r="B121" s="80" t="s">
        <v>4848</v>
      </c>
      <c r="C121" s="80" t="s">
        <v>257</v>
      </c>
      <c r="D121" s="18" t="str">
        <f t="shared" si="1"/>
        <v>Hz</v>
      </c>
      <c r="E121" s="60" t="str">
        <f>VLOOKUP($A121,nist_names_ids!A:B,2,false)</f>
        <v>hrhz</v>
      </c>
      <c r="F121" s="61">
        <f>countif(Constants!A:A,E121)</f>
        <v>1</v>
      </c>
      <c r="G121" s="60" t="str">
        <f>IFERROR(__xludf.DUMMYFUNCTION("REGEXREPLACE(substitute(substitute(B121,"" "",""""),""..."",""""),""\(.*\)"","""")"),"6.579683920722e15")</f>
        <v>6.579683920722e15</v>
      </c>
      <c r="H121" s="62">
        <f t="shared" si="2"/>
        <v>6.57968E+15</v>
      </c>
      <c r="I121" s="60" t="str">
        <f>IFERROR(__xludf.DUMMYFUNCTION("if(regexmatch($B121,""\(""),CONCATENATE(regexreplace(REGEXREPLACE(substitute(left($B121,find(""("",$B121)-1),"" "",""""),""\d"",""0""),""[-0]*\."",""0.""), REGEXEXTRACT($B121,""\((.*)\)""),TRIM(REGEXEXTRACT($B121,""\)(.*)""))),"""")"),"0.00000000000044e15")</f>
        <v>0.00000000000044e15</v>
      </c>
      <c r="J121" s="62">
        <f t="shared" si="3"/>
        <v>440</v>
      </c>
      <c r="K121" s="62" t="b">
        <f t="shared" si="4"/>
        <v>0</v>
      </c>
      <c r="L121" s="62" t="b">
        <f t="shared" si="5"/>
        <v>0</v>
      </c>
      <c r="M121" s="60" t="str">
        <f>IFERROR(__xludf.DUMMYFUNCTION("if(regexmatch(B121,""e(.*)$""),regexextract(B121,""e(.*)$""),"""")"),"15")</f>
        <v>15</v>
      </c>
    </row>
    <row r="122">
      <c r="A122" s="80" t="s">
        <v>2000</v>
      </c>
      <c r="B122" s="80" t="s">
        <v>4851</v>
      </c>
      <c r="C122" s="80" t="s">
        <v>4359</v>
      </c>
      <c r="D122" s="18" t="str">
        <f t="shared" si="1"/>
        <v>m^-1</v>
      </c>
      <c r="E122" s="60" t="str">
        <f>VLOOKUP($A122,nist_names_ids!A:B,2,false)</f>
        <v>hrminv</v>
      </c>
      <c r="F122" s="61">
        <f>countif(Constants!A:A,E122)</f>
        <v>1</v>
      </c>
      <c r="G122" s="60" t="str">
        <f>IFERROR(__xludf.DUMMYFUNCTION("REGEXREPLACE(substitute(substitute(B122,"" "",""""),""..."",""""),""\(.*\)"","""")"),"2.194746313705e7")</f>
        <v>2.194746313705e7</v>
      </c>
      <c r="H122" s="62">
        <f t="shared" si="2"/>
        <v>21947463.14</v>
      </c>
      <c r="I122" s="60" t="str">
        <f>IFERROR(__xludf.DUMMYFUNCTION("if(regexmatch($B122,""\(""),CONCATENATE(regexreplace(REGEXREPLACE(substitute(left($B122,find(""("",$B122)-1),"" "",""""),""\d"",""0""),""[-0]*\."",""0.""), REGEXEXTRACT($B122,""\((.*)\)""),TRIM(REGEXEXTRACT($B122,""\)(.*)""))),"""")"),"0.00000000000015e7")</f>
        <v>0.00000000000015e7</v>
      </c>
      <c r="J122" s="62">
        <f t="shared" si="3"/>
        <v>0.0000015</v>
      </c>
      <c r="K122" s="62" t="b">
        <f t="shared" si="4"/>
        <v>0</v>
      </c>
      <c r="L122" s="62" t="b">
        <f t="shared" si="5"/>
        <v>0</v>
      </c>
      <c r="M122" s="60" t="str">
        <f>IFERROR(__xludf.DUMMYFUNCTION("if(regexmatch(B122,""e(.*)$""),regexextract(B122,""e(.*)$""),"""")"),"7")</f>
        <v>7</v>
      </c>
    </row>
    <row r="123">
      <c r="A123" s="80" t="s">
        <v>2004</v>
      </c>
      <c r="B123" s="80" t="s">
        <v>4412</v>
      </c>
      <c r="C123" s="80" t="s">
        <v>173</v>
      </c>
      <c r="D123" s="18" t="str">
        <f t="shared" si="1"/>
        <v>J</v>
      </c>
      <c r="E123" s="60" t="str">
        <f>VLOOKUP($A123,nist_names_ids!A:B,2,false)</f>
        <v>hrj</v>
      </c>
      <c r="F123" s="61">
        <f>countif(Constants!A:A,E123)</f>
        <v>1</v>
      </c>
      <c r="G123" s="60" t="str">
        <f>IFERROR(__xludf.DUMMYFUNCTION("REGEXREPLACE(substitute(substitute(B123,"" "",""""),""..."",""""),""\(.*\)"","""")"),"4.35974394e-18")</f>
        <v>4.35974394e-18</v>
      </c>
      <c r="H123" s="62">
        <f t="shared" si="2"/>
        <v>0</v>
      </c>
      <c r="I123" s="60" t="str">
        <f>IFERROR(__xludf.DUMMYFUNCTION("if(regexmatch($B123,""\(""),CONCATENATE(regexreplace(REGEXREPLACE(substitute(left($B123,find(""("",$B123)-1),"" "",""""),""\d"",""0""),""[-0]*\."",""0.""), REGEXEXTRACT($B123,""\((.*)\)""),TRIM(REGEXEXTRACT($B123,""\)(.*)""))),"""")"),"0.0000000022e-18")</f>
        <v>0.0000000022e-18</v>
      </c>
      <c r="J123" s="62">
        <f t="shared" si="3"/>
        <v>0</v>
      </c>
      <c r="K123" s="62" t="b">
        <f t="shared" si="4"/>
        <v>0</v>
      </c>
      <c r="L123" s="62" t="b">
        <f t="shared" si="5"/>
        <v>0</v>
      </c>
      <c r="M123" s="60" t="str">
        <f>IFERROR(__xludf.DUMMYFUNCTION("if(regexmatch(B123,""e(.*)$""),regexextract(B123,""e(.*)$""),"""")"),"-18")</f>
        <v>-18</v>
      </c>
    </row>
    <row r="124">
      <c r="A124" s="80" t="s">
        <v>2009</v>
      </c>
      <c r="B124" s="80" t="s">
        <v>4858</v>
      </c>
      <c r="C124" s="80" t="s">
        <v>345</v>
      </c>
      <c r="D124" s="18" t="str">
        <f t="shared" si="1"/>
        <v>K</v>
      </c>
      <c r="E124" s="60" t="str">
        <f>VLOOKUP($A124,nist_names_ids!A:B,2,false)</f>
        <v>hrk</v>
      </c>
      <c r="F124" s="61">
        <f>countif(Constants!A:A,E124)</f>
        <v>1</v>
      </c>
      <c r="G124" s="60" t="str">
        <f>IFERROR(__xludf.DUMMYFUNCTION("REGEXREPLACE(substitute(substitute(B124,"" "",""""),""..."",""""),""\(.*\)"","""")"),"3.1577465e5")</f>
        <v>3.1577465e5</v>
      </c>
      <c r="H124" s="62">
        <f t="shared" si="2"/>
        <v>315774.65</v>
      </c>
      <c r="I124" s="60" t="str">
        <f>IFERROR(__xludf.DUMMYFUNCTION("if(regexmatch($B124,""\(""),CONCATENATE(regexreplace(REGEXREPLACE(substitute(left($B124,find(""("",$B124)-1),"" "",""""),""\d"",""0""),""[-0]*\."",""0.""), REGEXEXTRACT($B124,""\((.*)\)""),TRIM(REGEXEXTRACT($B124,""\)(.*)""))),"""")"),"0.000000055e5")</f>
        <v>0.000000055e5</v>
      </c>
      <c r="J124" s="62">
        <f t="shared" si="3"/>
        <v>0.0055</v>
      </c>
      <c r="K124" s="62" t="b">
        <f t="shared" si="4"/>
        <v>0</v>
      </c>
      <c r="L124" s="62" t="b">
        <f t="shared" si="5"/>
        <v>0</v>
      </c>
      <c r="M124" s="60" t="str">
        <f>IFERROR(__xludf.DUMMYFUNCTION("if(regexmatch(B124,""e(.*)$""),regexextract(B124,""e(.*)$""),"""")"),"5")</f>
        <v>5</v>
      </c>
    </row>
    <row r="125">
      <c r="A125" s="80" t="s">
        <v>2013</v>
      </c>
      <c r="B125" s="80" t="s">
        <v>4863</v>
      </c>
      <c r="C125" s="80" t="s">
        <v>98</v>
      </c>
      <c r="D125" s="18" t="str">
        <f t="shared" si="1"/>
        <v>kg</v>
      </c>
      <c r="E125" s="60" t="str">
        <f>VLOOKUP($A125,nist_names_ids!A:B,2,false)</f>
        <v>hrkg</v>
      </c>
      <c r="F125" s="61">
        <f>countif(Constants!A:A,E125)</f>
        <v>1</v>
      </c>
      <c r="G125" s="60" t="str">
        <f>IFERROR(__xludf.DUMMYFUNCTION("REGEXREPLACE(substitute(substitute(B125,"" "",""""),""..."",""""),""\(.*\)"","""")"),"4.85086934e-35")</f>
        <v>4.85086934e-35</v>
      </c>
      <c r="H125" s="62">
        <f t="shared" si="2"/>
        <v>0</v>
      </c>
      <c r="I125" s="60" t="str">
        <f>IFERROR(__xludf.DUMMYFUNCTION("if(regexmatch($B125,""\(""),CONCATENATE(regexreplace(REGEXREPLACE(substitute(left($B125,find(""("",$B125)-1),"" "",""""),""\d"",""0""),""[-0]*\."",""0.""), REGEXEXTRACT($B125,""\((.*)\)""),TRIM(REGEXEXTRACT($B125,""\)(.*)""))),"""")"),"0.0000000024e-35")</f>
        <v>0.0000000024e-35</v>
      </c>
      <c r="J125" s="62">
        <f t="shared" si="3"/>
        <v>0</v>
      </c>
      <c r="K125" s="62" t="b">
        <f t="shared" si="4"/>
        <v>0</v>
      </c>
      <c r="L125" s="62" t="b">
        <f t="shared" si="5"/>
        <v>0</v>
      </c>
      <c r="M125" s="60" t="str">
        <f>IFERROR(__xludf.DUMMYFUNCTION("if(regexmatch(B125,""e(.*)$""),regexextract(B125,""e(.*)$""),"""")"),"-35")</f>
        <v>-35</v>
      </c>
    </row>
    <row r="126">
      <c r="A126" s="80" t="s">
        <v>2052</v>
      </c>
      <c r="B126" s="80" t="s">
        <v>4867</v>
      </c>
      <c r="C126" s="80" t="s">
        <v>98</v>
      </c>
      <c r="D126" s="18" t="str">
        <f t="shared" si="1"/>
        <v>kg</v>
      </c>
      <c r="E126" s="60" t="str">
        <f>VLOOKUP($A126,nist_names_ids!A:B,2,false)</f>
        <v>mh</v>
      </c>
      <c r="F126" s="61">
        <f>countif(Constants!A:A,E126)</f>
        <v>1</v>
      </c>
      <c r="G126" s="60" t="str">
        <f>IFERROR(__xludf.DUMMYFUNCTION("REGEXREPLACE(substitute(substitute(B126,"" "",""""),""..."",""""),""\(.*\)"","""")"),"5.00641192e-27")</f>
        <v>5.00641192e-27</v>
      </c>
      <c r="H126" s="62">
        <f t="shared" si="2"/>
        <v>0</v>
      </c>
      <c r="I126" s="60" t="str">
        <f>IFERROR(__xludf.DUMMYFUNCTION("if(regexmatch($B126,""\(""),CONCATENATE(regexreplace(REGEXREPLACE(substitute(left($B126,find(""("",$B126)-1),"" "",""""),""\d"",""0""),""[-0]*\."",""0.""), REGEXEXTRACT($B126,""\((.*)\)""),TRIM(REGEXEXTRACT($B126,""\)(.*)""))),"""")"),"0.0000000025e-27")</f>
        <v>0.0000000025e-27</v>
      </c>
      <c r="J126" s="62">
        <f t="shared" si="3"/>
        <v>0</v>
      </c>
      <c r="K126" s="62" t="b">
        <f t="shared" si="4"/>
        <v>0</v>
      </c>
      <c r="L126" s="62" t="b">
        <f t="shared" si="5"/>
        <v>0</v>
      </c>
      <c r="M126" s="60" t="str">
        <f>IFERROR(__xludf.DUMMYFUNCTION("if(regexmatch(B126,""e(.*)$""),regexextract(B126,""e(.*)$""),"""")"),"-27")</f>
        <v>-27</v>
      </c>
    </row>
    <row r="127">
      <c r="A127" s="80" t="s">
        <v>2056</v>
      </c>
      <c r="B127" s="80" t="s">
        <v>4876</v>
      </c>
      <c r="C127" s="80" t="s">
        <v>173</v>
      </c>
      <c r="D127" s="18" t="str">
        <f t="shared" si="1"/>
        <v>J</v>
      </c>
      <c r="E127" s="60" t="str">
        <f>VLOOKUP($A127,nist_names_ids!A:B,2,false)</f>
        <v>mhc2</v>
      </c>
      <c r="F127" s="61">
        <f>countif(Constants!A:A,E127)</f>
        <v>1</v>
      </c>
      <c r="G127" s="60" t="str">
        <f>IFERROR(__xludf.DUMMYFUNCTION("REGEXREPLACE(substitute(substitute(B127,"" "",""""),""..."",""""),""\(.*\)"","""")"),"4.49953864e-10")</f>
        <v>4.49953864e-10</v>
      </c>
      <c r="H127" s="62">
        <f t="shared" si="2"/>
        <v>0.000000000449953864</v>
      </c>
      <c r="I127" s="60" t="str">
        <f>IFERROR(__xludf.DUMMYFUNCTION("if(regexmatch($B127,""\(""),CONCATENATE(regexreplace(REGEXREPLACE(substitute(left($B127,find(""("",$B127)-1),"" "",""""),""\d"",""0""),""[-0]*\."",""0.""), REGEXEXTRACT($B127,""\((.*)\)""),TRIM(REGEXEXTRACT($B127,""\)(.*)""))),"""")"),"0.0000000022e-10")</f>
        <v>0.0000000022e-10</v>
      </c>
      <c r="J127" s="62">
        <f t="shared" si="3"/>
        <v>0</v>
      </c>
      <c r="K127" s="62" t="b">
        <f t="shared" si="4"/>
        <v>0</v>
      </c>
      <c r="L127" s="62" t="b">
        <f t="shared" si="5"/>
        <v>0</v>
      </c>
      <c r="M127" s="60" t="str">
        <f>IFERROR(__xludf.DUMMYFUNCTION("if(regexmatch(B127,""e(.*)$""),regexextract(B127,""e(.*)$""),"""")"),"-10")</f>
        <v>-10</v>
      </c>
    </row>
    <row r="128">
      <c r="A128" s="80" t="s">
        <v>2063</v>
      </c>
      <c r="B128" s="80" t="s">
        <v>4878</v>
      </c>
      <c r="C128" s="80" t="s">
        <v>224</v>
      </c>
      <c r="D128" s="18" t="str">
        <f t="shared" si="1"/>
        <v>MeV</v>
      </c>
      <c r="E128" s="60" t="str">
        <f>VLOOKUP($A128,nist_names_ids!A:B,2,false)</f>
        <v>mhc2mev</v>
      </c>
      <c r="F128" s="61">
        <f>countif(Constants!A:A,E128)</f>
        <v>1</v>
      </c>
      <c r="G128" s="60" t="str">
        <f>IFERROR(__xludf.DUMMYFUNCTION("REGEXREPLACE(substitute(substitute(B128,"" "",""""),""..."",""""),""\(.*\)"","""")"),"2808.391383")</f>
        <v>2808.391383</v>
      </c>
      <c r="H128" s="62">
        <f t="shared" si="2"/>
        <v>2808.391383</v>
      </c>
      <c r="I128" s="60" t="str">
        <f>IFERROR(__xludf.DUMMYFUNCTION("if(regexmatch($B128,""\(""),CONCATENATE(regexreplace(REGEXREPLACE(substitute(left($B128,find(""("",$B128)-1),"" "",""""),""\d"",""0""),""[-0]*\."",""0.""), REGEXEXTRACT($B128,""\((.*)\)""),TRIM(REGEXEXTRACT($B128,""\)(.*)""))),"""")"),"0.00000070")</f>
        <v>0.00000070</v>
      </c>
      <c r="J128" s="62">
        <f t="shared" si="3"/>
        <v>0.0000007</v>
      </c>
      <c r="K128" s="62" t="b">
        <f t="shared" si="4"/>
        <v>0</v>
      </c>
      <c r="L128" s="62" t="b">
        <f t="shared" si="5"/>
        <v>0</v>
      </c>
      <c r="M128" s="60" t="str">
        <f>IFERROR(__xludf.DUMMYFUNCTION("if(regexmatch(B128,""e(.*)$""),regexextract(B128,""e(.*)$""),"""")"),"")</f>
        <v/>
      </c>
    </row>
    <row r="129">
      <c r="A129" s="80" t="s">
        <v>2067</v>
      </c>
      <c r="B129" s="80" t="s">
        <v>4881</v>
      </c>
      <c r="C129" s="80" t="s">
        <v>249</v>
      </c>
      <c r="D129" s="18" t="str">
        <f t="shared" si="1"/>
        <v>u</v>
      </c>
      <c r="E129" s="60" t="str">
        <f>VLOOKUP($A129,nist_names_ids!A:B,2,false)</f>
        <v>mhu</v>
      </c>
      <c r="F129" s="61">
        <f>countif(Constants!A:A,E129)</f>
        <v>1</v>
      </c>
      <c r="G129" s="60" t="str">
        <f>IFERROR(__xludf.DUMMYFUNCTION("REGEXREPLACE(substitute(substitute(B129,"" "",""""),""..."",""""),""\(.*\)"","""")"),"3.0149322473")</f>
        <v>3.0149322473</v>
      </c>
      <c r="H129" s="62">
        <f t="shared" si="2"/>
        <v>3.014932247</v>
      </c>
      <c r="I129" s="60" t="str">
        <f>IFERROR(__xludf.DUMMYFUNCTION("if(regexmatch($B129,""\(""),CONCATENATE(regexreplace(REGEXREPLACE(substitute(left($B129,find(""("",$B129)-1),"" "",""""),""\d"",""0""),""[-0]*\."",""0.""), REGEXEXTRACT($B129,""\((.*)\)""),TRIM(REGEXEXTRACT($B129,""\)(.*)""))),"""")"),"0.000000000026")</f>
        <v>0.000000000026</v>
      </c>
      <c r="J129" s="62">
        <f t="shared" si="3"/>
        <v>0</v>
      </c>
      <c r="K129" s="62" t="b">
        <f t="shared" si="4"/>
        <v>0</v>
      </c>
      <c r="L129" s="62" t="b">
        <f t="shared" si="5"/>
        <v>0</v>
      </c>
      <c r="M129" s="60" t="str">
        <f>IFERROR(__xludf.DUMMYFUNCTION("if(regexmatch(B129,""e(.*)$""),regexextract(B129,""e(.*)$""),"""")"),"")</f>
        <v/>
      </c>
    </row>
    <row r="130">
      <c r="A130" s="80" t="s">
        <v>2070</v>
      </c>
      <c r="B130" s="80" t="s">
        <v>4883</v>
      </c>
      <c r="C130" s="80" t="s">
        <v>4309</v>
      </c>
      <c r="D130" s="18" t="str">
        <f t="shared" si="1"/>
        <v>kg mol^-1</v>
      </c>
      <c r="E130" s="60" t="str">
        <f>VLOOKUP($A130,nist_names_ids!A:B,2,false)</f>
        <v>mmh</v>
      </c>
      <c r="F130" s="61">
        <f>countif(Constants!A:A,E130)</f>
        <v>1</v>
      </c>
      <c r="G130" s="60" t="str">
        <f>IFERROR(__xludf.DUMMYFUNCTION("REGEXREPLACE(substitute(substitute(B130,"" "",""""),""..."",""""),""\(.*\)"","""")"),"3.0149322473e-3")</f>
        <v>3.0149322473e-3</v>
      </c>
      <c r="H130" s="62">
        <f t="shared" si="2"/>
        <v>0.003014932247</v>
      </c>
      <c r="I130" s="60" t="str">
        <f>IFERROR(__xludf.DUMMYFUNCTION("if(regexmatch($B130,""\(""),CONCATENATE(regexreplace(REGEXREPLACE(substitute(left($B130,find(""("",$B130)-1),"" "",""""),""\d"",""0""),""[-0]*\."",""0.""), REGEXEXTRACT($B130,""\((.*)\)""),TRIM(REGEXEXTRACT($B130,""\)(.*)""))),"""")"),"0.000000000026e-3")</f>
        <v>0.000000000026e-3</v>
      </c>
      <c r="J130" s="62">
        <f t="shared" si="3"/>
        <v>0</v>
      </c>
      <c r="K130" s="62" t="b">
        <f t="shared" si="4"/>
        <v>0</v>
      </c>
      <c r="L130" s="62" t="b">
        <f t="shared" si="5"/>
        <v>0</v>
      </c>
      <c r="M130" s="60" t="str">
        <f>IFERROR(__xludf.DUMMYFUNCTION("if(regexmatch(B130,""e(.*)$""),regexextract(B130,""e(.*)$""),"""")"),"-3")</f>
        <v>-3</v>
      </c>
    </row>
    <row r="131">
      <c r="A131" s="80" t="s">
        <v>2018</v>
      </c>
      <c r="B131" s="80" t="s">
        <v>4894</v>
      </c>
      <c r="C131" s="80"/>
      <c r="D131" s="18" t="str">
        <f t="shared" si="1"/>
        <v/>
      </c>
      <c r="E131" s="60" t="str">
        <f>VLOOKUP($A131,nist_names_ids!A:B,2,false)</f>
        <v>mhsme</v>
      </c>
      <c r="F131" s="61">
        <f>countif(Constants!A:A,E131)</f>
        <v>1</v>
      </c>
      <c r="G131" s="60" t="str">
        <f>IFERROR(__xludf.DUMMYFUNCTION("REGEXREPLACE(substitute(substitute(B131,"" "",""""),""..."",""""),""\(.*\)"","""")"),"5495.8852765")</f>
        <v>5495.8852765</v>
      </c>
      <c r="H131" s="62">
        <f t="shared" si="2"/>
        <v>5495.885277</v>
      </c>
      <c r="I131" s="60" t="str">
        <f>IFERROR(__xludf.DUMMYFUNCTION("if(regexmatch($B131,""\(""),CONCATENATE(regexreplace(REGEXREPLACE(substitute(left($B131,find(""("",$B131)-1),"" "",""""),""\d"",""0""),""[-0]*\."",""0.""), REGEXEXTRACT($B131,""\((.*)\)""),TRIM(REGEXEXTRACT($B131,""\)(.*)""))),"""")"),"0.000000052")</f>
        <v>0.000000052</v>
      </c>
      <c r="J131" s="62">
        <f t="shared" si="3"/>
        <v>0.000000052</v>
      </c>
      <c r="K131" s="62" t="b">
        <f t="shared" si="4"/>
        <v>0</v>
      </c>
      <c r="L131" s="62" t="b">
        <f t="shared" si="5"/>
        <v>0</v>
      </c>
      <c r="M131" s="60" t="str">
        <f>IFERROR(__xludf.DUMMYFUNCTION("if(regexmatch(B131,""e(.*)$""),regexextract(B131,""e(.*)$""),"""")"),"")</f>
        <v/>
      </c>
    </row>
    <row r="132">
      <c r="A132" s="80" t="s">
        <v>2073</v>
      </c>
      <c r="B132" s="80" t="s">
        <v>4900</v>
      </c>
      <c r="C132" s="80"/>
      <c r="D132" s="18" t="str">
        <f t="shared" si="1"/>
        <v/>
      </c>
      <c r="E132" s="60" t="str">
        <f>VLOOKUP($A132,nist_names_ids!A:B,2,false)</f>
        <v>mhsmp</v>
      </c>
      <c r="F132" s="61">
        <f>countif(Constants!A:A,E132)</f>
        <v>1</v>
      </c>
      <c r="G132" s="60" t="str">
        <f>IFERROR(__xludf.DUMMYFUNCTION("REGEXREPLACE(substitute(substitute(B132,"" "",""""),""..."",""""),""\(.*\)"","""")"),"2.9931526713")</f>
        <v>2.9931526713</v>
      </c>
      <c r="H132" s="62">
        <f t="shared" si="2"/>
        <v>2.993152671</v>
      </c>
      <c r="I132" s="60" t="str">
        <f>IFERROR(__xludf.DUMMYFUNCTION("if(regexmatch($B132,""\(""),CONCATENATE(regexreplace(REGEXREPLACE(substitute(left($B132,find(""("",$B132)-1),"" "",""""),""\d"",""0""),""[-0]*\."",""0.""), REGEXEXTRACT($B132,""\((.*)\)""),TRIM(REGEXEXTRACT($B132,""\)(.*)""))),"""")"),"0.000000000026")</f>
        <v>0.000000000026</v>
      </c>
      <c r="J132" s="62">
        <f t="shared" si="3"/>
        <v>0</v>
      </c>
      <c r="K132" s="62" t="b">
        <f t="shared" si="4"/>
        <v>0</v>
      </c>
      <c r="L132" s="62" t="b">
        <f t="shared" si="5"/>
        <v>0</v>
      </c>
      <c r="M132" s="60" t="str">
        <f>IFERROR(__xludf.DUMMYFUNCTION("if(regexmatch(B132,""e(.*)$""),regexextract(B132,""e(.*)$""),"""")"),"")</f>
        <v/>
      </c>
    </row>
    <row r="133">
      <c r="A133" s="80" t="s">
        <v>2093</v>
      </c>
      <c r="B133" s="80" t="s">
        <v>4905</v>
      </c>
      <c r="C133" s="80" t="s">
        <v>249</v>
      </c>
      <c r="D133" s="18" t="str">
        <f t="shared" si="1"/>
        <v>u</v>
      </c>
      <c r="E133" s="60" t="str">
        <f>VLOOKUP($A133,nist_names_ids!A:B,2,false)</f>
        <v>hzu</v>
      </c>
      <c r="F133" s="61">
        <f>countif(Constants!A:A,E133)</f>
        <v>1</v>
      </c>
      <c r="G133" s="60" t="str">
        <f>IFERROR(__xludf.DUMMYFUNCTION("REGEXREPLACE(substitute(substitute(B133,"" "",""""),""..."",""""),""\(.*\)"","""")"),"4.4398216294e-24")</f>
        <v>4.4398216294e-24</v>
      </c>
      <c r="H133" s="62">
        <f t="shared" si="2"/>
        <v>0</v>
      </c>
      <c r="I133" s="60" t="str">
        <f>IFERROR(__xludf.DUMMYFUNCTION("if(regexmatch($B133,""\(""),CONCATENATE(regexreplace(REGEXREPLACE(substitute(left($B133,find(""("",$B133)-1),"" "",""""),""\d"",""0""),""[-0]*\."",""0.""), REGEXEXTRACT($B133,""\((.*)\)""),TRIM(REGEXEXTRACT($B133,""\)(.*)""))),"""")"),"0.000000000064e-24")</f>
        <v>0.000000000064e-24</v>
      </c>
      <c r="J133" s="62">
        <f t="shared" si="3"/>
        <v>0</v>
      </c>
      <c r="K133" s="62" t="b">
        <f t="shared" si="4"/>
        <v>0</v>
      </c>
      <c r="L133" s="62" t="b">
        <f t="shared" si="5"/>
        <v>0</v>
      </c>
      <c r="M133" s="60" t="str">
        <f>IFERROR(__xludf.DUMMYFUNCTION("if(regexmatch(B133,""e(.*)$""),regexextract(B133,""e(.*)$""),"""")"),"-24")</f>
        <v>-24</v>
      </c>
    </row>
    <row r="134">
      <c r="A134" s="80" t="s">
        <v>2099</v>
      </c>
      <c r="B134" s="80" t="s">
        <v>4908</v>
      </c>
      <c r="C134" s="80" t="s">
        <v>181</v>
      </c>
      <c r="D134" s="18" t="str">
        <f t="shared" si="1"/>
        <v>eV</v>
      </c>
      <c r="E134" s="60" t="str">
        <f>VLOOKUP($A134,nist_names_ids!A:B,2,false)</f>
        <v>hzev</v>
      </c>
      <c r="F134" s="61">
        <f>countif(Constants!A:A,E134)</f>
        <v>1</v>
      </c>
      <c r="G134" s="60" t="str">
        <f>IFERROR(__xludf.DUMMYFUNCTION("REGEXREPLACE(substitute(substitute(B134,"" "",""""),""..."",""""),""\(.*\)"","""")"),"4.13566733e-15")</f>
        <v>4.13566733e-15</v>
      </c>
      <c r="H134" s="62">
        <f t="shared" si="2"/>
        <v>0</v>
      </c>
      <c r="I134" s="60" t="str">
        <f>IFERROR(__xludf.DUMMYFUNCTION("if(regexmatch($B134,""\(""),CONCATENATE(regexreplace(REGEXREPLACE(substitute(left($B134,find(""("",$B134)-1),"" "",""""),""\d"",""0""),""[-0]*\."",""0.""), REGEXEXTRACT($B134,""\((.*)\)""),TRIM(REGEXEXTRACT($B134,""\)(.*)""))),"""")"),"0.0000000010e-15")</f>
        <v>0.0000000010e-15</v>
      </c>
      <c r="J134" s="62">
        <f t="shared" si="3"/>
        <v>0</v>
      </c>
      <c r="K134" s="62" t="b">
        <f t="shared" si="4"/>
        <v>0</v>
      </c>
      <c r="L134" s="62" t="b">
        <f t="shared" si="5"/>
        <v>0</v>
      </c>
      <c r="M134" s="60" t="str">
        <f>IFERROR(__xludf.DUMMYFUNCTION("if(regexmatch(B134,""e(.*)$""),regexextract(B134,""e(.*)$""),"""")"),"-15")</f>
        <v>-15</v>
      </c>
    </row>
    <row r="135">
      <c r="A135" s="80" t="s">
        <v>2103</v>
      </c>
      <c r="B135" s="80" t="s">
        <v>4911</v>
      </c>
      <c r="C135" s="80" t="s">
        <v>170</v>
      </c>
      <c r="D135" s="18" t="str">
        <f t="shared" si="1"/>
        <v>E_h</v>
      </c>
      <c r="E135" s="60" t="str">
        <f>VLOOKUP($A135,nist_names_ids!A:B,2,false)</f>
        <v>hzhr</v>
      </c>
      <c r="F135" s="61">
        <f>countif(Constants!A:A,E135)</f>
        <v>1</v>
      </c>
      <c r="G135" s="60" t="str">
        <f>IFERROR(__xludf.DUMMYFUNCTION("REGEXREPLACE(substitute(substitute(B135,"" "",""""),""..."",""""),""\(.*\)"","""")"),"1.519829846006e-16")</f>
        <v>1.519829846006e-16</v>
      </c>
      <c r="H135" s="62">
        <f t="shared" si="2"/>
        <v>0</v>
      </c>
      <c r="I135" s="60" t="str">
        <f>IFERROR(__xludf.DUMMYFUNCTION("if(regexmatch($B135,""\(""),CONCATENATE(regexreplace(REGEXREPLACE(substitute(left($B135,find(""("",$B135)-1),"" "",""""),""\d"",""0""),""[-0]*\."",""0.""), REGEXEXTRACT($B135,""\((.*)\)""),TRIM(REGEXEXTRACT($B135,""\)(.*)""))),"""")"),"0.00000000000010e-16")</f>
        <v>0.00000000000010e-16</v>
      </c>
      <c r="J135" s="62">
        <f t="shared" si="3"/>
        <v>0</v>
      </c>
      <c r="K135" s="62" t="b">
        <f t="shared" si="4"/>
        <v>0</v>
      </c>
      <c r="L135" s="62" t="b">
        <f t="shared" si="5"/>
        <v>0</v>
      </c>
      <c r="M135" s="60" t="str">
        <f>IFERROR(__xludf.DUMMYFUNCTION("if(regexmatch(B135,""e(.*)$""),regexextract(B135,""e(.*)$""),"""")"),"-16")</f>
        <v>-16</v>
      </c>
    </row>
    <row r="136">
      <c r="A136" s="80" t="s">
        <v>2108</v>
      </c>
      <c r="B136" s="80" t="s">
        <v>4914</v>
      </c>
      <c r="C136" s="80" t="s">
        <v>4359</v>
      </c>
      <c r="D136" s="18" t="str">
        <f t="shared" si="1"/>
        <v>m^-1</v>
      </c>
      <c r="E136" s="60" t="str">
        <f>VLOOKUP($A136,nist_names_ids!A:B,2,false)</f>
        <v>hzminv</v>
      </c>
      <c r="F136" s="61">
        <f>countif(Constants!A:A,E136)</f>
        <v>1</v>
      </c>
      <c r="G136" s="60" t="str">
        <f>IFERROR(__xludf.DUMMYFUNCTION("REGEXREPLACE(substitute(substitute(B136,"" "",""""),""..."",""""),""\(.*\)"","""")"),"3.335640951e-9")</f>
        <v>3.335640951e-9</v>
      </c>
      <c r="H136" s="62">
        <f t="shared" si="2"/>
        <v>0.000000003335640951</v>
      </c>
      <c r="I136" s="60" t="str">
        <f>IFERROR(__xludf.DUMMYFUNCTION("if(regexmatch($B136,""\(""),CONCATENATE(regexreplace(REGEXREPLACE(substitute(left($B136,find(""("",$B136)-1),"" "",""""),""\d"",""0""),""[-0]*\."",""0.""), REGEXEXTRACT($B136,""\((.*)\)""),TRIM(REGEXEXTRACT($B136,""\)(.*)""))),"""")"),"")</f>
        <v/>
      </c>
      <c r="J136" s="62" t="str">
        <f t="shared" si="3"/>
        <v/>
      </c>
      <c r="K136" s="62" t="b">
        <f t="shared" si="4"/>
        <v>0</v>
      </c>
      <c r="L136" s="62" t="b">
        <f t="shared" si="5"/>
        <v>1</v>
      </c>
      <c r="M136" s="60" t="str">
        <f>IFERROR(__xludf.DUMMYFUNCTION("if(regexmatch(B136,""e(.*)$""),regexextract(B136,""e(.*)$""),"""")"),"-9")</f>
        <v>-9</v>
      </c>
    </row>
    <row r="137">
      <c r="A137" s="80" t="s">
        <v>2110</v>
      </c>
      <c r="B137" s="80" t="s">
        <v>4930</v>
      </c>
      <c r="C137" s="80" t="s">
        <v>173</v>
      </c>
      <c r="D137" s="18" t="str">
        <f t="shared" si="1"/>
        <v>J</v>
      </c>
      <c r="E137" s="60" t="str">
        <f>VLOOKUP($A137,nist_names_ids!A:B,2,false)</f>
        <v>hzj</v>
      </c>
      <c r="F137" s="61">
        <f>countif(Constants!A:A,E137)</f>
        <v>1</v>
      </c>
      <c r="G137" s="60" t="str">
        <f>IFERROR(__xludf.DUMMYFUNCTION("REGEXREPLACE(substitute(substitute(B137,"" "",""""),""..."",""""),""\(.*\)"","""")"),"6.62606896e-34")</f>
        <v>6.62606896e-34</v>
      </c>
      <c r="H137" s="62">
        <f t="shared" si="2"/>
        <v>0</v>
      </c>
      <c r="I137" s="60" t="str">
        <f>IFERROR(__xludf.DUMMYFUNCTION("if(regexmatch($B137,""\(""),CONCATENATE(regexreplace(REGEXREPLACE(substitute(left($B137,find(""("",$B137)-1),"" "",""""),""\d"",""0""),""[-0]*\."",""0.""), REGEXEXTRACT($B137,""\((.*)\)""),TRIM(REGEXEXTRACT($B137,""\)(.*)""))),"""")"),"0.0000000033e-34")</f>
        <v>0.0000000033e-34</v>
      </c>
      <c r="J137" s="62">
        <f t="shared" si="3"/>
        <v>0</v>
      </c>
      <c r="K137" s="62" t="b">
        <f t="shared" si="4"/>
        <v>0</v>
      </c>
      <c r="L137" s="62" t="b">
        <f t="shared" si="5"/>
        <v>0</v>
      </c>
      <c r="M137" s="60" t="str">
        <f>IFERROR(__xludf.DUMMYFUNCTION("if(regexmatch(B137,""e(.*)$""),regexextract(B137,""e(.*)$""),"""")"),"-34")</f>
        <v>-34</v>
      </c>
    </row>
    <row r="138">
      <c r="A138" s="80" t="s">
        <v>2116</v>
      </c>
      <c r="B138" s="80" t="s">
        <v>4936</v>
      </c>
      <c r="C138" s="80" t="s">
        <v>345</v>
      </c>
      <c r="D138" s="18" t="str">
        <f t="shared" si="1"/>
        <v>K</v>
      </c>
      <c r="E138" s="60" t="str">
        <f>VLOOKUP($A138,nist_names_ids!A:B,2,false)</f>
        <v>hzk</v>
      </c>
      <c r="F138" s="61">
        <f>countif(Constants!A:A,E138)</f>
        <v>1</v>
      </c>
      <c r="G138" s="60" t="str">
        <f>IFERROR(__xludf.DUMMYFUNCTION("REGEXREPLACE(substitute(substitute(B138,"" "",""""),""..."",""""),""\(.*\)"","""")"),"4.7992374e-11")</f>
        <v>4.7992374e-11</v>
      </c>
      <c r="H138" s="62">
        <f t="shared" si="2"/>
        <v>0</v>
      </c>
      <c r="I138" s="60" t="str">
        <f>IFERROR(__xludf.DUMMYFUNCTION("if(regexmatch($B138,""\(""),CONCATENATE(regexreplace(REGEXREPLACE(substitute(left($B138,find(""("",$B138)-1),"" "",""""),""\d"",""0""),""[-0]*\."",""0.""), REGEXEXTRACT($B138,""\((.*)\)""),TRIM(REGEXEXTRACT($B138,""\)(.*)""))),"""")"),"0.000000084e-11")</f>
        <v>0.000000084e-11</v>
      </c>
      <c r="J138" s="62">
        <f t="shared" si="3"/>
        <v>0</v>
      </c>
      <c r="K138" s="62" t="b">
        <f t="shared" si="4"/>
        <v>0</v>
      </c>
      <c r="L138" s="62" t="b">
        <f t="shared" si="5"/>
        <v>0</v>
      </c>
      <c r="M138" s="60" t="str">
        <f>IFERROR(__xludf.DUMMYFUNCTION("if(regexmatch(B138,""e(.*)$""),regexextract(B138,""e(.*)$""),"""")"),"-11")</f>
        <v>-11</v>
      </c>
    </row>
    <row r="139">
      <c r="A139" s="80" t="s">
        <v>2119</v>
      </c>
      <c r="B139" s="80" t="s">
        <v>4939</v>
      </c>
      <c r="C139" s="80" t="s">
        <v>98</v>
      </c>
      <c r="D139" s="18" t="str">
        <f t="shared" si="1"/>
        <v>kg</v>
      </c>
      <c r="E139" s="60" t="str">
        <f>VLOOKUP($A139,nist_names_ids!A:B,2,false)</f>
        <v>hzkg</v>
      </c>
      <c r="F139" s="61">
        <f>countif(Constants!A:A,E139)</f>
        <v>1</v>
      </c>
      <c r="G139" s="60" t="str">
        <f>IFERROR(__xludf.DUMMYFUNCTION("REGEXREPLACE(substitute(substitute(B139,"" "",""""),""..."",""""),""\(.*\)"","""")"),"7.37249600e-51")</f>
        <v>7.37249600e-51</v>
      </c>
      <c r="H139" s="62">
        <f t="shared" si="2"/>
        <v>0</v>
      </c>
      <c r="I139" s="60" t="str">
        <f>IFERROR(__xludf.DUMMYFUNCTION("if(regexmatch($B139,""\(""),CONCATENATE(regexreplace(REGEXREPLACE(substitute(left($B139,find(""("",$B139)-1),"" "",""""),""\d"",""0""),""[-0]*\."",""0.""), REGEXEXTRACT($B139,""\((.*)\)""),TRIM(REGEXEXTRACT($B139,""\)(.*)""))),"""")"),"0.0000000037e-51")</f>
        <v>0.0000000037e-51</v>
      </c>
      <c r="J139" s="62">
        <f t="shared" si="3"/>
        <v>0</v>
      </c>
      <c r="K139" s="62" t="b">
        <f t="shared" si="4"/>
        <v>0</v>
      </c>
      <c r="L139" s="62" t="b">
        <f t="shared" si="5"/>
        <v>0</v>
      </c>
      <c r="M139" s="60" t="str">
        <f>IFERROR(__xludf.DUMMYFUNCTION("if(regexmatch(B139,""e(.*)$""),regexextract(B139,""e(.*)$""),"""")"),"-51")</f>
        <v>-51</v>
      </c>
    </row>
    <row r="140">
      <c r="A140" s="80" t="s">
        <v>2126</v>
      </c>
      <c r="B140" s="80" t="s">
        <v>4942</v>
      </c>
      <c r="C140" s="80"/>
      <c r="D140" s="18" t="str">
        <f t="shared" si="1"/>
        <v/>
      </c>
      <c r="E140" s="60" t="str">
        <f>VLOOKUP($A140,nist_names_ids!A:B,2,false)</f>
        <v>alphinv</v>
      </c>
      <c r="F140" s="61">
        <f>countif(Constants!A:A,E140)</f>
        <v>1</v>
      </c>
      <c r="G140" s="60" t="str">
        <f>IFERROR(__xludf.DUMMYFUNCTION("REGEXREPLACE(substitute(substitute(B140,"" "",""""),""..."",""""),""\(.*\)"","""")"),"137.035999679")</f>
        <v>137.035999679</v>
      </c>
      <c r="H140" s="62">
        <f t="shared" si="2"/>
        <v>137.0359997</v>
      </c>
      <c r="I140" s="60" t="str">
        <f>IFERROR(__xludf.DUMMYFUNCTION("if(regexmatch($B140,""\(""),CONCATENATE(regexreplace(REGEXREPLACE(substitute(left($B140,find(""("",$B140)-1),"" "",""""),""\d"",""0""),""[-0]*\."",""0.""), REGEXEXTRACT($B140,""\((.*)\)""),TRIM(REGEXEXTRACT($B140,""\)(.*)""))),"""")"),"0.00000000094")</f>
        <v>0.00000000094</v>
      </c>
      <c r="J140" s="62">
        <f t="shared" si="3"/>
        <v>0.00000000094</v>
      </c>
      <c r="K140" s="62" t="b">
        <f t="shared" si="4"/>
        <v>0</v>
      </c>
      <c r="L140" s="62" t="b">
        <f t="shared" si="5"/>
        <v>0</v>
      </c>
      <c r="M140" s="60" t="str">
        <f>IFERROR(__xludf.DUMMYFUNCTION("if(regexmatch(B140,""e(.*)$""),regexextract(B140,""e(.*)$""),"""")"),"")</f>
        <v/>
      </c>
    </row>
    <row r="141">
      <c r="A141" s="80" t="s">
        <v>2130</v>
      </c>
      <c r="B141" s="80" t="s">
        <v>4954</v>
      </c>
      <c r="C141" s="80" t="s">
        <v>249</v>
      </c>
      <c r="D141" s="18" t="str">
        <f t="shared" si="1"/>
        <v>u</v>
      </c>
      <c r="E141" s="60" t="str">
        <f>VLOOKUP($A141,nist_names_ids!A:B,2,false)</f>
        <v>minvu</v>
      </c>
      <c r="F141" s="61">
        <f>countif(Constants!A:A,E141)</f>
        <v>1</v>
      </c>
      <c r="G141" s="60" t="str">
        <f>IFERROR(__xludf.DUMMYFUNCTION("REGEXREPLACE(substitute(substitute(B141,"" "",""""),""..."",""""),""\(.*\)"","""")"),"1.3310250394e-15")</f>
        <v>1.3310250394e-15</v>
      </c>
      <c r="H141" s="62">
        <f t="shared" si="2"/>
        <v>0</v>
      </c>
      <c r="I141" s="60" t="str">
        <f>IFERROR(__xludf.DUMMYFUNCTION("if(regexmatch($B141,""\(""),CONCATENATE(regexreplace(REGEXREPLACE(substitute(left($B141,find(""("",$B141)-1),"" "",""""),""\d"",""0""),""[-0]*\."",""0.""), REGEXEXTRACT($B141,""\((.*)\)""),TRIM(REGEXEXTRACT($B141,""\)(.*)""))),"""")"),"0.000000000019e-15")</f>
        <v>0.000000000019e-15</v>
      </c>
      <c r="J141" s="62">
        <f t="shared" si="3"/>
        <v>0</v>
      </c>
      <c r="K141" s="62" t="b">
        <f t="shared" si="4"/>
        <v>0</v>
      </c>
      <c r="L141" s="62" t="b">
        <f t="shared" si="5"/>
        <v>0</v>
      </c>
      <c r="M141" s="60" t="str">
        <f>IFERROR(__xludf.DUMMYFUNCTION("if(regexmatch(B141,""e(.*)$""),regexextract(B141,""e(.*)$""),"""")"),"-15")</f>
        <v>-15</v>
      </c>
    </row>
    <row r="142">
      <c r="A142" s="80" t="s">
        <v>2134</v>
      </c>
      <c r="B142" s="80" t="s">
        <v>4958</v>
      </c>
      <c r="C142" s="80" t="s">
        <v>181</v>
      </c>
      <c r="D142" s="18" t="str">
        <f t="shared" si="1"/>
        <v>eV</v>
      </c>
      <c r="E142" s="60" t="str">
        <f>VLOOKUP($A142,nist_names_ids!A:B,2,false)</f>
        <v>minvev</v>
      </c>
      <c r="F142" s="61">
        <f>countif(Constants!A:A,E142)</f>
        <v>1</v>
      </c>
      <c r="G142" s="60" t="str">
        <f>IFERROR(__xludf.DUMMYFUNCTION("REGEXREPLACE(substitute(substitute(B142,"" "",""""),""..."",""""),""\(.*\)"","""")"),"1.239841875e-6")</f>
        <v>1.239841875e-6</v>
      </c>
      <c r="H142" s="62">
        <f t="shared" si="2"/>
        <v>0.000001239841875</v>
      </c>
      <c r="I142" s="60" t="str">
        <f>IFERROR(__xludf.DUMMYFUNCTION("if(regexmatch($B142,""\(""),CONCATENATE(regexreplace(REGEXREPLACE(substitute(left($B142,find(""("",$B142)-1),"" "",""""),""\d"",""0""),""[-0]*\."",""0.""), REGEXEXTRACT($B142,""\((.*)\)""),TRIM(REGEXEXTRACT($B142,""\)(.*)""))),"""")"),"0.00000000031e-6")</f>
        <v>0.00000000031e-6</v>
      </c>
      <c r="J142" s="62">
        <f t="shared" si="3"/>
        <v>0</v>
      </c>
      <c r="K142" s="62" t="b">
        <f t="shared" si="4"/>
        <v>0</v>
      </c>
      <c r="L142" s="62" t="b">
        <f t="shared" si="5"/>
        <v>0</v>
      </c>
      <c r="M142" s="60" t="str">
        <f>IFERROR(__xludf.DUMMYFUNCTION("if(regexmatch(B142,""e(.*)$""),regexextract(B142,""e(.*)$""),"""")"),"-6")</f>
        <v>-6</v>
      </c>
    </row>
    <row r="143">
      <c r="A143" s="80" t="s">
        <v>2137</v>
      </c>
      <c r="B143" s="80" t="s">
        <v>4960</v>
      </c>
      <c r="C143" s="80" t="s">
        <v>170</v>
      </c>
      <c r="D143" s="18" t="str">
        <f t="shared" si="1"/>
        <v>E_h</v>
      </c>
      <c r="E143" s="60" t="str">
        <f>VLOOKUP($A143,nist_names_ids!A:B,2,false)</f>
        <v>minvhr</v>
      </c>
      <c r="F143" s="61">
        <f>countif(Constants!A:A,E143)</f>
        <v>1</v>
      </c>
      <c r="G143" s="60" t="str">
        <f>IFERROR(__xludf.DUMMYFUNCTION("REGEXREPLACE(substitute(substitute(B143,"" "",""""),""..."",""""),""\(.*\)"","""")"),"4.556335252760e-8")</f>
        <v>4.556335252760e-8</v>
      </c>
      <c r="H143" s="62">
        <f t="shared" si="2"/>
        <v>0.00000004556335253</v>
      </c>
      <c r="I143" s="60" t="str">
        <f>IFERROR(__xludf.DUMMYFUNCTION("if(regexmatch($B143,""\(""),CONCATENATE(regexreplace(REGEXREPLACE(substitute(left($B143,find(""("",$B143)-1),"" "",""""),""\d"",""0""),""[-0]*\."",""0.""), REGEXEXTRACT($B143,""\((.*)\)""),TRIM(REGEXEXTRACT($B143,""\)(.*)""))),"""")"),"0.00000000000030e-8")</f>
        <v>0.00000000000030e-8</v>
      </c>
      <c r="J143" s="62">
        <f t="shared" si="3"/>
        <v>0</v>
      </c>
      <c r="K143" s="62" t="b">
        <f t="shared" si="4"/>
        <v>0</v>
      </c>
      <c r="L143" s="62" t="b">
        <f t="shared" si="5"/>
        <v>0</v>
      </c>
      <c r="M143" s="60" t="str">
        <f>IFERROR(__xludf.DUMMYFUNCTION("if(regexmatch(B143,""e(.*)$""),regexextract(B143,""e(.*)$""),"""")"),"-8")</f>
        <v>-8</v>
      </c>
    </row>
    <row r="144">
      <c r="A144" s="80" t="s">
        <v>2144</v>
      </c>
      <c r="B144" s="80" t="s">
        <v>2145</v>
      </c>
      <c r="C144" s="80" t="s">
        <v>257</v>
      </c>
      <c r="D144" s="18" t="str">
        <f t="shared" si="1"/>
        <v>Hz</v>
      </c>
      <c r="E144" s="60" t="str">
        <f>VLOOKUP($A144,nist_names_ids!A:B,2,false)</f>
        <v>minvhz</v>
      </c>
      <c r="F144" s="61">
        <f>countif(Constants!A:A,E144)</f>
        <v>1</v>
      </c>
      <c r="G144" s="60" t="str">
        <f>IFERROR(__xludf.DUMMYFUNCTION("REGEXREPLACE(substitute(substitute(B144,"" "",""""),""..."",""""),""\(.*\)"","""")"),"299792458")</f>
        <v>299792458</v>
      </c>
      <c r="H144" s="62">
        <f t="shared" si="2"/>
        <v>299792458</v>
      </c>
      <c r="I144" s="60" t="str">
        <f>IFERROR(__xludf.DUMMYFUNCTION("if(regexmatch($B144,""\(""),CONCATENATE(regexreplace(REGEXREPLACE(substitute(left($B144,find(""("",$B144)-1),"" "",""""),""\d"",""0""),""[-0]*\."",""0.""), REGEXEXTRACT($B144,""\((.*)\)""),TRIM(REGEXEXTRACT($B144,""\)(.*)""))),"""")"),"")</f>
        <v/>
      </c>
      <c r="J144" s="62" t="str">
        <f t="shared" si="3"/>
        <v/>
      </c>
      <c r="K144" s="62" t="b">
        <f t="shared" si="4"/>
        <v>0</v>
      </c>
      <c r="L144" s="62" t="b">
        <f t="shared" si="5"/>
        <v>0</v>
      </c>
      <c r="M144" s="60" t="str">
        <f>IFERROR(__xludf.DUMMYFUNCTION("if(regexmatch(B144,""e(.*)$""),regexextract(B144,""e(.*)$""),"""")"),"")</f>
        <v/>
      </c>
    </row>
    <row r="145">
      <c r="A145" s="80" t="s">
        <v>2147</v>
      </c>
      <c r="B145" s="80" t="s">
        <v>4968</v>
      </c>
      <c r="C145" s="80" t="s">
        <v>173</v>
      </c>
      <c r="D145" s="18" t="str">
        <f t="shared" si="1"/>
        <v>J</v>
      </c>
      <c r="E145" s="60" t="str">
        <f>VLOOKUP($A145,nist_names_ids!A:B,2,false)</f>
        <v>minvj</v>
      </c>
      <c r="F145" s="61">
        <f>countif(Constants!A:A,E145)</f>
        <v>1</v>
      </c>
      <c r="G145" s="60" t="str">
        <f>IFERROR(__xludf.DUMMYFUNCTION("REGEXREPLACE(substitute(substitute(B145,"" "",""""),""..."",""""),""\(.*\)"","""")"),"1.986445501e-25")</f>
        <v>1.986445501e-25</v>
      </c>
      <c r="H145" s="62">
        <f t="shared" si="2"/>
        <v>0</v>
      </c>
      <c r="I145" s="60" t="str">
        <f>IFERROR(__xludf.DUMMYFUNCTION("if(regexmatch($B145,""\(""),CONCATENATE(regexreplace(REGEXREPLACE(substitute(left($B145,find(""("",$B145)-1),"" "",""""),""\d"",""0""),""[-0]*\."",""0.""), REGEXEXTRACT($B145,""\((.*)\)""),TRIM(REGEXEXTRACT($B145,""\)(.*)""))),"""")"),"0.00000000099e-25")</f>
        <v>0.00000000099e-25</v>
      </c>
      <c r="J145" s="62">
        <f t="shared" si="3"/>
        <v>0</v>
      </c>
      <c r="K145" s="62" t="b">
        <f t="shared" si="4"/>
        <v>0</v>
      </c>
      <c r="L145" s="62" t="b">
        <f t="shared" si="5"/>
        <v>0</v>
      </c>
      <c r="M145" s="60" t="str">
        <f>IFERROR(__xludf.DUMMYFUNCTION("if(regexmatch(B145,""e(.*)$""),regexextract(B145,""e(.*)$""),"""")"),"-25")</f>
        <v>-25</v>
      </c>
    </row>
    <row r="146">
      <c r="A146" s="80" t="s">
        <v>2150</v>
      </c>
      <c r="B146" s="80" t="s">
        <v>4972</v>
      </c>
      <c r="C146" s="80" t="s">
        <v>345</v>
      </c>
      <c r="D146" s="18" t="str">
        <f t="shared" si="1"/>
        <v>K</v>
      </c>
      <c r="E146" s="60" t="str">
        <f>VLOOKUP($A146,nist_names_ids!A:B,2,false)</f>
        <v>minvk</v>
      </c>
      <c r="F146" s="61">
        <f>countif(Constants!A:A,E146)</f>
        <v>1</v>
      </c>
      <c r="G146" s="60" t="str">
        <f>IFERROR(__xludf.DUMMYFUNCTION("REGEXREPLACE(substitute(substitute(B146,"" "",""""),""..."",""""),""\(.*\)"","""")"),"1.4387752e-2")</f>
        <v>1.4387752e-2</v>
      </c>
      <c r="H146" s="62">
        <f t="shared" si="2"/>
        <v>0.014387752</v>
      </c>
      <c r="I146" s="60" t="str">
        <f>IFERROR(__xludf.DUMMYFUNCTION("if(regexmatch($B146,""\(""),CONCATENATE(regexreplace(REGEXREPLACE(substitute(left($B146,find(""("",$B146)-1),"" "",""""),""\d"",""0""),""[-0]*\."",""0.""), REGEXEXTRACT($B146,""\((.*)\)""),TRIM(REGEXEXTRACT($B146,""\)(.*)""))),"""")"),"0.000000025e-2")</f>
        <v>0.000000025e-2</v>
      </c>
      <c r="J146" s="62">
        <f t="shared" si="3"/>
        <v>0.00000000025</v>
      </c>
      <c r="K146" s="62" t="b">
        <f t="shared" si="4"/>
        <v>0</v>
      </c>
      <c r="L146" s="62" t="b">
        <f t="shared" si="5"/>
        <v>0</v>
      </c>
      <c r="M146" s="60" t="str">
        <f>IFERROR(__xludf.DUMMYFUNCTION("if(regexmatch(B146,""e(.*)$""),regexextract(B146,""e(.*)$""),"""")"),"-2")</f>
        <v>-2</v>
      </c>
    </row>
    <row r="147">
      <c r="A147" s="80" t="s">
        <v>2153</v>
      </c>
      <c r="B147" s="80" t="s">
        <v>4973</v>
      </c>
      <c r="C147" s="80" t="s">
        <v>98</v>
      </c>
      <c r="D147" s="18" t="str">
        <f t="shared" si="1"/>
        <v>kg</v>
      </c>
      <c r="E147" s="60" t="str">
        <f>VLOOKUP($A147,nist_names_ids!A:B,2,false)</f>
        <v>minvkg</v>
      </c>
      <c r="F147" s="61">
        <f>countif(Constants!A:A,E147)</f>
        <v>1</v>
      </c>
      <c r="G147" s="60" t="str">
        <f>IFERROR(__xludf.DUMMYFUNCTION("REGEXREPLACE(substitute(substitute(B147,"" "",""""),""..."",""""),""\(.*\)"","""")"),"2.21021870e-42")</f>
        <v>2.21021870e-42</v>
      </c>
      <c r="H147" s="62">
        <f t="shared" si="2"/>
        <v>0</v>
      </c>
      <c r="I147" s="60" t="str">
        <f>IFERROR(__xludf.DUMMYFUNCTION("if(regexmatch($B147,""\(""),CONCATENATE(regexreplace(REGEXREPLACE(substitute(left($B147,find(""("",$B147)-1),"" "",""""),""\d"",""0""),""[-0]*\."",""0.""), REGEXEXTRACT($B147,""\((.*)\)""),TRIM(REGEXEXTRACT($B147,""\)(.*)""))),"""")"),"0.0000000011e-42")</f>
        <v>0.0000000011e-42</v>
      </c>
      <c r="J147" s="62">
        <f t="shared" si="3"/>
        <v>0</v>
      </c>
      <c r="K147" s="62" t="b">
        <f t="shared" si="4"/>
        <v>0</v>
      </c>
      <c r="L147" s="62" t="b">
        <f t="shared" si="5"/>
        <v>0</v>
      </c>
      <c r="M147" s="60" t="str">
        <f>IFERROR(__xludf.DUMMYFUNCTION("if(regexmatch(B147,""e(.*)$""),regexextract(B147,""e(.*)$""),"""")"),"-42")</f>
        <v>-42</v>
      </c>
    </row>
    <row r="148">
      <c r="A148" s="80" t="s">
        <v>2159</v>
      </c>
      <c r="B148" s="80" t="s">
        <v>4984</v>
      </c>
      <c r="C148" s="80" t="s">
        <v>506</v>
      </c>
      <c r="D148" s="18" t="str">
        <f t="shared" si="1"/>
        <v>Ohm</v>
      </c>
      <c r="E148" s="60" t="str">
        <f>VLOOKUP($A148,nist_names_ids!A:B,2,false)</f>
        <v>invconqu</v>
      </c>
      <c r="F148" s="61">
        <f>countif(Constants!A:A,E148)</f>
        <v>1</v>
      </c>
      <c r="G148" s="60" t="str">
        <f>IFERROR(__xludf.DUMMYFUNCTION("REGEXREPLACE(substitute(substitute(B148,"" "",""""),""..."",""""),""\(.*\)"","""")"),"12906.4037787")</f>
        <v>12906.4037787</v>
      </c>
      <c r="H148" s="62">
        <f t="shared" si="2"/>
        <v>12906.40378</v>
      </c>
      <c r="I148" s="60" t="str">
        <f>IFERROR(__xludf.DUMMYFUNCTION("if(regexmatch($B148,""\(""),CONCATENATE(regexreplace(REGEXREPLACE(substitute(left($B148,find(""("",$B148)-1),"" "",""""),""\d"",""0""),""[-0]*\."",""0.""), REGEXEXTRACT($B148,""\((.*)\)""),TRIM(REGEXEXTRACT($B148,""\)(.*)""))),"""")"),"0.000000088")</f>
        <v>0.000000088</v>
      </c>
      <c r="J148" s="62">
        <f t="shared" si="3"/>
        <v>0.000000088</v>
      </c>
      <c r="K148" s="62" t="b">
        <f t="shared" si="4"/>
        <v>0</v>
      </c>
      <c r="L148" s="62" t="b">
        <f t="shared" si="5"/>
        <v>0</v>
      </c>
      <c r="M148" s="60" t="str">
        <f>IFERROR(__xludf.DUMMYFUNCTION("if(regexmatch(B148,""e(.*)$""),regexextract(B148,""e(.*)$""),"""")"),"")</f>
        <v/>
      </c>
    </row>
    <row r="149">
      <c r="A149" s="80" t="s">
        <v>2162</v>
      </c>
      <c r="B149" s="80" t="s">
        <v>4988</v>
      </c>
      <c r="C149" s="80" t="s">
        <v>4534</v>
      </c>
      <c r="D149" s="18" t="str">
        <f t="shared" si="1"/>
        <v>Hz V^-1</v>
      </c>
      <c r="E149" s="60" t="str">
        <f>VLOOKUP($A149,nist_names_ids!A:B,2,false)</f>
        <v>kjos</v>
      </c>
      <c r="F149" s="61">
        <f>countif(Constants!A:A,E149)</f>
        <v>1</v>
      </c>
      <c r="G149" s="60" t="str">
        <f>IFERROR(__xludf.DUMMYFUNCTION("REGEXREPLACE(substitute(substitute(B149,"" "",""""),""..."",""""),""\(.*\)"","""")"),"483597.891e9")</f>
        <v>483597.891e9</v>
      </c>
      <c r="H149" s="62">
        <f t="shared" si="2"/>
        <v>483597891000000</v>
      </c>
      <c r="I149" s="60" t="str">
        <f>IFERROR(__xludf.DUMMYFUNCTION("if(regexmatch($B149,""\(""),CONCATENATE(regexreplace(REGEXREPLACE(substitute(left($B149,find(""("",$B149)-1),"" "",""""),""\d"",""0""),""[-0]*\."",""0.""), REGEXEXTRACT($B149,""\((.*)\)""),TRIM(REGEXEXTRACT($B149,""\)(.*)""))),"""")"),"0.00012e9")</f>
        <v>0.00012e9</v>
      </c>
      <c r="J149" s="62">
        <f t="shared" si="3"/>
        <v>120000</v>
      </c>
      <c r="K149" s="62" t="b">
        <f t="shared" si="4"/>
        <v>0</v>
      </c>
      <c r="L149" s="62" t="b">
        <f t="shared" si="5"/>
        <v>0</v>
      </c>
      <c r="M149" s="60" t="str">
        <f>IFERROR(__xludf.DUMMYFUNCTION("if(regexmatch(B149,""e(.*)$""),regexextract(B149,""e(.*)$""),"""")"),"9")</f>
        <v>9</v>
      </c>
    </row>
    <row r="150">
      <c r="A150" s="80" t="s">
        <v>2166</v>
      </c>
      <c r="B150" s="80" t="s">
        <v>4991</v>
      </c>
      <c r="C150" s="80" t="s">
        <v>249</v>
      </c>
      <c r="D150" s="18" t="str">
        <f t="shared" si="1"/>
        <v>u</v>
      </c>
      <c r="E150" s="60" t="str">
        <f>VLOOKUP($A150,nist_names_ids!A:B,2,false)</f>
        <v>ju</v>
      </c>
      <c r="F150" s="61">
        <f>countif(Constants!A:A,E150)</f>
        <v>1</v>
      </c>
      <c r="G150" s="60" t="str">
        <f>IFERROR(__xludf.DUMMYFUNCTION("REGEXREPLACE(substitute(substitute(B150,"" "",""""),""..."",""""),""\(.*\)"","""")"),"6.70053641e9")</f>
        <v>6.70053641e9</v>
      </c>
      <c r="H150" s="62">
        <f t="shared" si="2"/>
        <v>6700536410</v>
      </c>
      <c r="I150" s="60" t="str">
        <f>IFERROR(__xludf.DUMMYFUNCTION("if(regexmatch($B150,""\(""),CONCATENATE(regexreplace(REGEXREPLACE(substitute(left($B150,find(""("",$B150)-1),"" "",""""),""\d"",""0""),""[-0]*\."",""0.""), REGEXEXTRACT($B150,""\((.*)\)""),TRIM(REGEXEXTRACT($B150,""\)(.*)""))),"""")"),"0.0000000033e9")</f>
        <v>0.0000000033e9</v>
      </c>
      <c r="J150" s="62">
        <f t="shared" si="3"/>
        <v>3.3</v>
      </c>
      <c r="K150" s="62" t="b">
        <f t="shared" si="4"/>
        <v>0</v>
      </c>
      <c r="L150" s="62" t="b">
        <f t="shared" si="5"/>
        <v>0</v>
      </c>
      <c r="M150" s="60" t="str">
        <f>IFERROR(__xludf.DUMMYFUNCTION("if(regexmatch(B150,""e(.*)$""),regexextract(B150,""e(.*)$""),"""")"),"9")</f>
        <v>9</v>
      </c>
    </row>
    <row r="151">
      <c r="A151" s="80" t="s">
        <v>2172</v>
      </c>
      <c r="B151" s="80" t="s">
        <v>5010</v>
      </c>
      <c r="C151" s="80" t="s">
        <v>181</v>
      </c>
      <c r="D151" s="18" t="str">
        <f t="shared" si="1"/>
        <v>eV</v>
      </c>
      <c r="E151" s="60" t="str">
        <f>VLOOKUP($A151,nist_names_ids!A:B,2,false)</f>
        <v>jev</v>
      </c>
      <c r="F151" s="61">
        <f>countif(Constants!A:A,E151)</f>
        <v>1</v>
      </c>
      <c r="G151" s="60" t="str">
        <f>IFERROR(__xludf.DUMMYFUNCTION("REGEXREPLACE(substitute(substitute(B151,"" "",""""),""..."",""""),""\(.*\)"","""")"),"6.24150965e18")</f>
        <v>6.24150965e18</v>
      </c>
      <c r="H151" s="62">
        <f t="shared" si="2"/>
        <v>6.24151E+18</v>
      </c>
      <c r="I151" s="60" t="str">
        <f>IFERROR(__xludf.DUMMYFUNCTION("if(regexmatch($B151,""\(""),CONCATENATE(regexreplace(REGEXREPLACE(substitute(left($B151,find(""("",$B151)-1),"" "",""""),""\d"",""0""),""[-0]*\."",""0.""), REGEXEXTRACT($B151,""\((.*)\)""),TRIM(REGEXEXTRACT($B151,""\)(.*)""))),"""")"),"0.0000000016e18")</f>
        <v>0.0000000016e18</v>
      </c>
      <c r="J151" s="62">
        <f t="shared" si="3"/>
        <v>1600000000</v>
      </c>
      <c r="K151" s="62" t="b">
        <f t="shared" si="4"/>
        <v>0</v>
      </c>
      <c r="L151" s="62" t="b">
        <f t="shared" si="5"/>
        <v>0</v>
      </c>
      <c r="M151" s="60" t="str">
        <f>IFERROR(__xludf.DUMMYFUNCTION("if(regexmatch(B151,""e(.*)$""),regexextract(B151,""e(.*)$""),"""")"),"18")</f>
        <v>18</v>
      </c>
    </row>
    <row r="152">
      <c r="A152" s="80" t="s">
        <v>2176</v>
      </c>
      <c r="B152" s="80" t="s">
        <v>5014</v>
      </c>
      <c r="C152" s="80" t="s">
        <v>170</v>
      </c>
      <c r="D152" s="18" t="str">
        <f t="shared" si="1"/>
        <v>E_h</v>
      </c>
      <c r="E152" s="60" t="str">
        <f>VLOOKUP($A152,nist_names_ids!A:B,2,false)</f>
        <v>jhr</v>
      </c>
      <c r="F152" s="61">
        <f>countif(Constants!A:A,E152)</f>
        <v>1</v>
      </c>
      <c r="G152" s="60" t="str">
        <f>IFERROR(__xludf.DUMMYFUNCTION("REGEXREPLACE(substitute(substitute(B152,"" "",""""),""..."",""""),""\(.*\)"","""")"),"2.29371269e17")</f>
        <v>2.29371269e17</v>
      </c>
      <c r="H152" s="62">
        <f t="shared" si="2"/>
        <v>2.29371E+17</v>
      </c>
      <c r="I152" s="60" t="str">
        <f>IFERROR(__xludf.DUMMYFUNCTION("if(regexmatch($B152,""\(""),CONCATENATE(regexreplace(REGEXREPLACE(substitute(left($B152,find(""("",$B152)-1),"" "",""""),""\d"",""0""),""[-0]*\."",""0.""), REGEXEXTRACT($B152,""\((.*)\)""),TRIM(REGEXEXTRACT($B152,""\)(.*)""))),"""")"),"0.0000000011e17")</f>
        <v>0.0000000011e17</v>
      </c>
      <c r="J152" s="62">
        <f t="shared" si="3"/>
        <v>110000000</v>
      </c>
      <c r="K152" s="62" t="b">
        <f t="shared" si="4"/>
        <v>0</v>
      </c>
      <c r="L152" s="62" t="b">
        <f t="shared" si="5"/>
        <v>0</v>
      </c>
      <c r="M152" s="60" t="str">
        <f>IFERROR(__xludf.DUMMYFUNCTION("if(regexmatch(B152,""e(.*)$""),regexextract(B152,""e(.*)$""),"""")"),"17")</f>
        <v>17</v>
      </c>
    </row>
    <row r="153">
      <c r="A153" s="80" t="s">
        <v>2180</v>
      </c>
      <c r="B153" s="80" t="s">
        <v>5018</v>
      </c>
      <c r="C153" s="80" t="s">
        <v>257</v>
      </c>
      <c r="D153" s="18" t="str">
        <f t="shared" si="1"/>
        <v>Hz</v>
      </c>
      <c r="E153" s="60" t="str">
        <f>VLOOKUP($A153,nist_names_ids!A:B,2,false)</f>
        <v>jhz</v>
      </c>
      <c r="F153" s="61">
        <f>countif(Constants!A:A,E153)</f>
        <v>1</v>
      </c>
      <c r="G153" s="60" t="str">
        <f>IFERROR(__xludf.DUMMYFUNCTION("REGEXREPLACE(substitute(substitute(B153,"" "",""""),""..."",""""),""\(.*\)"","""")"),"1.509190450e33")</f>
        <v>1.509190450e33</v>
      </c>
      <c r="H153" s="62">
        <f t="shared" si="2"/>
        <v>1.50919E+33</v>
      </c>
      <c r="I153" s="60" t="str">
        <f>IFERROR(__xludf.DUMMYFUNCTION("if(regexmatch($B153,""\(""),CONCATENATE(regexreplace(REGEXREPLACE(substitute(left($B153,find(""("",$B153)-1),"" "",""""),""\d"",""0""),""[-0]*\."",""0.""), REGEXEXTRACT($B153,""\((.*)\)""),TRIM(REGEXEXTRACT($B153,""\)(.*)""))),"""")"),"0.00000000075e33")</f>
        <v>0.00000000075e33</v>
      </c>
      <c r="J153" s="62">
        <f t="shared" si="3"/>
        <v>7.5E+23</v>
      </c>
      <c r="K153" s="62" t="b">
        <f t="shared" si="4"/>
        <v>0</v>
      </c>
      <c r="L153" s="62" t="b">
        <f t="shared" si="5"/>
        <v>0</v>
      </c>
      <c r="M153" s="60" t="str">
        <f>IFERROR(__xludf.DUMMYFUNCTION("if(regexmatch(B153,""e(.*)$""),regexextract(B153,""e(.*)$""),"""")"),"33")</f>
        <v>33</v>
      </c>
    </row>
    <row r="154">
      <c r="A154" s="80" t="s">
        <v>2184</v>
      </c>
      <c r="B154" s="80" t="s">
        <v>5022</v>
      </c>
      <c r="C154" s="80" t="s">
        <v>4359</v>
      </c>
      <c r="D154" s="18" t="str">
        <f t="shared" si="1"/>
        <v>m^-1</v>
      </c>
      <c r="E154" s="60" t="str">
        <f>VLOOKUP($A154,nist_names_ids!A:B,2,false)</f>
        <v>jminv</v>
      </c>
      <c r="F154" s="61">
        <f>countif(Constants!A:A,E154)</f>
        <v>1</v>
      </c>
      <c r="G154" s="60" t="str">
        <f>IFERROR(__xludf.DUMMYFUNCTION("REGEXREPLACE(substitute(substitute(B154,"" "",""""),""..."",""""),""\(.*\)"","""")"),"5.03411747e24")</f>
        <v>5.03411747e24</v>
      </c>
      <c r="H154" s="62">
        <f t="shared" si="2"/>
        <v>5.03412E+24</v>
      </c>
      <c r="I154" s="60" t="str">
        <f>IFERROR(__xludf.DUMMYFUNCTION("if(regexmatch($B154,""\(""),CONCATENATE(regexreplace(REGEXREPLACE(substitute(left($B154,find(""("",$B154)-1),"" "",""""),""\d"",""0""),""[-0]*\."",""0.""), REGEXEXTRACT($B154,""\((.*)\)""),TRIM(REGEXEXTRACT($B154,""\)(.*)""))),"""")"),"0.0000000025e24")</f>
        <v>0.0000000025e24</v>
      </c>
      <c r="J154" s="62">
        <f t="shared" si="3"/>
        <v>2.5E+15</v>
      </c>
      <c r="K154" s="62" t="b">
        <f t="shared" si="4"/>
        <v>0</v>
      </c>
      <c r="L154" s="62" t="b">
        <f t="shared" si="5"/>
        <v>0</v>
      </c>
      <c r="M154" s="60" t="str">
        <f>IFERROR(__xludf.DUMMYFUNCTION("if(regexmatch(B154,""e(.*)$""),regexextract(B154,""e(.*)$""),"""")"),"24")</f>
        <v>24</v>
      </c>
    </row>
    <row r="155">
      <c r="A155" s="80" t="s">
        <v>2190</v>
      </c>
      <c r="B155" s="80" t="s">
        <v>5023</v>
      </c>
      <c r="C155" s="80" t="s">
        <v>345</v>
      </c>
      <c r="D155" s="18" t="str">
        <f t="shared" si="1"/>
        <v>K</v>
      </c>
      <c r="E155" s="60" t="str">
        <f>VLOOKUP($A155,nist_names_ids!A:B,2,false)</f>
        <v>jk</v>
      </c>
      <c r="F155" s="61">
        <f>countif(Constants!A:A,E155)</f>
        <v>1</v>
      </c>
      <c r="G155" s="60" t="str">
        <f>IFERROR(__xludf.DUMMYFUNCTION("REGEXREPLACE(substitute(substitute(B155,"" "",""""),""..."",""""),""\(.*\)"","""")"),"7.242963e22")</f>
        <v>7.242963e22</v>
      </c>
      <c r="H155" s="62">
        <f t="shared" si="2"/>
        <v>7.24296E+22</v>
      </c>
      <c r="I155" s="60" t="str">
        <f>IFERROR(__xludf.DUMMYFUNCTION("if(regexmatch($B155,""\(""),CONCATENATE(regexreplace(REGEXREPLACE(substitute(left($B155,find(""("",$B155)-1),"" "",""""),""\d"",""0""),""[-0]*\."",""0.""), REGEXEXTRACT($B155,""\((.*)\)""),TRIM(REGEXEXTRACT($B155,""\)(.*)""))),"""")"),"0.00000013e22")</f>
        <v>0.00000013e22</v>
      </c>
      <c r="J155" s="62">
        <f t="shared" si="3"/>
        <v>1.3E+15</v>
      </c>
      <c r="K155" s="62" t="b">
        <f t="shared" si="4"/>
        <v>0</v>
      </c>
      <c r="L155" s="62" t="b">
        <f t="shared" si="5"/>
        <v>0</v>
      </c>
      <c r="M155" s="60" t="str">
        <f>IFERROR(__xludf.DUMMYFUNCTION("if(regexmatch(B155,""e(.*)$""),regexextract(B155,""e(.*)$""),"""")"),"22")</f>
        <v>22</v>
      </c>
    </row>
    <row r="156">
      <c r="A156" s="80" t="s">
        <v>2193</v>
      </c>
      <c r="B156" s="80" t="s">
        <v>5054</v>
      </c>
      <c r="C156" s="80" t="s">
        <v>98</v>
      </c>
      <c r="D156" s="18" t="str">
        <f t="shared" si="1"/>
        <v>kg</v>
      </c>
      <c r="E156" s="60" t="str">
        <f>VLOOKUP($A156,nist_names_ids!A:B,2,false)</f>
        <v>jkg</v>
      </c>
      <c r="F156" s="61">
        <f>countif(Constants!A:A,E156)</f>
        <v>1</v>
      </c>
      <c r="G156" s="60" t="str">
        <f>IFERROR(__xludf.DUMMYFUNCTION("REGEXREPLACE(substitute(substitute(B156,"" "",""""),""..."",""""),""\(.*\)"","""")"),"1.112650056e-17")</f>
        <v>1.112650056e-17</v>
      </c>
      <c r="H156" s="62">
        <f t="shared" si="2"/>
        <v>0</v>
      </c>
      <c r="I156" s="60" t="str">
        <f>IFERROR(__xludf.DUMMYFUNCTION("if(regexmatch($B156,""\(""),CONCATENATE(regexreplace(REGEXREPLACE(substitute(left($B156,find(""("",$B156)-1),"" "",""""),""\d"",""0""),""[-0]*\."",""0.""), REGEXEXTRACT($B156,""\((.*)\)""),TRIM(REGEXEXTRACT($B156,""\)(.*)""))),"""")"),"")</f>
        <v/>
      </c>
      <c r="J156" s="62" t="str">
        <f t="shared" si="3"/>
        <v/>
      </c>
      <c r="K156" s="62" t="b">
        <f t="shared" si="4"/>
        <v>0</v>
      </c>
      <c r="L156" s="62" t="b">
        <f t="shared" si="5"/>
        <v>1</v>
      </c>
      <c r="M156" s="60" t="str">
        <f>IFERROR(__xludf.DUMMYFUNCTION("if(regexmatch(B156,""e(.*)$""),regexextract(B156,""e(.*)$""),"""")"),"-17")</f>
        <v>-17</v>
      </c>
    </row>
    <row r="157">
      <c r="A157" s="80" t="s">
        <v>2196</v>
      </c>
      <c r="B157" s="80" t="s">
        <v>5059</v>
      </c>
      <c r="C157" s="80" t="s">
        <v>249</v>
      </c>
      <c r="D157" s="18" t="str">
        <f t="shared" si="1"/>
        <v>u</v>
      </c>
      <c r="E157" s="60" t="str">
        <f>VLOOKUP($A157,nist_names_ids!A:B,2,false)</f>
        <v>ku</v>
      </c>
      <c r="F157" s="61">
        <f>countif(Constants!A:A,E157)</f>
        <v>1</v>
      </c>
      <c r="G157" s="60" t="str">
        <f>IFERROR(__xludf.DUMMYFUNCTION("REGEXREPLACE(substitute(substitute(B157,"" "",""""),""..."",""""),""\(.*\)"","""")"),"9.251098e-14")</f>
        <v>9.251098e-14</v>
      </c>
      <c r="H157" s="62">
        <f t="shared" si="2"/>
        <v>0</v>
      </c>
      <c r="I157" s="60" t="str">
        <f>IFERROR(__xludf.DUMMYFUNCTION("if(regexmatch($B157,""\(""),CONCATENATE(regexreplace(REGEXREPLACE(substitute(left($B157,find(""("",$B157)-1),"" "",""""),""\d"",""0""),""[-0]*\."",""0.""), REGEXEXTRACT($B157,""\((.*)\)""),TRIM(REGEXEXTRACT($B157,""\)(.*)""))),"""")"),"0.00000016e-14")</f>
        <v>0.00000016e-14</v>
      </c>
      <c r="J157" s="62">
        <f t="shared" si="3"/>
        <v>0</v>
      </c>
      <c r="K157" s="62" t="b">
        <f t="shared" si="4"/>
        <v>0</v>
      </c>
      <c r="L157" s="62" t="b">
        <f t="shared" si="5"/>
        <v>0</v>
      </c>
      <c r="M157" s="60" t="str">
        <f>IFERROR(__xludf.DUMMYFUNCTION("if(regexmatch(B157,""e(.*)$""),regexextract(B157,""e(.*)$""),"""")"),"-14")</f>
        <v>-14</v>
      </c>
    </row>
    <row r="158">
      <c r="A158" s="80" t="s">
        <v>2200</v>
      </c>
      <c r="B158" s="80" t="s">
        <v>4490</v>
      </c>
      <c r="C158" s="80" t="s">
        <v>181</v>
      </c>
      <c r="D158" s="18" t="str">
        <f t="shared" si="1"/>
        <v>eV</v>
      </c>
      <c r="E158" s="60" t="str">
        <f>VLOOKUP($A158,nist_names_ids!A:B,2,false)</f>
        <v>kev</v>
      </c>
      <c r="F158" s="61">
        <f>countif(Constants!A:A,E158)</f>
        <v>1</v>
      </c>
      <c r="G158" s="60" t="str">
        <f>IFERROR(__xludf.DUMMYFUNCTION("REGEXREPLACE(substitute(substitute(B158,"" "",""""),""..."",""""),""\(.*\)"","""")"),"8.617343e-5")</f>
        <v>8.617343e-5</v>
      </c>
      <c r="H158" s="62">
        <f t="shared" si="2"/>
        <v>0.00008617343</v>
      </c>
      <c r="I158" s="60" t="str">
        <f>IFERROR(__xludf.DUMMYFUNCTION("if(regexmatch($B158,""\(""),CONCATENATE(regexreplace(REGEXREPLACE(substitute(left($B158,find(""("",$B158)-1),"" "",""""),""\d"",""0""),""[-0]*\."",""0.""), REGEXEXTRACT($B158,""\((.*)\)""),TRIM(REGEXEXTRACT($B158,""\)(.*)""))),"""")"),"0.00000015e-5")</f>
        <v>0.00000015e-5</v>
      </c>
      <c r="J158" s="62">
        <f t="shared" si="3"/>
        <v>0</v>
      </c>
      <c r="K158" s="62" t="b">
        <f t="shared" si="4"/>
        <v>0</v>
      </c>
      <c r="L158" s="62" t="b">
        <f t="shared" si="5"/>
        <v>0</v>
      </c>
      <c r="M158" s="60" t="str">
        <f>IFERROR(__xludf.DUMMYFUNCTION("if(regexmatch(B158,""e(.*)$""),regexextract(B158,""e(.*)$""),"""")"),"-5")</f>
        <v>-5</v>
      </c>
    </row>
    <row r="159">
      <c r="A159" s="80" t="s">
        <v>2204</v>
      </c>
      <c r="B159" s="80" t="s">
        <v>5067</v>
      </c>
      <c r="C159" s="80" t="s">
        <v>170</v>
      </c>
      <c r="D159" s="18" t="str">
        <f t="shared" si="1"/>
        <v>E_h</v>
      </c>
      <c r="E159" s="60" t="str">
        <f>VLOOKUP($A159,nist_names_ids!A:B,2,false)</f>
        <v>khr</v>
      </c>
      <c r="F159" s="61">
        <f>countif(Constants!A:A,E159)</f>
        <v>1</v>
      </c>
      <c r="G159" s="60" t="str">
        <f>IFERROR(__xludf.DUMMYFUNCTION("REGEXREPLACE(substitute(substitute(B159,"" "",""""),""..."",""""),""\(.*\)"","""")"),"3.1668153e-6")</f>
        <v>3.1668153e-6</v>
      </c>
      <c r="H159" s="62">
        <f t="shared" si="2"/>
        <v>0.0000031668153</v>
      </c>
      <c r="I159" s="60" t="str">
        <f>IFERROR(__xludf.DUMMYFUNCTION("if(regexmatch($B159,""\(""),CONCATENATE(regexreplace(REGEXREPLACE(substitute(left($B159,find(""("",$B159)-1),"" "",""""),""\d"",""0""),""[-0]*\."",""0.""), REGEXEXTRACT($B159,""\((.*)\)""),TRIM(REGEXEXTRACT($B159,""\)(.*)""))),"""")"),"0.000000055e-6")</f>
        <v>0.000000055e-6</v>
      </c>
      <c r="J159" s="62">
        <f t="shared" si="3"/>
        <v>0</v>
      </c>
      <c r="K159" s="62" t="b">
        <f t="shared" si="4"/>
        <v>0</v>
      </c>
      <c r="L159" s="62" t="b">
        <f t="shared" si="5"/>
        <v>0</v>
      </c>
      <c r="M159" s="60" t="str">
        <f>IFERROR(__xludf.DUMMYFUNCTION("if(regexmatch(B159,""e(.*)$""),regexextract(B159,""e(.*)$""),"""")"),"-6")</f>
        <v>-6</v>
      </c>
    </row>
    <row r="160">
      <c r="A160" s="80" t="s">
        <v>2208</v>
      </c>
      <c r="B160" s="80" t="s">
        <v>4485</v>
      </c>
      <c r="C160" s="80" t="s">
        <v>257</v>
      </c>
      <c r="D160" s="18" t="str">
        <f t="shared" si="1"/>
        <v>Hz</v>
      </c>
      <c r="E160" s="60" t="str">
        <f>VLOOKUP($A160,nist_names_ids!A:B,2,false)</f>
        <v>khz</v>
      </c>
      <c r="F160" s="61">
        <f>countif(Constants!A:A,E160)</f>
        <v>1</v>
      </c>
      <c r="G160" s="60" t="str">
        <f>IFERROR(__xludf.DUMMYFUNCTION("REGEXREPLACE(substitute(substitute(B160,"" "",""""),""..."",""""),""\(.*\)"","""")"),"2.0836644e10")</f>
        <v>2.0836644e10</v>
      </c>
      <c r="H160" s="62">
        <f t="shared" si="2"/>
        <v>20836644000</v>
      </c>
      <c r="I160" s="60" t="str">
        <f>IFERROR(__xludf.DUMMYFUNCTION("if(regexmatch($B160,""\(""),CONCATENATE(regexreplace(REGEXREPLACE(substitute(left($B160,find(""("",$B160)-1),"" "",""""),""\d"",""0""),""[-0]*\."",""0.""), REGEXEXTRACT($B160,""\((.*)\)""),TRIM(REGEXEXTRACT($B160,""\)(.*)""))),"""")"),"0.000000036e10")</f>
        <v>0.000000036e10</v>
      </c>
      <c r="J160" s="62">
        <f t="shared" si="3"/>
        <v>360</v>
      </c>
      <c r="K160" s="62" t="b">
        <f t="shared" si="4"/>
        <v>0</v>
      </c>
      <c r="L160" s="62" t="b">
        <f t="shared" si="5"/>
        <v>0</v>
      </c>
      <c r="M160" s="60" t="str">
        <f>IFERROR(__xludf.DUMMYFUNCTION("if(regexmatch(B160,""e(.*)$""),regexextract(B160,""e(.*)$""),"""")"),"10")</f>
        <v>10</v>
      </c>
    </row>
    <row r="161">
      <c r="A161" s="80" t="s">
        <v>2217</v>
      </c>
      <c r="B161" s="80" t="s">
        <v>4517</v>
      </c>
      <c r="C161" s="80" t="s">
        <v>4359</v>
      </c>
      <c r="D161" s="18" t="str">
        <f t="shared" si="1"/>
        <v>m^-1</v>
      </c>
      <c r="E161" s="60" t="str">
        <f>VLOOKUP($A161,nist_names_ids!A:B,2,false)</f>
        <v>kminv</v>
      </c>
      <c r="F161" s="61">
        <f>countif(Constants!A:A,E161)</f>
        <v>1</v>
      </c>
      <c r="G161" s="60" t="str">
        <f>IFERROR(__xludf.DUMMYFUNCTION("REGEXREPLACE(substitute(substitute(B161,"" "",""""),""..."",""""),""\(.*\)"","""")"),"69.50356")</f>
        <v>69.50356</v>
      </c>
      <c r="H161" s="62">
        <f t="shared" si="2"/>
        <v>69.50356</v>
      </c>
      <c r="I161" s="60" t="str">
        <f>IFERROR(__xludf.DUMMYFUNCTION("if(regexmatch($B161,""\(""),CONCATENATE(regexreplace(REGEXREPLACE(substitute(left($B161,find(""("",$B161)-1),"" "",""""),""\d"",""0""),""[-0]*\."",""0.""), REGEXEXTRACT($B161,""\((.*)\)""),TRIM(REGEXEXTRACT($B161,""\)(.*)""))),"""")"),"0.0000012")</f>
        <v>0.0000012</v>
      </c>
      <c r="J161" s="62">
        <f t="shared" si="3"/>
        <v>0.0000012</v>
      </c>
      <c r="K161" s="62" t="b">
        <f t="shared" si="4"/>
        <v>0</v>
      </c>
      <c r="L161" s="62" t="b">
        <f t="shared" si="5"/>
        <v>0</v>
      </c>
      <c r="M161" s="60" t="str">
        <f>IFERROR(__xludf.DUMMYFUNCTION("if(regexmatch(B161,""e(.*)$""),regexextract(B161,""e(.*)$""),"""")"),"")</f>
        <v/>
      </c>
    </row>
    <row r="162">
      <c r="A162" s="80" t="s">
        <v>2219</v>
      </c>
      <c r="B162" s="80" t="s">
        <v>4480</v>
      </c>
      <c r="C162" s="80" t="s">
        <v>173</v>
      </c>
      <c r="D162" s="18" t="str">
        <f t="shared" si="1"/>
        <v>J</v>
      </c>
      <c r="E162" s="60" t="str">
        <f>VLOOKUP($A162,nist_names_ids!A:B,2,false)</f>
        <v>kj</v>
      </c>
      <c r="F162" s="61">
        <f>countif(Constants!A:A,E162)</f>
        <v>1</v>
      </c>
      <c r="G162" s="60" t="str">
        <f>IFERROR(__xludf.DUMMYFUNCTION("REGEXREPLACE(substitute(substitute(B162,"" "",""""),""..."",""""),""\(.*\)"","""")"),"1.3806504e-23")</f>
        <v>1.3806504e-23</v>
      </c>
      <c r="H162" s="62">
        <f t="shared" si="2"/>
        <v>0</v>
      </c>
      <c r="I162" s="60" t="str">
        <f>IFERROR(__xludf.DUMMYFUNCTION("if(regexmatch($B162,""\(""),CONCATENATE(regexreplace(REGEXREPLACE(substitute(left($B162,find(""("",$B162)-1),"" "",""""),""\d"",""0""),""[-0]*\."",""0.""), REGEXEXTRACT($B162,""\((.*)\)""),TRIM(REGEXEXTRACT($B162,""\)(.*)""))),"""")"),"0.000000024e-23")</f>
        <v>0.000000024e-23</v>
      </c>
      <c r="J162" s="62">
        <f t="shared" si="3"/>
        <v>0</v>
      </c>
      <c r="K162" s="62" t="b">
        <f t="shared" si="4"/>
        <v>0</v>
      </c>
      <c r="L162" s="62" t="b">
        <f t="shared" si="5"/>
        <v>0</v>
      </c>
      <c r="M162" s="60" t="str">
        <f>IFERROR(__xludf.DUMMYFUNCTION("if(regexmatch(B162,""e(.*)$""),regexextract(B162,""e(.*)$""),"""")"),"-23")</f>
        <v>-23</v>
      </c>
    </row>
    <row r="163">
      <c r="A163" s="80" t="s">
        <v>2222</v>
      </c>
      <c r="B163" s="80" t="s">
        <v>5077</v>
      </c>
      <c r="C163" s="80" t="s">
        <v>98</v>
      </c>
      <c r="D163" s="18" t="str">
        <f t="shared" si="1"/>
        <v>kg</v>
      </c>
      <c r="E163" s="60" t="str">
        <f>VLOOKUP($A163,nist_names_ids!A:B,2,false)</f>
        <v>kkg</v>
      </c>
      <c r="F163" s="61">
        <f>countif(Constants!A:A,E163)</f>
        <v>1</v>
      </c>
      <c r="G163" s="60" t="str">
        <f>IFERROR(__xludf.DUMMYFUNCTION("REGEXREPLACE(substitute(substitute(B163,"" "",""""),""..."",""""),""\(.*\)"","""")"),"1.5361807e-40")</f>
        <v>1.5361807e-40</v>
      </c>
      <c r="H163" s="62">
        <f t="shared" si="2"/>
        <v>0</v>
      </c>
      <c r="I163" s="60" t="str">
        <f>IFERROR(__xludf.DUMMYFUNCTION("if(regexmatch($B163,""\(""),CONCATENATE(regexreplace(REGEXREPLACE(substitute(left($B163,find(""("",$B163)-1),"" "",""""),""\d"",""0""),""[-0]*\."",""0.""), REGEXEXTRACT($B163,""\((.*)\)""),TRIM(REGEXEXTRACT($B163,""\)(.*)""))),"""")"),"0.000000027e-40")</f>
        <v>0.000000027e-40</v>
      </c>
      <c r="J163" s="62">
        <f t="shared" si="3"/>
        <v>0</v>
      </c>
      <c r="K163" s="62" t="b">
        <f t="shared" si="4"/>
        <v>0</v>
      </c>
      <c r="L163" s="62" t="b">
        <f t="shared" si="5"/>
        <v>0</v>
      </c>
      <c r="M163" s="60" t="str">
        <f>IFERROR(__xludf.DUMMYFUNCTION("if(regexmatch(B163,""e(.*)$""),regexextract(B163,""e(.*)$""),"""")"),"-40")</f>
        <v>-40</v>
      </c>
    </row>
    <row r="164">
      <c r="A164" s="80" t="s">
        <v>2226</v>
      </c>
      <c r="B164" s="80" t="s">
        <v>5080</v>
      </c>
      <c r="C164" s="80" t="s">
        <v>249</v>
      </c>
      <c r="D164" s="18" t="str">
        <f t="shared" si="1"/>
        <v>u</v>
      </c>
      <c r="E164" s="60" t="str">
        <f>VLOOKUP($A164,nist_names_ids!A:B,2,false)</f>
        <v>kgu</v>
      </c>
      <c r="F164" s="61">
        <f>countif(Constants!A:A,E164)</f>
        <v>1</v>
      </c>
      <c r="G164" s="60" t="str">
        <f>IFERROR(__xludf.DUMMYFUNCTION("REGEXREPLACE(substitute(substitute(B164,"" "",""""),""..."",""""),""\(.*\)"","""")"),"6.02214179e26")</f>
        <v>6.02214179e26</v>
      </c>
      <c r="H164" s="62">
        <f t="shared" si="2"/>
        <v>6.02214E+26</v>
      </c>
      <c r="I164" s="60" t="str">
        <f>IFERROR(__xludf.DUMMYFUNCTION("if(regexmatch($B164,""\(""),CONCATENATE(regexreplace(REGEXREPLACE(substitute(left($B164,find(""("",$B164)-1),"" "",""""),""\d"",""0""),""[-0]*\."",""0.""), REGEXEXTRACT($B164,""\((.*)\)""),TRIM(REGEXEXTRACT($B164,""\)(.*)""))),"""")"),"0.0000000030e26")</f>
        <v>0.0000000030e26</v>
      </c>
      <c r="J164" s="62">
        <f t="shared" si="3"/>
        <v>3E+17</v>
      </c>
      <c r="K164" s="62" t="b">
        <f t="shared" si="4"/>
        <v>0</v>
      </c>
      <c r="L164" s="62" t="b">
        <f t="shared" si="5"/>
        <v>0</v>
      </c>
      <c r="M164" s="60" t="str">
        <f>IFERROR(__xludf.DUMMYFUNCTION("if(regexmatch(B164,""e(.*)$""),regexextract(B164,""e(.*)$""),"""")"),"26")</f>
        <v>26</v>
      </c>
    </row>
    <row r="165">
      <c r="A165" s="80" t="s">
        <v>2232</v>
      </c>
      <c r="B165" s="80" t="s">
        <v>5084</v>
      </c>
      <c r="C165" s="80" t="s">
        <v>181</v>
      </c>
      <c r="D165" s="18" t="str">
        <f t="shared" si="1"/>
        <v>eV</v>
      </c>
      <c r="E165" s="60" t="str">
        <f>VLOOKUP($A165,nist_names_ids!A:B,2,false)</f>
        <v>kgev</v>
      </c>
      <c r="F165" s="61">
        <f>countif(Constants!A:A,E165)</f>
        <v>1</v>
      </c>
      <c r="G165" s="60" t="str">
        <f>IFERROR(__xludf.DUMMYFUNCTION("REGEXREPLACE(substitute(substitute(B165,"" "",""""),""..."",""""),""\(.*\)"","""")"),"5.60958912e35")</f>
        <v>5.60958912e35</v>
      </c>
      <c r="H165" s="62">
        <f t="shared" si="2"/>
        <v>5.60959E+35</v>
      </c>
      <c r="I165" s="60" t="str">
        <f>IFERROR(__xludf.DUMMYFUNCTION("if(regexmatch($B165,""\(""),CONCATENATE(regexreplace(REGEXREPLACE(substitute(left($B165,find(""("",$B165)-1),"" "",""""),""\d"",""0""),""[-0]*\."",""0.""), REGEXEXTRACT($B165,""\((.*)\)""),TRIM(REGEXEXTRACT($B165,""\)(.*)""))),"""")"),"0.0000000014e35")</f>
        <v>0.0000000014e35</v>
      </c>
      <c r="J165" s="62">
        <f t="shared" si="3"/>
        <v>1.4E+26</v>
      </c>
      <c r="K165" s="62" t="b">
        <f t="shared" si="4"/>
        <v>0</v>
      </c>
      <c r="L165" s="62" t="b">
        <f t="shared" si="5"/>
        <v>0</v>
      </c>
      <c r="M165" s="60" t="str">
        <f>IFERROR(__xludf.DUMMYFUNCTION("if(regexmatch(B165,""e(.*)$""),regexextract(B165,""e(.*)$""),"""")"),"35")</f>
        <v>35</v>
      </c>
    </row>
    <row r="166">
      <c r="A166" s="80" t="s">
        <v>2236</v>
      </c>
      <c r="B166" s="80" t="s">
        <v>5089</v>
      </c>
      <c r="C166" s="80" t="s">
        <v>170</v>
      </c>
      <c r="D166" s="18" t="str">
        <f t="shared" si="1"/>
        <v>E_h</v>
      </c>
      <c r="E166" s="60" t="str">
        <f>VLOOKUP($A166,nist_names_ids!A:B,2,false)</f>
        <v>kghr</v>
      </c>
      <c r="F166" s="61">
        <f>countif(Constants!A:A,E166)</f>
        <v>1</v>
      </c>
      <c r="G166" s="60" t="str">
        <f>IFERROR(__xludf.DUMMYFUNCTION("REGEXREPLACE(substitute(substitute(B166,"" "",""""),""..."",""""),""\(.*\)"","""")"),"2.06148616e34")</f>
        <v>2.06148616e34</v>
      </c>
      <c r="H166" s="62">
        <f t="shared" si="2"/>
        <v>2.06149E+34</v>
      </c>
      <c r="I166" s="60" t="str">
        <f>IFERROR(__xludf.DUMMYFUNCTION("if(regexmatch($B166,""\(""),CONCATENATE(regexreplace(REGEXREPLACE(substitute(left($B166,find(""("",$B166)-1),"" "",""""),""\d"",""0""),""[-0]*\."",""0.""), REGEXEXTRACT($B166,""\((.*)\)""),TRIM(REGEXEXTRACT($B166,""\)(.*)""))),"""")"),"0.0000000010e34")</f>
        <v>0.0000000010e34</v>
      </c>
      <c r="J166" s="62">
        <f t="shared" si="3"/>
        <v>1E+25</v>
      </c>
      <c r="K166" s="62" t="b">
        <f t="shared" si="4"/>
        <v>0</v>
      </c>
      <c r="L166" s="62" t="b">
        <f t="shared" si="5"/>
        <v>0</v>
      </c>
      <c r="M166" s="60" t="str">
        <f>IFERROR(__xludf.DUMMYFUNCTION("if(regexmatch(B166,""e(.*)$""),regexextract(B166,""e(.*)$""),"""")"),"34")</f>
        <v>34</v>
      </c>
    </row>
    <row r="167">
      <c r="A167" s="80" t="s">
        <v>2243</v>
      </c>
      <c r="B167" s="80" t="s">
        <v>5092</v>
      </c>
      <c r="C167" s="80" t="s">
        <v>257</v>
      </c>
      <c r="D167" s="18" t="str">
        <f t="shared" si="1"/>
        <v>Hz</v>
      </c>
      <c r="E167" s="60" t="str">
        <f>VLOOKUP($A167,nist_names_ids!A:B,2,false)</f>
        <v>kghz</v>
      </c>
      <c r="F167" s="61">
        <f>countif(Constants!A:A,E167)</f>
        <v>1</v>
      </c>
      <c r="G167" s="60" t="str">
        <f>IFERROR(__xludf.DUMMYFUNCTION("REGEXREPLACE(substitute(substitute(B167,"" "",""""),""..."",""""),""\(.*\)"","""")"),"1.356392733e50")</f>
        <v>1.356392733e50</v>
      </c>
      <c r="H167" s="62">
        <f t="shared" si="2"/>
        <v>1.35639E+50</v>
      </c>
      <c r="I167" s="60" t="str">
        <f>IFERROR(__xludf.DUMMYFUNCTION("if(regexmatch($B167,""\(""),CONCATENATE(regexreplace(REGEXREPLACE(substitute(left($B167,find(""("",$B167)-1),"" "",""""),""\d"",""0""),""[-0]*\."",""0.""), REGEXEXTRACT($B167,""\((.*)\)""),TRIM(REGEXEXTRACT($B167,""\)(.*)""))),"""")"),"0.00000000068e50")</f>
        <v>0.00000000068e50</v>
      </c>
      <c r="J167" s="62">
        <f t="shared" si="3"/>
        <v>6.8E+40</v>
      </c>
      <c r="K167" s="62" t="b">
        <f t="shared" si="4"/>
        <v>0</v>
      </c>
      <c r="L167" s="62" t="b">
        <f t="shared" si="5"/>
        <v>0</v>
      </c>
      <c r="M167" s="60" t="str">
        <f>IFERROR(__xludf.DUMMYFUNCTION("if(regexmatch(B167,""e(.*)$""),regexextract(B167,""e(.*)$""),"""")"),"50")</f>
        <v>50</v>
      </c>
    </row>
    <row r="168">
      <c r="A168" s="80" t="s">
        <v>2247</v>
      </c>
      <c r="B168" s="80" t="s">
        <v>5093</v>
      </c>
      <c r="C168" s="80" t="s">
        <v>4359</v>
      </c>
      <c r="D168" s="18" t="str">
        <f t="shared" si="1"/>
        <v>m^-1</v>
      </c>
      <c r="E168" s="60" t="str">
        <f>VLOOKUP($A168,nist_names_ids!A:B,2,false)</f>
        <v>kgminv</v>
      </c>
      <c r="F168" s="61">
        <f>countif(Constants!A:A,E168)</f>
        <v>1</v>
      </c>
      <c r="G168" s="60" t="str">
        <f>IFERROR(__xludf.DUMMYFUNCTION("REGEXREPLACE(substitute(substitute(B168,"" "",""""),""..."",""""),""\(.*\)"","""")"),"4.52443915e41")</f>
        <v>4.52443915e41</v>
      </c>
      <c r="H168" s="62">
        <f t="shared" si="2"/>
        <v>4.52444E+41</v>
      </c>
      <c r="I168" s="60" t="str">
        <f>IFERROR(__xludf.DUMMYFUNCTION("if(regexmatch($B168,""\(""),CONCATENATE(regexreplace(REGEXREPLACE(substitute(left($B168,find(""("",$B168)-1),"" "",""""),""\d"",""0""),""[-0]*\."",""0.""), REGEXEXTRACT($B168,""\((.*)\)""),TRIM(REGEXEXTRACT($B168,""\)(.*)""))),"""")"),"0.0000000023e41")</f>
        <v>0.0000000023e41</v>
      </c>
      <c r="J168" s="62">
        <f t="shared" si="3"/>
        <v>2.3E+32</v>
      </c>
      <c r="K168" s="62" t="b">
        <f t="shared" si="4"/>
        <v>0</v>
      </c>
      <c r="L168" s="62" t="b">
        <f t="shared" si="5"/>
        <v>0</v>
      </c>
      <c r="M168" s="60" t="str">
        <f>IFERROR(__xludf.DUMMYFUNCTION("if(regexmatch(B168,""e(.*)$""),regexextract(B168,""e(.*)$""),"""")"),"41")</f>
        <v>41</v>
      </c>
    </row>
    <row r="169">
      <c r="A169" s="80" t="s">
        <v>2253</v>
      </c>
      <c r="B169" s="80" t="s">
        <v>5095</v>
      </c>
      <c r="C169" s="80" t="s">
        <v>173</v>
      </c>
      <c r="D169" s="18" t="str">
        <f t="shared" si="1"/>
        <v>J</v>
      </c>
      <c r="E169" s="60" t="str">
        <f>VLOOKUP($A169,nist_names_ids!A:B,2,false)</f>
        <v>kgj</v>
      </c>
      <c r="F169" s="61">
        <f>countif(Constants!A:A,E169)</f>
        <v>1</v>
      </c>
      <c r="G169" s="60" t="str">
        <f>IFERROR(__xludf.DUMMYFUNCTION("REGEXREPLACE(substitute(substitute(B169,"" "",""""),""..."",""""),""\(.*\)"","""")"),"8.987551787e16")</f>
        <v>8.987551787e16</v>
      </c>
      <c r="H169" s="62">
        <f t="shared" si="2"/>
        <v>8.98755E+16</v>
      </c>
      <c r="I169" s="60" t="str">
        <f>IFERROR(__xludf.DUMMYFUNCTION("if(regexmatch($B169,""\(""),CONCATENATE(regexreplace(REGEXREPLACE(substitute(left($B169,find(""("",$B169)-1),"" "",""""),""\d"",""0""),""[-0]*\."",""0.""), REGEXEXTRACT($B169,""\((.*)\)""),TRIM(REGEXEXTRACT($B169,""\)(.*)""))),"""")"),"")</f>
        <v/>
      </c>
      <c r="J169" s="62" t="str">
        <f t="shared" si="3"/>
        <v/>
      </c>
      <c r="K169" s="62" t="b">
        <f t="shared" si="4"/>
        <v>0</v>
      </c>
      <c r="L169" s="62" t="b">
        <f t="shared" si="5"/>
        <v>1</v>
      </c>
      <c r="M169" s="60" t="str">
        <f>IFERROR(__xludf.DUMMYFUNCTION("if(regexmatch(B169,""e(.*)$""),regexextract(B169,""e(.*)$""),"""")"),"16")</f>
        <v>16</v>
      </c>
    </row>
    <row r="170">
      <c r="A170" s="80" t="s">
        <v>2257</v>
      </c>
      <c r="B170" s="80" t="s">
        <v>5097</v>
      </c>
      <c r="C170" s="80" t="s">
        <v>345</v>
      </c>
      <c r="D170" s="18" t="str">
        <f t="shared" si="1"/>
        <v>K</v>
      </c>
      <c r="E170" s="60" t="str">
        <f>VLOOKUP($A170,nist_names_ids!A:B,2,false)</f>
        <v>kgk</v>
      </c>
      <c r="F170" s="61">
        <f>countif(Constants!A:A,E170)</f>
        <v>1</v>
      </c>
      <c r="G170" s="60" t="str">
        <f>IFERROR(__xludf.DUMMYFUNCTION("REGEXREPLACE(substitute(substitute(B170,"" "",""""),""..."",""""),""\(.*\)"","""")"),"6.509651e39")</f>
        <v>6.509651e39</v>
      </c>
      <c r="H170" s="62">
        <f t="shared" si="2"/>
        <v>6.50965E+39</v>
      </c>
      <c r="I170" s="60" t="str">
        <f>IFERROR(__xludf.DUMMYFUNCTION("if(regexmatch($B170,""\(""),CONCATENATE(regexreplace(REGEXREPLACE(substitute(left($B170,find(""("",$B170)-1),"" "",""""),""\d"",""0""),""[-0]*\."",""0.""), REGEXEXTRACT($B170,""\((.*)\)""),TRIM(REGEXEXTRACT($B170,""\)(.*)""))),"""")"),"0.00000011e39")</f>
        <v>0.00000011e39</v>
      </c>
      <c r="J170" s="62">
        <f t="shared" si="3"/>
        <v>1.1E+32</v>
      </c>
      <c r="K170" s="62" t="b">
        <f t="shared" si="4"/>
        <v>0</v>
      </c>
      <c r="L170" s="62" t="b">
        <f t="shared" si="5"/>
        <v>0</v>
      </c>
      <c r="M170" s="60" t="str">
        <f>IFERROR(__xludf.DUMMYFUNCTION("if(regexmatch(B170,""e(.*)$""),regexextract(B170,""e(.*)$""),"""")"),"39")</f>
        <v>39</v>
      </c>
    </row>
    <row r="171">
      <c r="A171" s="80" t="s">
        <v>2260</v>
      </c>
      <c r="B171" s="80" t="s">
        <v>5100</v>
      </c>
      <c r="C171" s="80" t="s">
        <v>381</v>
      </c>
      <c r="D171" s="18" t="str">
        <f t="shared" si="1"/>
        <v>m</v>
      </c>
      <c r="E171" s="60" t="str">
        <f>VLOOKUP($A171,nist_names_ids!A:B,2,false)</f>
        <v>asil</v>
      </c>
      <c r="F171" s="61">
        <f>countif(Constants!A:A,E171)</f>
        <v>1</v>
      </c>
      <c r="G171" s="60" t="str">
        <f>IFERROR(__xludf.DUMMYFUNCTION("REGEXREPLACE(substitute(substitute(B171,"" "",""""),""..."",""""),""\(.*\)"","""")"),"543.102064e-12")</f>
        <v>543.102064e-12</v>
      </c>
      <c r="H171" s="62">
        <f t="shared" si="2"/>
        <v>0.000000000543102064</v>
      </c>
      <c r="I171" s="60" t="str">
        <f>IFERROR(__xludf.DUMMYFUNCTION("if(regexmatch($B171,""\(""),CONCATENATE(regexreplace(REGEXREPLACE(substitute(left($B171,find(""("",$B171)-1),"" "",""""),""\d"",""0""),""[-0]*\."",""0.""), REGEXEXTRACT($B171,""\((.*)\)""),TRIM(REGEXEXTRACT($B171,""\)(.*)""))),"""")"),"0.00000014e-12")</f>
        <v>0.00000014e-12</v>
      </c>
      <c r="J171" s="62">
        <f t="shared" si="3"/>
        <v>0</v>
      </c>
      <c r="K171" s="62" t="b">
        <f t="shared" si="4"/>
        <v>0</v>
      </c>
      <c r="L171" s="62" t="b">
        <f t="shared" si="5"/>
        <v>0</v>
      </c>
      <c r="M171" s="60" t="str">
        <f>IFERROR(__xludf.DUMMYFUNCTION("if(regexmatch(B171,""e(.*)$""),regexextract(B171,""e(.*)$""),"""")"),"-12")</f>
        <v>-12</v>
      </c>
    </row>
    <row r="172">
      <c r="A172" s="80" t="s">
        <v>3275</v>
      </c>
      <c r="B172" s="80" t="s">
        <v>5103</v>
      </c>
      <c r="C172" s="80" t="s">
        <v>381</v>
      </c>
      <c r="D172" s="18" t="str">
        <f t="shared" si="1"/>
        <v>m</v>
      </c>
      <c r="E172" s="60" t="str">
        <f>VLOOKUP($A172,nist_names_ids!A:B,2,false)</f>
        <v>d220sil</v>
      </c>
      <c r="F172" s="61">
        <f>countif(Constants!A:A,E172)</f>
        <v>1</v>
      </c>
      <c r="G172" s="60" t="str">
        <f>IFERROR(__xludf.DUMMYFUNCTION("REGEXREPLACE(substitute(substitute(B172,"" "",""""),""..."",""""),""\(.*\)"","""")"),"192.0155762e-12")</f>
        <v>192.0155762e-12</v>
      </c>
      <c r="H172" s="62">
        <f t="shared" si="2"/>
        <v>0.0000000001920155762</v>
      </c>
      <c r="I172" s="60" t="str">
        <f>IFERROR(__xludf.DUMMYFUNCTION("if(regexmatch($B172,""\(""),CONCATENATE(regexreplace(REGEXREPLACE(substitute(left($B172,find(""("",$B172)-1),"" "",""""),""\d"",""0""),""[-0]*\."",""0.""), REGEXEXTRACT($B172,""\((.*)\)""),TRIM(REGEXEXTRACT($B172,""\)(.*)""))),"""")"),"0.000000050e-12")</f>
        <v>0.000000050e-12</v>
      </c>
      <c r="J172" s="62">
        <f t="shared" si="3"/>
        <v>0</v>
      </c>
      <c r="K172" s="62" t="b">
        <f t="shared" si="4"/>
        <v>0</v>
      </c>
      <c r="L172" s="62" t="b">
        <f t="shared" si="5"/>
        <v>0</v>
      </c>
      <c r="M172" s="60" t="str">
        <f>IFERROR(__xludf.DUMMYFUNCTION("if(regexmatch(B172,""e(.*)$""),regexextract(B172,""e(.*)$""),"""")"),"-12")</f>
        <v>-12</v>
      </c>
    </row>
    <row r="173">
      <c r="A173" s="80" t="s">
        <v>2273</v>
      </c>
      <c r="B173" s="80" t="s">
        <v>5106</v>
      </c>
      <c r="C173" s="80" t="s">
        <v>5107</v>
      </c>
      <c r="D173" s="18" t="str">
        <f t="shared" si="1"/>
        <v>m^-3</v>
      </c>
      <c r="E173" s="60" t="str">
        <f>VLOOKUP($A173,nist_names_ids!A:B,2,false)</f>
        <v>n0std</v>
      </c>
      <c r="F173" s="61">
        <f>countif(Constants!A:A,E173)</f>
        <v>1</v>
      </c>
      <c r="G173" s="60" t="str">
        <f>IFERROR(__xludf.DUMMYFUNCTION("REGEXREPLACE(substitute(substitute(B173,"" "",""""),""..."",""""),""\(.*\)"","""")"),"2.6867774e25")</f>
        <v>2.6867774e25</v>
      </c>
      <c r="H173" s="62">
        <f t="shared" si="2"/>
        <v>2.68678E+25</v>
      </c>
      <c r="I173" s="60" t="str">
        <f>IFERROR(__xludf.DUMMYFUNCTION("if(regexmatch($B173,""\(""),CONCATENATE(regexreplace(REGEXREPLACE(substitute(left($B173,find(""("",$B173)-1),"" "",""""),""\d"",""0""),""[-0]*\."",""0.""), REGEXEXTRACT($B173,""\((.*)\)""),TRIM(REGEXEXTRACT($B173,""\)(.*)""))),"""")"),"0.000000047e25")</f>
        <v>0.000000047e25</v>
      </c>
      <c r="J173" s="62">
        <f t="shared" si="3"/>
        <v>4.7E+17</v>
      </c>
      <c r="K173" s="62" t="b">
        <f t="shared" si="4"/>
        <v>0</v>
      </c>
      <c r="L173" s="62" t="b">
        <f t="shared" si="5"/>
        <v>0</v>
      </c>
      <c r="M173" s="60" t="str">
        <f>IFERROR(__xludf.DUMMYFUNCTION("if(regexmatch(B173,""e(.*)$""),regexextract(B173,""e(.*)$""),"""")"),"25")</f>
        <v>25</v>
      </c>
    </row>
    <row r="174">
      <c r="A174" s="80" t="s">
        <v>3305</v>
      </c>
      <c r="B174" s="80" t="s">
        <v>5110</v>
      </c>
      <c r="C174" s="80" t="s">
        <v>5111</v>
      </c>
      <c r="D174" s="18" t="str">
        <f t="shared" si="1"/>
        <v>N A^-2</v>
      </c>
      <c r="E174" s="60" t="str">
        <f>VLOOKUP($A174,nist_names_ids!A:B,2,false)</f>
        <v>mu0</v>
      </c>
      <c r="F174" s="61">
        <f>countif(Constants!A:A,E174)</f>
        <v>1</v>
      </c>
      <c r="G174" s="60" t="str">
        <f>IFERROR(__xludf.DUMMYFUNCTION("REGEXREPLACE(substitute(substitute(B174,"" "",""""),""..."",""""),""\(.*\)"","""")"),"12.566370614e-7")</f>
        <v>12.566370614e-7</v>
      </c>
      <c r="H174" s="62">
        <f t="shared" si="2"/>
        <v>0.000001256637061</v>
      </c>
      <c r="I174" s="60" t="str">
        <f>IFERROR(__xludf.DUMMYFUNCTION("if(regexmatch($B174,""\(""),CONCATENATE(regexreplace(REGEXREPLACE(substitute(left($B174,find(""("",$B174)-1),"" "",""""),""\d"",""0""),""[-0]*\."",""0.""), REGEXEXTRACT($B174,""\((.*)\)""),TRIM(REGEXEXTRACT($B174,""\)(.*)""))),"""")"),"")</f>
        <v/>
      </c>
      <c r="J174" s="62" t="str">
        <f t="shared" si="3"/>
        <v/>
      </c>
      <c r="K174" s="62" t="b">
        <f t="shared" si="4"/>
        <v>0</v>
      </c>
      <c r="L174" s="62" t="b">
        <f t="shared" si="5"/>
        <v>1</v>
      </c>
      <c r="M174" s="60" t="str">
        <f>IFERROR(__xludf.DUMMYFUNCTION("if(regexmatch(B174,""e(.*)$""),regexextract(B174,""e(.*)$""),"""")"),"-7")</f>
        <v>-7</v>
      </c>
    </row>
    <row r="175">
      <c r="A175" s="80" t="s">
        <v>3252</v>
      </c>
      <c r="B175" s="80" t="s">
        <v>5113</v>
      </c>
      <c r="C175" s="80" t="s">
        <v>622</v>
      </c>
      <c r="D175" s="18" t="str">
        <f t="shared" si="1"/>
        <v>Wb</v>
      </c>
      <c r="E175" s="60" t="str">
        <f>VLOOKUP($A175,nist_names_ids!A:B,2,false)</f>
        <v>flxquhs2e</v>
      </c>
      <c r="F175" s="61">
        <f>countif(Constants!A:A,E175)</f>
        <v>1</v>
      </c>
      <c r="G175" s="60" t="str">
        <f>IFERROR(__xludf.DUMMYFUNCTION("REGEXREPLACE(substitute(substitute(B175,"" "",""""),""..."",""""),""\(.*\)"","""")"),"2.067833667e-15")</f>
        <v>2.067833667e-15</v>
      </c>
      <c r="H175" s="62">
        <f t="shared" si="2"/>
        <v>0</v>
      </c>
      <c r="I175" s="60" t="str">
        <f>IFERROR(__xludf.DUMMYFUNCTION("if(regexmatch($B175,""\(""),CONCATENATE(regexreplace(REGEXREPLACE(substitute(left($B175,find(""("",$B175)-1),"" "",""""),""\d"",""0""),""[-0]*\."",""0.""), REGEXEXTRACT($B175,""\((.*)\)""),TRIM(REGEXEXTRACT($B175,""\)(.*)""))),"""")"),"0.00000000052e-15")</f>
        <v>0.00000000052e-15</v>
      </c>
      <c r="J175" s="62">
        <f t="shared" si="3"/>
        <v>0</v>
      </c>
      <c r="K175" s="62" t="b">
        <f t="shared" si="4"/>
        <v>0</v>
      </c>
      <c r="L175" s="62" t="b">
        <f t="shared" si="5"/>
        <v>0</v>
      </c>
      <c r="M175" s="60" t="str">
        <f>IFERROR(__xludf.DUMMYFUNCTION("if(regexmatch(B175,""e(.*)$""),regexextract(B175,""e(.*)$""),"""")"),"-15")</f>
        <v>-15</v>
      </c>
    </row>
    <row r="176">
      <c r="A176" s="80" t="s">
        <v>3323</v>
      </c>
      <c r="B176" s="80" t="s">
        <v>5114</v>
      </c>
      <c r="C176" s="80" t="s">
        <v>381</v>
      </c>
      <c r="D176" s="18" t="str">
        <f t="shared" si="1"/>
        <v>m</v>
      </c>
      <c r="E176" s="60" t="str">
        <f>VLOOKUP($A176,nist_names_ids!A:B,2,false)</f>
        <v>xumokalph1</v>
      </c>
      <c r="F176" s="61">
        <f>countif(Constants!A:A,E176)</f>
        <v>1</v>
      </c>
      <c r="G176" s="60" t="str">
        <f>IFERROR(__xludf.DUMMYFUNCTION("REGEXREPLACE(substitute(substitute(B176,"" "",""""),""..."",""""),""\(.*\)"","""")"),"1.00209955e-13")</f>
        <v>1.00209955e-13</v>
      </c>
      <c r="H176" s="62">
        <f t="shared" si="2"/>
        <v>0</v>
      </c>
      <c r="I176" s="60" t="str">
        <f>IFERROR(__xludf.DUMMYFUNCTION("if(regexmatch($B176,""\(""),CONCATENATE(regexreplace(REGEXREPLACE(substitute(left($B176,find(""("",$B176)-1),"" "",""""),""\d"",""0""),""[-0]*\."",""0.""), REGEXEXTRACT($B176,""\((.*)\)""),TRIM(REGEXEXTRACT($B176,""\)(.*)""))),"""")"),"0.0000000053e-13")</f>
        <v>0.0000000053e-13</v>
      </c>
      <c r="J176" s="62">
        <f t="shared" si="3"/>
        <v>0</v>
      </c>
      <c r="K176" s="62" t="b">
        <f t="shared" si="4"/>
        <v>0</v>
      </c>
      <c r="L176" s="62" t="b">
        <f t="shared" si="5"/>
        <v>0</v>
      </c>
      <c r="M176" s="60" t="str">
        <f>IFERROR(__xludf.DUMMYFUNCTION("if(regexmatch(B176,""e(.*)$""),regexextract(B176,""e(.*)$""),"""")"),"-13")</f>
        <v>-13</v>
      </c>
    </row>
    <row r="177">
      <c r="A177" s="80" t="s">
        <v>2295</v>
      </c>
      <c r="B177" s="80" t="s">
        <v>5117</v>
      </c>
      <c r="C177" s="80" t="s">
        <v>5118</v>
      </c>
      <c r="D177" s="18" t="str">
        <f t="shared" si="1"/>
        <v>J s mol^-1</v>
      </c>
      <c r="E177" s="60" t="str">
        <f>VLOOKUP($A177,nist_names_ids!A:B,2,false)</f>
        <v>nah</v>
      </c>
      <c r="F177" s="61">
        <f>countif(Constants!A:A,E177)</f>
        <v>1</v>
      </c>
      <c r="G177" s="60" t="str">
        <f>IFERROR(__xludf.DUMMYFUNCTION("REGEXREPLACE(substitute(substitute(B177,"" "",""""),""..."",""""),""\(.*\)"","""")"),"3.9903126821e-10")</f>
        <v>3.9903126821e-10</v>
      </c>
      <c r="H177" s="62">
        <f t="shared" si="2"/>
        <v>0.0000000003990312682</v>
      </c>
      <c r="I177" s="60" t="str">
        <f>IFERROR(__xludf.DUMMYFUNCTION("if(regexmatch($B177,""\(""),CONCATENATE(regexreplace(REGEXREPLACE(substitute(left($B177,find(""("",$B177)-1),"" "",""""),""\d"",""0""),""[-0]*\."",""0.""), REGEXEXTRACT($B177,""\((.*)\)""),TRIM(REGEXEXTRACT($B177,""\)(.*)""))),"""")"),"0.000000000057e-10")</f>
        <v>0.000000000057e-10</v>
      </c>
      <c r="J177" s="62">
        <f t="shared" si="3"/>
        <v>0</v>
      </c>
      <c r="K177" s="62" t="b">
        <f t="shared" si="4"/>
        <v>0</v>
      </c>
      <c r="L177" s="62" t="b">
        <f t="shared" si="5"/>
        <v>0</v>
      </c>
      <c r="M177" s="60" t="str">
        <f>IFERROR(__xludf.DUMMYFUNCTION("if(regexmatch(B177,""e(.*)$""),regexextract(B177,""e(.*)$""),"""")"),"-10")</f>
        <v>-10</v>
      </c>
    </row>
    <row r="178">
      <c r="A178" s="80" t="s">
        <v>3311</v>
      </c>
      <c r="B178" s="80" t="s">
        <v>5121</v>
      </c>
      <c r="C178" s="80" t="s">
        <v>5122</v>
      </c>
      <c r="D178" s="18" t="str">
        <f t="shared" si="1"/>
        <v>J m mol^-1</v>
      </c>
      <c r="E178" s="60" t="str">
        <f>VLOOKUP($A178,nist_names_ids!A:B,2,false)</f>
        <v>nahc</v>
      </c>
      <c r="F178" s="61">
        <f>countif(Constants!A:A,E178)</f>
        <v>1</v>
      </c>
      <c r="G178" s="60" t="str">
        <f>IFERROR(__xludf.DUMMYFUNCTION("REGEXREPLACE(substitute(substitute(B178,"" "",""""),""..."",""""),""\(.*\)"","""")"),"0.11962656472")</f>
        <v>0.11962656472</v>
      </c>
      <c r="H178" s="62">
        <f t="shared" si="2"/>
        <v>0.1196265647</v>
      </c>
      <c r="I178" s="60" t="str">
        <f>IFERROR(__xludf.DUMMYFUNCTION("if(regexmatch($B178,""\(""),CONCATENATE(regexreplace(REGEXREPLACE(substitute(left($B178,find(""("",$B178)-1),"" "",""""),""\d"",""0""),""[-0]*\."",""0.""), REGEXEXTRACT($B178,""\((.*)\)""),TRIM(REGEXEXTRACT($B178,""\)(.*)""))),"""")"),"0.0000000000017")</f>
        <v>0.0000000000017</v>
      </c>
      <c r="J178" s="62">
        <f t="shared" si="3"/>
        <v>0</v>
      </c>
      <c r="K178" s="62" t="b">
        <f t="shared" si="4"/>
        <v>0</v>
      </c>
      <c r="L178" s="62" t="b">
        <f t="shared" si="5"/>
        <v>0</v>
      </c>
      <c r="M178" s="60" t="str">
        <f>IFERROR(__xludf.DUMMYFUNCTION("if(regexmatch(B178,""e(.*)$""),regexextract(B178,""e(.*)$""),"""")"),"")</f>
        <v/>
      </c>
    </row>
    <row r="179">
      <c r="A179" s="80" t="s">
        <v>2284</v>
      </c>
      <c r="B179" s="80" t="s">
        <v>5126</v>
      </c>
      <c r="C179" s="80" t="s">
        <v>5127</v>
      </c>
      <c r="D179" s="18" t="str">
        <f t="shared" si="1"/>
        <v>J mol^-1 K^-1</v>
      </c>
      <c r="E179" s="60" t="str">
        <f>VLOOKUP($A179,nist_names_ids!A:B,2,false)</f>
        <v>r</v>
      </c>
      <c r="F179" s="61">
        <f>countif(Constants!A:A,E179)</f>
        <v>1</v>
      </c>
      <c r="G179" s="60" t="str">
        <f>IFERROR(__xludf.DUMMYFUNCTION("REGEXREPLACE(substitute(substitute(B179,"" "",""""),""..."",""""),""\(.*\)"","""")"),"8.314472")</f>
        <v>8.314472</v>
      </c>
      <c r="H179" s="62">
        <f t="shared" si="2"/>
        <v>8.314472</v>
      </c>
      <c r="I179" s="60" t="str">
        <f>IFERROR(__xludf.DUMMYFUNCTION("if(regexmatch($B179,""\(""),CONCATENATE(regexreplace(REGEXREPLACE(substitute(left($B179,find(""("",$B179)-1),"" "",""""),""\d"",""0""),""[-0]*\."",""0.""), REGEXEXTRACT($B179,""\((.*)\)""),TRIM(REGEXEXTRACT($B179,""\)(.*)""))),"""")"),"0.00000015")</f>
        <v>0.00000015</v>
      </c>
      <c r="J179" s="62">
        <f t="shared" si="3"/>
        <v>0.00000015</v>
      </c>
      <c r="K179" s="62" t="b">
        <f t="shared" si="4"/>
        <v>0</v>
      </c>
      <c r="L179" s="62" t="b">
        <f t="shared" si="5"/>
        <v>0</v>
      </c>
      <c r="M179" s="60" t="str">
        <f>IFERROR(__xludf.DUMMYFUNCTION("if(regexmatch(B179,""e(.*)$""),regexextract(B179,""e(.*)$""),"""")"),"")</f>
        <v/>
      </c>
    </row>
    <row r="180">
      <c r="A180" s="80" t="s">
        <v>2287</v>
      </c>
      <c r="B180" s="80" t="s">
        <v>5129</v>
      </c>
      <c r="C180" s="80" t="s">
        <v>4309</v>
      </c>
      <c r="D180" s="18" t="str">
        <f t="shared" si="1"/>
        <v>kg mol^-1</v>
      </c>
      <c r="E180" s="60" t="str">
        <f>VLOOKUP($A180,nist_names_ids!A:B,2,false)</f>
        <v>mu</v>
      </c>
      <c r="F180" s="61">
        <f>countif(Constants!A:A,E180)</f>
        <v>1</v>
      </c>
      <c r="G180" s="60" t="str">
        <f>IFERROR(__xludf.DUMMYFUNCTION("REGEXREPLACE(substitute(substitute(B180,"" "",""""),""..."",""""),""\(.*\)"","""")"),"1e-3")</f>
        <v>1e-3</v>
      </c>
      <c r="H180" s="62">
        <f t="shared" si="2"/>
        <v>0.001</v>
      </c>
      <c r="I180" s="60" t="str">
        <f>IFERROR(__xludf.DUMMYFUNCTION("if(regexmatch($B180,""\(""),CONCATENATE(regexreplace(REGEXREPLACE(substitute(left($B180,find(""("",$B180)-1),"" "",""""),""\d"",""0""),""[-0]*\."",""0.""), REGEXEXTRACT($B180,""\((.*)\)""),TRIM(REGEXEXTRACT($B180,""\)(.*)""))),"""")"),"")</f>
        <v/>
      </c>
      <c r="J180" s="62" t="str">
        <f t="shared" si="3"/>
        <v/>
      </c>
      <c r="K180" s="62" t="b">
        <f t="shared" si="4"/>
        <v>0</v>
      </c>
      <c r="L180" s="62" t="b">
        <f t="shared" si="5"/>
        <v>0</v>
      </c>
      <c r="M180" s="60" t="str">
        <f>IFERROR(__xludf.DUMMYFUNCTION("if(regexmatch(B180,""e(.*)$""),regexextract(B180,""e(.*)$""),"""")"),"-3")</f>
        <v>-3</v>
      </c>
    </row>
    <row r="181">
      <c r="A181" s="80" t="s">
        <v>2290</v>
      </c>
      <c r="B181" s="80" t="s">
        <v>5131</v>
      </c>
      <c r="C181" s="80" t="s">
        <v>4309</v>
      </c>
      <c r="D181" s="18" t="str">
        <f t="shared" si="1"/>
        <v>kg mol^-1</v>
      </c>
      <c r="E181" s="60" t="str">
        <f>VLOOKUP($A181,nist_names_ids!A:B,2,false)</f>
        <v>mm12c</v>
      </c>
      <c r="F181" s="61">
        <f>countif(Constants!A:A,E181)</f>
        <v>1</v>
      </c>
      <c r="G181" s="60" t="str">
        <f>IFERROR(__xludf.DUMMYFUNCTION("REGEXREPLACE(substitute(substitute(B181,"" "",""""),""..."",""""),""\(.*\)"","""")"),"12e-3")</f>
        <v>12e-3</v>
      </c>
      <c r="H181" s="62">
        <f t="shared" si="2"/>
        <v>0.012</v>
      </c>
      <c r="I181" s="60" t="str">
        <f>IFERROR(__xludf.DUMMYFUNCTION("if(regexmatch($B181,""\(""),CONCATENATE(regexreplace(REGEXREPLACE(substitute(left($B181,find(""("",$B181)-1),"" "",""""),""\d"",""0""),""[-0]*\."",""0.""), REGEXEXTRACT($B181,""\((.*)\)""),TRIM(REGEXEXTRACT($B181,""\)(.*)""))),"""")"),"")</f>
        <v/>
      </c>
      <c r="J181" s="62" t="str">
        <f t="shared" si="3"/>
        <v/>
      </c>
      <c r="K181" s="62" t="b">
        <f t="shared" si="4"/>
        <v>0</v>
      </c>
      <c r="L181" s="62" t="b">
        <f t="shared" si="5"/>
        <v>0</v>
      </c>
      <c r="M181" s="60" t="str">
        <f>IFERROR(__xludf.DUMMYFUNCTION("if(regexmatch(B181,""e(.*)$""),regexextract(B181,""e(.*)$""),"""")"),"-3")</f>
        <v>-3</v>
      </c>
    </row>
    <row r="182">
      <c r="A182" s="80" t="s">
        <v>2300</v>
      </c>
      <c r="B182" s="80" t="s">
        <v>5132</v>
      </c>
      <c r="C182" s="80" t="s">
        <v>5133</v>
      </c>
      <c r="D182" s="18" t="str">
        <f t="shared" si="1"/>
        <v>m^3 mol^-1</v>
      </c>
      <c r="E182" s="60" t="str">
        <f>VLOOKUP($A182,nist_names_ids!A:B,2,false)</f>
        <v>mvol</v>
      </c>
      <c r="F182" s="61">
        <f>countif(Constants!A:A,E182)</f>
        <v>1</v>
      </c>
      <c r="G182" s="60" t="str">
        <f>IFERROR(__xludf.DUMMYFUNCTION("REGEXREPLACE(substitute(substitute(B182,"" "",""""),""..."",""""),""\(.*\)"","""")"),"22.710981e-3")</f>
        <v>22.710981e-3</v>
      </c>
      <c r="H182" s="62">
        <f t="shared" si="2"/>
        <v>0.022710981</v>
      </c>
      <c r="I182" s="60" t="str">
        <f>IFERROR(__xludf.DUMMYFUNCTION("if(regexmatch($B182,""\(""),CONCATENATE(regexreplace(REGEXREPLACE(substitute(left($B182,find(""("",$B182)-1),"" "",""""),""\d"",""0""),""[-0]*\."",""0.""), REGEXEXTRACT($B182,""\((.*)\)""),TRIM(REGEXEXTRACT($B182,""\)(.*)""))),"""")"),"0.00000040e-3")</f>
        <v>0.00000040e-3</v>
      </c>
      <c r="J182" s="62">
        <f t="shared" si="3"/>
        <v>0.0000000004</v>
      </c>
      <c r="K182" s="62" t="b">
        <f t="shared" si="4"/>
        <v>0</v>
      </c>
      <c r="L182" s="62" t="b">
        <f t="shared" si="5"/>
        <v>0</v>
      </c>
      <c r="M182" s="60" t="str">
        <f>IFERROR(__xludf.DUMMYFUNCTION("if(regexmatch(B182,""e(.*)$""),regexextract(B182,""e(.*)$""),"""")"),"-3")</f>
        <v>-3</v>
      </c>
    </row>
    <row r="183">
      <c r="A183" s="80" t="s">
        <v>2303</v>
      </c>
      <c r="B183" s="80" t="s">
        <v>5135</v>
      </c>
      <c r="C183" s="80" t="s">
        <v>5133</v>
      </c>
      <c r="D183" s="18" t="str">
        <f t="shared" si="1"/>
        <v>m^3 mol^-1</v>
      </c>
      <c r="E183" s="60" t="str">
        <f>VLOOKUP($A183,nist_names_ids!A:B,2,false)</f>
        <v>mvolstd</v>
      </c>
      <c r="F183" s="61">
        <f>countif(Constants!A:A,E183)</f>
        <v>1</v>
      </c>
      <c r="G183" s="60" t="str">
        <f>IFERROR(__xludf.DUMMYFUNCTION("REGEXREPLACE(substitute(substitute(B183,"" "",""""),""..."",""""),""\(.*\)"","""")"),"22.413996e-3")</f>
        <v>22.413996e-3</v>
      </c>
      <c r="H183" s="62">
        <f t="shared" si="2"/>
        <v>0.022413996</v>
      </c>
      <c r="I183" s="60" t="str">
        <f>IFERROR(__xludf.DUMMYFUNCTION("if(regexmatch($B183,""\(""),CONCATENATE(regexreplace(REGEXREPLACE(substitute(left($B183,find(""("",$B183)-1),"" "",""""),""\d"",""0""),""[-0]*\."",""0.""), REGEXEXTRACT($B183,""\((.*)\)""),TRIM(REGEXEXTRACT($B183,""\)(.*)""))),"""")"),"0.00000039e-3")</f>
        <v>0.00000039e-3</v>
      </c>
      <c r="J183" s="62">
        <f t="shared" si="3"/>
        <v>0.00000000039</v>
      </c>
      <c r="K183" s="62" t="b">
        <f t="shared" si="4"/>
        <v>0</v>
      </c>
      <c r="L183" s="62" t="b">
        <f t="shared" si="5"/>
        <v>0</v>
      </c>
      <c r="M183" s="60" t="str">
        <f>IFERROR(__xludf.DUMMYFUNCTION("if(regexmatch(B183,""e(.*)$""),regexextract(B183,""e(.*)$""),"""")"),"-3")</f>
        <v>-3</v>
      </c>
    </row>
    <row r="184">
      <c r="A184" s="80" t="s">
        <v>2308</v>
      </c>
      <c r="B184" s="80" t="s">
        <v>5138</v>
      </c>
      <c r="C184" s="80" t="s">
        <v>5133</v>
      </c>
      <c r="D184" s="18" t="str">
        <f t="shared" si="1"/>
        <v>m^3 mol^-1</v>
      </c>
      <c r="E184" s="60" t="str">
        <f>VLOOKUP($A184,nist_names_ids!A:B,2,false)</f>
        <v>mvolsil</v>
      </c>
      <c r="F184" s="61">
        <f>countif(Constants!A:A,E184)</f>
        <v>1</v>
      </c>
      <c r="G184" s="60" t="str">
        <f>IFERROR(__xludf.DUMMYFUNCTION("REGEXREPLACE(substitute(substitute(B184,"" "",""""),""..."",""""),""\(.*\)"","""")"),"12.0588349e-6")</f>
        <v>12.0588349e-6</v>
      </c>
      <c r="H184" s="62">
        <f t="shared" si="2"/>
        <v>0.0000120588349</v>
      </c>
      <c r="I184" s="60" t="str">
        <f>IFERROR(__xludf.DUMMYFUNCTION("if(regexmatch($B184,""\(""),CONCATENATE(regexreplace(REGEXREPLACE(substitute(left($B184,find(""("",$B184)-1),"" "",""""),""\d"",""0""),""[-0]*\."",""0.""), REGEXEXTRACT($B184,""\((.*)\)""),TRIM(REGEXEXTRACT($B184,""\)(.*)""))),"""")"),"0.000000011e-6")</f>
        <v>0.000000011e-6</v>
      </c>
      <c r="J184" s="62">
        <f t="shared" si="3"/>
        <v>0</v>
      </c>
      <c r="K184" s="62" t="b">
        <f t="shared" si="4"/>
        <v>0</v>
      </c>
      <c r="L184" s="62" t="b">
        <f t="shared" si="5"/>
        <v>0</v>
      </c>
      <c r="M184" s="60" t="str">
        <f>IFERROR(__xludf.DUMMYFUNCTION("if(regexmatch(B184,""e(.*)$""),regexextract(B184,""e(.*)$""),"""")"),"-6")</f>
        <v>-6</v>
      </c>
    </row>
    <row r="185">
      <c r="A185" s="80" t="s">
        <v>2318</v>
      </c>
      <c r="B185" s="80" t="s">
        <v>5141</v>
      </c>
      <c r="C185" s="80" t="s">
        <v>381</v>
      </c>
      <c r="D185" s="18" t="str">
        <f t="shared" si="1"/>
        <v>m</v>
      </c>
      <c r="E185" s="60" t="str">
        <f>VLOOKUP($A185,nist_names_ids!A:B,2,false)</f>
        <v>mcomwl</v>
      </c>
      <c r="F185" s="61">
        <f>countif(Constants!A:A,E185)</f>
        <v>1</v>
      </c>
      <c r="G185" s="60" t="str">
        <f>IFERROR(__xludf.DUMMYFUNCTION("REGEXREPLACE(substitute(substitute(B185,"" "",""""),""..."",""""),""\(.*\)"","""")"),"11.73444104e-15")</f>
        <v>11.73444104e-15</v>
      </c>
      <c r="H185" s="62">
        <f t="shared" si="2"/>
        <v>0</v>
      </c>
      <c r="I185" s="60" t="str">
        <f>IFERROR(__xludf.DUMMYFUNCTION("if(regexmatch($B185,""\(""),CONCATENATE(regexreplace(REGEXREPLACE(substitute(left($B185,find(""("",$B185)-1),"" "",""""),""\d"",""0""),""[-0]*\."",""0.""), REGEXEXTRACT($B185,""\((.*)\)""),TRIM(REGEXEXTRACT($B185,""\)(.*)""))),"""")"),"0.0000000030e-15")</f>
        <v>0.0000000030e-15</v>
      </c>
      <c r="J185" s="62">
        <f t="shared" si="3"/>
        <v>0</v>
      </c>
      <c r="K185" s="62" t="b">
        <f t="shared" si="4"/>
        <v>0</v>
      </c>
      <c r="L185" s="62" t="b">
        <f t="shared" si="5"/>
        <v>0</v>
      </c>
      <c r="M185" s="60" t="str">
        <f>IFERROR(__xludf.DUMMYFUNCTION("if(regexmatch(B185,""e(.*)$""),regexextract(B185,""e(.*)$""),"""")"),"-15")</f>
        <v>-15</v>
      </c>
    </row>
    <row r="186">
      <c r="A186" s="80" t="s">
        <v>3398</v>
      </c>
      <c r="B186" s="80" t="s">
        <v>5143</v>
      </c>
      <c r="C186" s="80" t="s">
        <v>381</v>
      </c>
      <c r="D186" s="18" t="str">
        <f t="shared" si="1"/>
        <v>m</v>
      </c>
      <c r="E186" s="60" t="str">
        <f>VLOOKUP($A186,nist_names_ids!A:B,2,false)</f>
        <v>mcomwlbar</v>
      </c>
      <c r="F186" s="61">
        <f>countif(Constants!A:A,E186)</f>
        <v>1</v>
      </c>
      <c r="G186" s="60" t="str">
        <f>IFERROR(__xludf.DUMMYFUNCTION("REGEXREPLACE(substitute(substitute(B186,"" "",""""),""..."",""""),""\(.*\)"","""")"),"1.867594295e-15")</f>
        <v>1.867594295e-15</v>
      </c>
      <c r="H186" s="62">
        <f t="shared" si="2"/>
        <v>0</v>
      </c>
      <c r="I186" s="60" t="str">
        <f>IFERROR(__xludf.DUMMYFUNCTION("if(regexmatch($B186,""\(""),CONCATENATE(regexreplace(REGEXREPLACE(substitute(left($B186,find(""("",$B186)-1),"" "",""""),""\d"",""0""),""[-0]*\."",""0.""), REGEXEXTRACT($B186,""\((.*)\)""),TRIM(REGEXEXTRACT($B186,""\)(.*)""))),"""")"),"0.00000000047e-15")</f>
        <v>0.00000000047e-15</v>
      </c>
      <c r="J186" s="62">
        <f t="shared" si="3"/>
        <v>0</v>
      </c>
      <c r="K186" s="62" t="b">
        <f t="shared" si="4"/>
        <v>0</v>
      </c>
      <c r="L186" s="62" t="b">
        <f t="shared" si="5"/>
        <v>0</v>
      </c>
      <c r="M186" s="60" t="str">
        <f>IFERROR(__xludf.DUMMYFUNCTION("if(regexmatch(B186,""e(.*)$""),regexextract(B186,""e(.*)$""),"""")"),"-15")</f>
        <v>-15</v>
      </c>
    </row>
    <row r="187">
      <c r="A187" s="80" t="s">
        <v>2330</v>
      </c>
      <c r="B187" s="80" t="s">
        <v>5144</v>
      </c>
      <c r="C187" s="80"/>
      <c r="D187" s="18" t="str">
        <f t="shared" si="1"/>
        <v/>
      </c>
      <c r="E187" s="60" t="str">
        <f>VLOOKUP($A187,nist_names_ids!A:B,2,false)</f>
        <v>gmum</v>
      </c>
      <c r="F187" s="61">
        <f>countif(Constants!A:A,E187)</f>
        <v>1</v>
      </c>
      <c r="G187" s="60" t="str">
        <f>IFERROR(__xludf.DUMMYFUNCTION("REGEXREPLACE(substitute(substitute(B187,"" "",""""),""..."",""""),""\(.*\)"","""")"),"-2.0023318414")</f>
        <v>-2.0023318414</v>
      </c>
      <c r="H187" s="62">
        <f t="shared" si="2"/>
        <v>-2.002331841</v>
      </c>
      <c r="I187" s="60" t="str">
        <f>IFERROR(__xludf.DUMMYFUNCTION("if(regexmatch($B187,""\(""),CONCATENATE(regexreplace(REGEXREPLACE(substitute(left($B187,find(""("",$B187)-1),"" "",""""),""\d"",""0""),""[-0]*\."",""0.""), REGEXEXTRACT($B187,""\((.*)\)""),TRIM(REGEXEXTRACT($B187,""\)(.*)""))),"""")"),"0.000000000012")</f>
        <v>0.000000000012</v>
      </c>
      <c r="J187" s="62">
        <f t="shared" si="3"/>
        <v>0</v>
      </c>
      <c r="K187" s="62" t="b">
        <f t="shared" si="4"/>
        <v>0</v>
      </c>
      <c r="L187" s="62" t="b">
        <f t="shared" si="5"/>
        <v>0</v>
      </c>
      <c r="M187" s="60" t="str">
        <f>IFERROR(__xludf.DUMMYFUNCTION("if(regexmatch(B187,""e(.*)$""),regexextract(B187,""e(.*)$""),"""")"),"")</f>
        <v/>
      </c>
    </row>
    <row r="188">
      <c r="A188" s="80" t="s">
        <v>3416</v>
      </c>
      <c r="B188" s="80" t="s">
        <v>5145</v>
      </c>
      <c r="C188" s="80" t="s">
        <v>4421</v>
      </c>
      <c r="D188" s="18" t="str">
        <f t="shared" si="1"/>
        <v>J T^-1</v>
      </c>
      <c r="E188" s="60" t="str">
        <f>VLOOKUP($A188,nist_names_ids!A:B,2,false)</f>
        <v>mumum</v>
      </c>
      <c r="F188" s="61">
        <f>countif(Constants!A:A,E188)</f>
        <v>1</v>
      </c>
      <c r="G188" s="60" t="str">
        <f>IFERROR(__xludf.DUMMYFUNCTION("REGEXREPLACE(substitute(substitute(B188,"" "",""""),""..."",""""),""\(.*\)"","""")"),"-4.49044786e-26")</f>
        <v>-4.49044786e-26</v>
      </c>
      <c r="H188" s="62">
        <f t="shared" si="2"/>
        <v>0</v>
      </c>
      <c r="I188" s="60" t="str">
        <f>IFERROR(__xludf.DUMMYFUNCTION("if(regexmatch($B188,""\(""),CONCATENATE(regexreplace(REGEXREPLACE(substitute(left($B188,find(""("",$B188)-1),"" "",""""),""\d"",""0""),""[-0]*\."",""0.""), REGEXEXTRACT($B188,""\((.*)\)""),TRIM(REGEXEXTRACT($B188,""\)(.*)""))),"""")"),"0.0000000016e-26")</f>
        <v>0.0000000016e-26</v>
      </c>
      <c r="J188" s="62">
        <f t="shared" si="3"/>
        <v>0</v>
      </c>
      <c r="K188" s="62" t="b">
        <f t="shared" si="4"/>
        <v>0</v>
      </c>
      <c r="L188" s="62" t="b">
        <f t="shared" si="5"/>
        <v>0</v>
      </c>
      <c r="M188" s="60" t="str">
        <f>IFERROR(__xludf.DUMMYFUNCTION("if(regexmatch(B188,""e(.*)$""),regexextract(B188,""e(.*)$""),"""")"),"-26")</f>
        <v>-26</v>
      </c>
    </row>
    <row r="189">
      <c r="A189" s="80" t="s">
        <v>3426</v>
      </c>
      <c r="B189" s="80" t="s">
        <v>5148</v>
      </c>
      <c r="C189" s="80"/>
      <c r="D189" s="18" t="str">
        <f t="shared" si="1"/>
        <v/>
      </c>
      <c r="E189" s="60" t="str">
        <f>VLOOKUP($A189,nist_names_ids!A:B,2,false)</f>
        <v>amu</v>
      </c>
      <c r="F189" s="61">
        <f>countif(Constants!A:A,E189)</f>
        <v>1</v>
      </c>
      <c r="G189" s="60" t="str">
        <f>IFERROR(__xludf.DUMMYFUNCTION("REGEXREPLACE(substitute(substitute(B189,"" "",""""),""..."",""""),""\(.*\)"","""")"),"1.16592069e-3")</f>
        <v>1.16592069e-3</v>
      </c>
      <c r="H189" s="62">
        <f t="shared" si="2"/>
        <v>0.00116592069</v>
      </c>
      <c r="I189" s="60" t="str">
        <f>IFERROR(__xludf.DUMMYFUNCTION("if(regexmatch($B189,""\(""),CONCATENATE(regexreplace(REGEXREPLACE(substitute(left($B189,find(""("",$B189)-1),"" "",""""),""\d"",""0""),""[-0]*\."",""0.""), REGEXEXTRACT($B189,""\((.*)\)""),TRIM(REGEXEXTRACT($B189,""\)(.*)""))),"""")"),"0.0000000060e-3")</f>
        <v>0.0000000060e-3</v>
      </c>
      <c r="J189" s="62">
        <f t="shared" si="3"/>
        <v>0</v>
      </c>
      <c r="K189" s="62" t="b">
        <f t="shared" si="4"/>
        <v>0</v>
      </c>
      <c r="L189" s="62" t="b">
        <f t="shared" si="5"/>
        <v>0</v>
      </c>
      <c r="M189" s="60" t="str">
        <f>IFERROR(__xludf.DUMMYFUNCTION("if(regexmatch(B189,""e(.*)$""),regexextract(B189,""e(.*)$""),"""")"),"-3")</f>
        <v>-3</v>
      </c>
    </row>
    <row r="190">
      <c r="A190" s="80" t="s">
        <v>3435</v>
      </c>
      <c r="B190" s="80" t="s">
        <v>5150</v>
      </c>
      <c r="C190" s="80"/>
      <c r="D190" s="18" t="str">
        <f t="shared" si="1"/>
        <v/>
      </c>
      <c r="E190" s="60" t="str">
        <f>VLOOKUP($A190,nist_names_ids!A:B,2,false)</f>
        <v>mumumsmub</v>
      </c>
      <c r="F190" s="61">
        <f>countif(Constants!A:A,E190)</f>
        <v>1</v>
      </c>
      <c r="G190" s="60" t="str">
        <f>IFERROR(__xludf.DUMMYFUNCTION("REGEXREPLACE(substitute(substitute(B190,"" "",""""),""..."",""""),""\(.*\)"","""")"),"-4.84197049e-3")</f>
        <v>-4.84197049e-3</v>
      </c>
      <c r="H190" s="62">
        <f t="shared" si="2"/>
        <v>-0.00484197049</v>
      </c>
      <c r="I190" s="60" t="str">
        <f>IFERROR(__xludf.DUMMYFUNCTION("if(regexmatch($B190,""\(""),CONCATENATE(regexreplace(REGEXREPLACE(substitute(left($B190,find(""("",$B190)-1),"" "",""""),""\d"",""0""),""[-0]*\."",""0.""), REGEXEXTRACT($B190,""\((.*)\)""),TRIM(REGEXEXTRACT($B190,""\)(.*)""))),"""")"),"0.0000000012e-3")</f>
        <v>0.0000000012e-3</v>
      </c>
      <c r="J190" s="62">
        <f t="shared" si="3"/>
        <v>0</v>
      </c>
      <c r="K190" s="62" t="b">
        <f t="shared" si="4"/>
        <v>0</v>
      </c>
      <c r="L190" s="62" t="b">
        <f t="shared" si="5"/>
        <v>0</v>
      </c>
      <c r="M190" s="60" t="str">
        <f>IFERROR(__xludf.DUMMYFUNCTION("if(regexmatch(B190,""e(.*)$""),regexextract(B190,""e(.*)$""),"""")"),"-3")</f>
        <v>-3</v>
      </c>
    </row>
    <row r="191">
      <c r="A191" s="80" t="s">
        <v>3446</v>
      </c>
      <c r="B191" s="80" t="s">
        <v>5152</v>
      </c>
      <c r="C191" s="80"/>
      <c r="D191" s="18" t="str">
        <f t="shared" si="1"/>
        <v/>
      </c>
      <c r="E191" s="60" t="str">
        <f>VLOOKUP($A191,nist_names_ids!A:B,2,false)</f>
        <v>mumumsmun</v>
      </c>
      <c r="F191" s="61">
        <f>countif(Constants!A:A,E191)</f>
        <v>1</v>
      </c>
      <c r="G191" s="60" t="str">
        <f>IFERROR(__xludf.DUMMYFUNCTION("REGEXREPLACE(substitute(substitute(B191,"" "",""""),""..."",""""),""\(.*\)"","""")"),"-8.89059705")</f>
        <v>-8.89059705</v>
      </c>
      <c r="H191" s="62">
        <f t="shared" si="2"/>
        <v>-8.89059705</v>
      </c>
      <c r="I191" s="60" t="str">
        <f>IFERROR(__xludf.DUMMYFUNCTION("if(regexmatch($B191,""\(""),CONCATENATE(regexreplace(REGEXREPLACE(substitute(left($B191,find(""("",$B191)-1),"" "",""""),""\d"",""0""),""[-0]*\."",""0.""), REGEXEXTRACT($B191,""\((.*)\)""),TRIM(REGEXEXTRACT($B191,""\)(.*)""))),"""")"),"0.0000000023")</f>
        <v>0.0000000023</v>
      </c>
      <c r="J191" s="62">
        <f t="shared" si="3"/>
        <v>0.0000000023</v>
      </c>
      <c r="K191" s="62" t="b">
        <f t="shared" si="4"/>
        <v>0</v>
      </c>
      <c r="L191" s="62" t="b">
        <f t="shared" si="5"/>
        <v>0</v>
      </c>
      <c r="M191" s="60" t="str">
        <f>IFERROR(__xludf.DUMMYFUNCTION("if(regexmatch(B191,""e(.*)$""),regexextract(B191,""e(.*)$""),"""")"),"")</f>
        <v/>
      </c>
    </row>
    <row r="192">
      <c r="A192" s="80" t="s">
        <v>2349</v>
      </c>
      <c r="B192" s="80" t="s">
        <v>5154</v>
      </c>
      <c r="C192" s="80" t="s">
        <v>98</v>
      </c>
      <c r="D192" s="18" t="str">
        <f t="shared" si="1"/>
        <v>kg</v>
      </c>
      <c r="E192" s="60" t="str">
        <f>VLOOKUP($A192,nist_names_ids!A:B,2,false)</f>
        <v>mmu</v>
      </c>
      <c r="F192" s="61">
        <f>countif(Constants!A:A,E192)</f>
        <v>1</v>
      </c>
      <c r="G192" s="60" t="str">
        <f>IFERROR(__xludf.DUMMYFUNCTION("REGEXREPLACE(substitute(substitute(B192,"" "",""""),""..."",""""),""\(.*\)"","""")"),"1.88353130e-28")</f>
        <v>1.88353130e-28</v>
      </c>
      <c r="H192" s="62">
        <f t="shared" si="2"/>
        <v>0</v>
      </c>
      <c r="I192" s="60" t="str">
        <f>IFERROR(__xludf.DUMMYFUNCTION("if(regexmatch($B192,""\(""),CONCATENATE(regexreplace(REGEXREPLACE(substitute(left($B192,find(""("",$B192)-1),"" "",""""),""\d"",""0""),""[-0]*\."",""0.""), REGEXEXTRACT($B192,""\((.*)\)""),TRIM(REGEXEXTRACT($B192,""\)(.*)""))),"""")"),"0.0000000011e-28")</f>
        <v>0.0000000011e-28</v>
      </c>
      <c r="J192" s="62">
        <f t="shared" si="3"/>
        <v>0</v>
      </c>
      <c r="K192" s="62" t="b">
        <f t="shared" si="4"/>
        <v>0</v>
      </c>
      <c r="L192" s="62" t="b">
        <f t="shared" si="5"/>
        <v>0</v>
      </c>
      <c r="M192" s="60" t="str">
        <f>IFERROR(__xludf.DUMMYFUNCTION("if(regexmatch(B192,""e(.*)$""),regexextract(B192,""e(.*)$""),"""")"),"-28")</f>
        <v>-28</v>
      </c>
    </row>
    <row r="193">
      <c r="A193" s="80" t="s">
        <v>2357</v>
      </c>
      <c r="B193" s="80" t="s">
        <v>5156</v>
      </c>
      <c r="C193" s="80" t="s">
        <v>173</v>
      </c>
      <c r="D193" s="18" t="str">
        <f t="shared" si="1"/>
        <v>J</v>
      </c>
      <c r="E193" s="60" t="str">
        <f>VLOOKUP($A193,nist_names_ids!A:B,2,false)</f>
        <v>mmuc2</v>
      </c>
      <c r="F193" s="61">
        <f>countif(Constants!A:A,E193)</f>
        <v>1</v>
      </c>
      <c r="G193" s="60" t="str">
        <f>IFERROR(__xludf.DUMMYFUNCTION("REGEXREPLACE(substitute(substitute(B193,"" "",""""),""..."",""""),""\(.*\)"","""")"),"1.692833510e-11")</f>
        <v>1.692833510e-11</v>
      </c>
      <c r="H193" s="62">
        <f t="shared" si="2"/>
        <v>0</v>
      </c>
      <c r="I193" s="60" t="str">
        <f>IFERROR(__xludf.DUMMYFUNCTION("if(regexmatch($B193,""\(""),CONCATENATE(regexreplace(REGEXREPLACE(substitute(left($B193,find(""("",$B193)-1),"" "",""""),""\d"",""0""),""[-0]*\."",""0.""), REGEXEXTRACT($B193,""\((.*)\)""),TRIM(REGEXEXTRACT($B193,""\)(.*)""))),"""")"),"0.00000000095e-11")</f>
        <v>0.00000000095e-11</v>
      </c>
      <c r="J193" s="62">
        <f t="shared" si="3"/>
        <v>0</v>
      </c>
      <c r="K193" s="62" t="b">
        <f t="shared" si="4"/>
        <v>0</v>
      </c>
      <c r="L193" s="62" t="b">
        <f t="shared" si="5"/>
        <v>0</v>
      </c>
      <c r="M193" s="60" t="str">
        <f>IFERROR(__xludf.DUMMYFUNCTION("if(regexmatch(B193,""e(.*)$""),regexextract(B193,""e(.*)$""),"""")"),"-11")</f>
        <v>-11</v>
      </c>
    </row>
    <row r="194">
      <c r="A194" s="80" t="s">
        <v>2362</v>
      </c>
      <c r="B194" s="80" t="s">
        <v>5158</v>
      </c>
      <c r="C194" s="80" t="s">
        <v>224</v>
      </c>
      <c r="D194" s="18" t="str">
        <f t="shared" si="1"/>
        <v>MeV</v>
      </c>
      <c r="E194" s="60" t="str">
        <f>VLOOKUP($A194,nist_names_ids!A:B,2,false)</f>
        <v>mmuc2mev</v>
      </c>
      <c r="F194" s="61">
        <f>countif(Constants!A:A,E194)</f>
        <v>1</v>
      </c>
      <c r="G194" s="60" t="str">
        <f>IFERROR(__xludf.DUMMYFUNCTION("REGEXREPLACE(substitute(substitute(B194,"" "",""""),""..."",""""),""\(.*\)"","""")"),"105.6583668")</f>
        <v>105.6583668</v>
      </c>
      <c r="H194" s="62">
        <f t="shared" si="2"/>
        <v>105.6583668</v>
      </c>
      <c r="I194" s="60" t="str">
        <f>IFERROR(__xludf.DUMMYFUNCTION("if(regexmatch($B194,""\(""),CONCATENATE(regexreplace(REGEXREPLACE(substitute(left($B194,find(""("",$B194)-1),"" "",""""),""\d"",""0""),""[-0]*\."",""0.""), REGEXEXTRACT($B194,""\((.*)\)""),TRIM(REGEXEXTRACT($B194,""\)(.*)""))),"""")"),"0.000000038")</f>
        <v>0.000000038</v>
      </c>
      <c r="J194" s="62">
        <f t="shared" si="3"/>
        <v>0.000000038</v>
      </c>
      <c r="K194" s="62" t="b">
        <f t="shared" si="4"/>
        <v>0</v>
      </c>
      <c r="L194" s="62" t="b">
        <f t="shared" si="5"/>
        <v>0</v>
      </c>
      <c r="M194" s="60" t="str">
        <f>IFERROR(__xludf.DUMMYFUNCTION("if(regexmatch(B194,""e(.*)$""),regexextract(B194,""e(.*)$""),"""")"),"")</f>
        <v/>
      </c>
    </row>
    <row r="195">
      <c r="A195" s="80" t="s">
        <v>2367</v>
      </c>
      <c r="B195" s="80" t="s">
        <v>5161</v>
      </c>
      <c r="C195" s="80" t="s">
        <v>249</v>
      </c>
      <c r="D195" s="18" t="str">
        <f t="shared" si="1"/>
        <v>u</v>
      </c>
      <c r="E195" s="60" t="str">
        <f>VLOOKUP($A195,nist_names_ids!A:B,2,false)</f>
        <v>mmuu</v>
      </c>
      <c r="F195" s="61">
        <f>countif(Constants!A:A,E195)</f>
        <v>1</v>
      </c>
      <c r="G195" s="60" t="str">
        <f>IFERROR(__xludf.DUMMYFUNCTION("REGEXREPLACE(substitute(substitute(B195,"" "",""""),""..."",""""),""\(.*\)"","""")"),"0.1134289256")</f>
        <v>0.1134289256</v>
      </c>
      <c r="H195" s="62">
        <f t="shared" si="2"/>
        <v>0.1134289256</v>
      </c>
      <c r="I195" s="60" t="str">
        <f>IFERROR(__xludf.DUMMYFUNCTION("if(regexmatch($B195,""\(""),CONCATENATE(regexreplace(REGEXREPLACE(substitute(left($B195,find(""("",$B195)-1),"" "",""""),""\d"",""0""),""[-0]*\."",""0.""), REGEXEXTRACT($B195,""\((.*)\)""),TRIM(REGEXEXTRACT($B195,""\)(.*)""))),"""")"),"0.000000000029")</f>
        <v>0.000000000029</v>
      </c>
      <c r="J195" s="62">
        <f t="shared" si="3"/>
        <v>0</v>
      </c>
      <c r="K195" s="62" t="b">
        <f t="shared" si="4"/>
        <v>0</v>
      </c>
      <c r="L195" s="62" t="b">
        <f t="shared" si="5"/>
        <v>0</v>
      </c>
      <c r="M195" s="60" t="str">
        <f>IFERROR(__xludf.DUMMYFUNCTION("if(regexmatch(B195,""e(.*)$""),regexextract(B195,""e(.*)$""),"""")"),"")</f>
        <v/>
      </c>
    </row>
    <row r="196">
      <c r="A196" s="80" t="s">
        <v>2372</v>
      </c>
      <c r="B196" s="80" t="s">
        <v>5163</v>
      </c>
      <c r="C196" s="80" t="s">
        <v>4309</v>
      </c>
      <c r="D196" s="18" t="str">
        <f t="shared" si="1"/>
        <v>kg mol^-1</v>
      </c>
      <c r="E196" s="60" t="str">
        <f>VLOOKUP($A196,nist_names_ids!A:B,2,false)</f>
        <v>mmmu</v>
      </c>
      <c r="F196" s="61">
        <f>countif(Constants!A:A,E196)</f>
        <v>1</v>
      </c>
      <c r="G196" s="60" t="str">
        <f>IFERROR(__xludf.DUMMYFUNCTION("REGEXREPLACE(substitute(substitute(B196,"" "",""""),""..."",""""),""\(.*\)"","""")"),"0.1134289256e-3")</f>
        <v>0.1134289256e-3</v>
      </c>
      <c r="H196" s="62">
        <f t="shared" si="2"/>
        <v>0.0001134289256</v>
      </c>
      <c r="I196" s="60" t="str">
        <f>IFERROR(__xludf.DUMMYFUNCTION("if(regexmatch($B196,""\(""),CONCATENATE(regexreplace(REGEXREPLACE(substitute(left($B196,find(""("",$B196)-1),"" "",""""),""\d"",""0""),""[-0]*\."",""0.""), REGEXEXTRACT($B196,""\((.*)\)""),TRIM(REGEXEXTRACT($B196,""\)(.*)""))),"""")"),"0.000000000029e-3")</f>
        <v>0.000000000029e-3</v>
      </c>
      <c r="J196" s="62">
        <f t="shared" si="3"/>
        <v>0</v>
      </c>
      <c r="K196" s="62" t="b">
        <f t="shared" si="4"/>
        <v>0</v>
      </c>
      <c r="L196" s="62" t="b">
        <f t="shared" si="5"/>
        <v>0</v>
      </c>
      <c r="M196" s="60" t="str">
        <f>IFERROR(__xludf.DUMMYFUNCTION("if(regexmatch(B196,""e(.*)$""),regexextract(B196,""e(.*)$""),"""")"),"-3")</f>
        <v>-3</v>
      </c>
    </row>
    <row r="197">
      <c r="A197" s="80" t="s">
        <v>2326</v>
      </c>
      <c r="B197" s="80" t="s">
        <v>5166</v>
      </c>
      <c r="C197" s="80"/>
      <c r="D197" s="18" t="str">
        <f t="shared" si="1"/>
        <v/>
      </c>
      <c r="E197" s="60" t="str">
        <f>VLOOKUP($A197,nist_names_ids!A:B,2,false)</f>
        <v>mmusme</v>
      </c>
      <c r="F197" s="61">
        <f>countif(Constants!A:A,E197)</f>
        <v>1</v>
      </c>
      <c r="G197" s="60" t="str">
        <f>IFERROR(__xludf.DUMMYFUNCTION("REGEXREPLACE(substitute(substitute(B197,"" "",""""),""..."",""""),""\(.*\)"","""")"),"206.7682823")</f>
        <v>206.7682823</v>
      </c>
      <c r="H197" s="62">
        <f t="shared" si="2"/>
        <v>206.7682823</v>
      </c>
      <c r="I197" s="60" t="str">
        <f>IFERROR(__xludf.DUMMYFUNCTION("if(regexmatch($B197,""\(""),CONCATENATE(regexreplace(REGEXREPLACE(substitute(left($B197,find(""("",$B197)-1),"" "",""""),""\d"",""0""),""[-0]*\."",""0.""), REGEXEXTRACT($B197,""\((.*)\)""),TRIM(REGEXEXTRACT($B197,""\)(.*)""))),"""")"),"0.000000052")</f>
        <v>0.000000052</v>
      </c>
      <c r="J197" s="62">
        <f t="shared" si="3"/>
        <v>0.000000052</v>
      </c>
      <c r="K197" s="62" t="b">
        <f t="shared" si="4"/>
        <v>0</v>
      </c>
      <c r="L197" s="62" t="b">
        <f t="shared" si="5"/>
        <v>0</v>
      </c>
      <c r="M197" s="60" t="str">
        <f>IFERROR(__xludf.DUMMYFUNCTION("if(regexmatch(B197,""e(.*)$""),regexextract(B197,""e(.*)$""),"""")"),"")</f>
        <v/>
      </c>
    </row>
    <row r="198">
      <c r="A198" s="80" t="s">
        <v>2381</v>
      </c>
      <c r="B198" s="80" t="s">
        <v>5169</v>
      </c>
      <c r="C198" s="80"/>
      <c r="D198" s="18" t="str">
        <f t="shared" si="1"/>
        <v/>
      </c>
      <c r="E198" s="60" t="str">
        <f>VLOOKUP($A198,nist_names_ids!A:B,2,false)</f>
        <v>mmusmn</v>
      </c>
      <c r="F198" s="61">
        <f>countif(Constants!A:A,E198)</f>
        <v>1</v>
      </c>
      <c r="G198" s="60" t="str">
        <f>IFERROR(__xludf.DUMMYFUNCTION("REGEXREPLACE(substitute(substitute(B198,"" "",""""),""..."",""""),""\(.*\)"","""")"),"0.1124545167")</f>
        <v>0.1124545167</v>
      </c>
      <c r="H198" s="62">
        <f t="shared" si="2"/>
        <v>0.1124545167</v>
      </c>
      <c r="I198" s="60" t="str">
        <f>IFERROR(__xludf.DUMMYFUNCTION("if(regexmatch($B198,""\(""),CONCATENATE(regexreplace(REGEXREPLACE(substitute(left($B198,find(""("",$B198)-1),"" "",""""),""\d"",""0""),""[-0]*\."",""0.""), REGEXEXTRACT($B198,""\((.*)\)""),TRIM(REGEXEXTRACT($B198,""\)(.*)""))),"""")"),"0.000000000029")</f>
        <v>0.000000000029</v>
      </c>
      <c r="J198" s="62">
        <f t="shared" si="3"/>
        <v>0</v>
      </c>
      <c r="K198" s="62" t="b">
        <f t="shared" si="4"/>
        <v>0</v>
      </c>
      <c r="L198" s="62" t="b">
        <f t="shared" si="5"/>
        <v>0</v>
      </c>
      <c r="M198" s="60" t="str">
        <f>IFERROR(__xludf.DUMMYFUNCTION("if(regexmatch(B198,""e(.*)$""),regexextract(B198,""e(.*)$""),"""")"),"")</f>
        <v/>
      </c>
    </row>
    <row r="199">
      <c r="A199" s="80" t="s">
        <v>3533</v>
      </c>
      <c r="B199" s="80" t="s">
        <v>5170</v>
      </c>
      <c r="C199" s="80"/>
      <c r="D199" s="18" t="str">
        <f t="shared" si="1"/>
        <v/>
      </c>
      <c r="E199" s="60" t="str">
        <f>VLOOKUP($A199,nist_names_ids!A:B,2,false)</f>
        <v>mumumsmup</v>
      </c>
      <c r="F199" s="61">
        <f>countif(Constants!A:A,E199)</f>
        <v>1</v>
      </c>
      <c r="G199" s="60" t="str">
        <f>IFERROR(__xludf.DUMMYFUNCTION("REGEXREPLACE(substitute(substitute(B199,"" "",""""),""..."",""""),""\(.*\)"","""")"),"-3.183345137")</f>
        <v>-3.183345137</v>
      </c>
      <c r="H199" s="62">
        <f t="shared" si="2"/>
        <v>-3.183345137</v>
      </c>
      <c r="I199" s="60" t="str">
        <f>IFERROR(__xludf.DUMMYFUNCTION("if(regexmatch($B199,""\(""),CONCATENATE(regexreplace(REGEXREPLACE(substitute(left($B199,find(""("",$B199)-1),"" "",""""),""\d"",""0""),""[-0]*\."",""0.""), REGEXEXTRACT($B199,""\((.*)\)""),TRIM(REGEXEXTRACT($B199,""\)(.*)""))),"""")"),"0.00000000085")</f>
        <v>0.00000000085</v>
      </c>
      <c r="J199" s="62">
        <f t="shared" si="3"/>
        <v>0.00000000085</v>
      </c>
      <c r="K199" s="62" t="b">
        <f t="shared" si="4"/>
        <v>0</v>
      </c>
      <c r="L199" s="62" t="b">
        <f t="shared" si="5"/>
        <v>0</v>
      </c>
      <c r="M199" s="60" t="str">
        <f>IFERROR(__xludf.DUMMYFUNCTION("if(regexmatch(B199,""e(.*)$""),regexextract(B199,""e(.*)$""),"""")"),"")</f>
        <v/>
      </c>
    </row>
    <row r="200">
      <c r="A200" s="80" t="s">
        <v>2388</v>
      </c>
      <c r="B200" s="80" t="s">
        <v>5172</v>
      </c>
      <c r="C200" s="80"/>
      <c r="D200" s="18" t="str">
        <f t="shared" si="1"/>
        <v/>
      </c>
      <c r="E200" s="60" t="str">
        <f>VLOOKUP($A200,nist_names_ids!A:B,2,false)</f>
        <v>mmusmp</v>
      </c>
      <c r="F200" s="61">
        <f>countif(Constants!A:A,E200)</f>
        <v>1</v>
      </c>
      <c r="G200" s="60" t="str">
        <f>IFERROR(__xludf.DUMMYFUNCTION("REGEXREPLACE(substitute(substitute(B200,"" "",""""),""..."",""""),""\(.*\)"","""")"),"0.1126095261")</f>
        <v>0.1126095261</v>
      </c>
      <c r="H200" s="62">
        <f t="shared" si="2"/>
        <v>0.1126095261</v>
      </c>
      <c r="I200" s="60" t="str">
        <f>IFERROR(__xludf.DUMMYFUNCTION("if(regexmatch($B200,""\(""),CONCATENATE(regexreplace(REGEXREPLACE(substitute(left($B200,find(""("",$B200)-1),"" "",""""),""\d"",""0""),""[-0]*\."",""0.""), REGEXEXTRACT($B200,""\((.*)\)""),TRIM(REGEXEXTRACT($B200,""\)(.*)""))),"""")"),"0.000000000029")</f>
        <v>0.000000000029</v>
      </c>
      <c r="J200" s="62">
        <f t="shared" si="3"/>
        <v>0</v>
      </c>
      <c r="K200" s="62" t="b">
        <f t="shared" si="4"/>
        <v>0</v>
      </c>
      <c r="L200" s="62" t="b">
        <f t="shared" si="5"/>
        <v>0</v>
      </c>
      <c r="M200" s="60" t="str">
        <f>IFERROR(__xludf.DUMMYFUNCTION("if(regexmatch(B200,""e(.*)$""),regexextract(B200,""e(.*)$""),"""")"),"")</f>
        <v/>
      </c>
    </row>
    <row r="201">
      <c r="A201" s="80" t="s">
        <v>2392</v>
      </c>
      <c r="B201" s="80" t="s">
        <v>5174</v>
      </c>
      <c r="C201" s="80"/>
      <c r="D201" s="18" t="str">
        <f t="shared" si="1"/>
        <v/>
      </c>
      <c r="E201" s="60" t="str">
        <f>VLOOKUP($A201,nist_names_ids!A:B,2,false)</f>
        <v>mmusmtau</v>
      </c>
      <c r="F201" s="61">
        <f>countif(Constants!A:A,E201)</f>
        <v>1</v>
      </c>
      <c r="G201" s="60" t="str">
        <f>IFERROR(__xludf.DUMMYFUNCTION("REGEXREPLACE(substitute(substitute(B201,"" "",""""),""..."",""""),""\(.*\)"","""")"),"5.94592e-2")</f>
        <v>5.94592e-2</v>
      </c>
      <c r="H201" s="62">
        <f t="shared" si="2"/>
        <v>0.0594592</v>
      </c>
      <c r="I201" s="60" t="str">
        <f>IFERROR(__xludf.DUMMYFUNCTION("if(regexmatch($B201,""\(""),CONCATENATE(regexreplace(REGEXREPLACE(substitute(left($B201,find(""("",$B201)-1),"" "",""""),""\d"",""0""),""[-0]*\."",""0.""), REGEXEXTRACT($B201,""\((.*)\)""),TRIM(REGEXEXTRACT($B201,""\)(.*)""))),"""")"),"0.0000097e-2")</f>
        <v>0.0000097e-2</v>
      </c>
      <c r="J201" s="62">
        <f t="shared" si="3"/>
        <v>0.000000097</v>
      </c>
      <c r="K201" s="62" t="b">
        <f t="shared" si="4"/>
        <v>0</v>
      </c>
      <c r="L201" s="62" t="b">
        <f t="shared" si="5"/>
        <v>0</v>
      </c>
      <c r="M201" s="60" t="str">
        <f>IFERROR(__xludf.DUMMYFUNCTION("if(regexmatch(B201,""e(.*)$""),regexextract(B201,""e(.*)$""),"""")"),"-2")</f>
        <v>-2</v>
      </c>
    </row>
    <row r="202">
      <c r="A202" s="80" t="s">
        <v>2399</v>
      </c>
      <c r="B202" s="80" t="s">
        <v>4384</v>
      </c>
      <c r="C202" s="80" t="s">
        <v>714</v>
      </c>
      <c r="D202" s="18" t="str">
        <f t="shared" si="1"/>
        <v>J s</v>
      </c>
      <c r="E202" s="60" t="str">
        <f>VLOOKUP($A202,nist_names_ids!A:B,2,false)</f>
        <v>thbar</v>
      </c>
      <c r="F202" s="61">
        <f>countif(Constants!A:A,E202)</f>
        <v>1</v>
      </c>
      <c r="G202" s="60" t="str">
        <f>IFERROR(__xludf.DUMMYFUNCTION("REGEXREPLACE(substitute(substitute(B202,"" "",""""),""..."",""""),""\(.*\)"","""")"),"1.054571628e-34")</f>
        <v>1.054571628e-34</v>
      </c>
      <c r="H202" s="62">
        <f t="shared" si="2"/>
        <v>0</v>
      </c>
      <c r="I202" s="60" t="str">
        <f>IFERROR(__xludf.DUMMYFUNCTION("if(regexmatch($B202,""\(""),CONCATENATE(regexreplace(REGEXREPLACE(substitute(left($B202,find(""("",$B202)-1),"" "",""""),""\d"",""0""),""[-0]*\."",""0.""), REGEXEXTRACT($B202,""\((.*)\)""),TRIM(REGEXEXTRACT($B202,""\)(.*)""))),"""")"),"0.00000000053e-34")</f>
        <v>0.00000000053e-34</v>
      </c>
      <c r="J202" s="62">
        <f t="shared" si="3"/>
        <v>0</v>
      </c>
      <c r="K202" s="62" t="b">
        <f t="shared" si="4"/>
        <v>0</v>
      </c>
      <c r="L202" s="62" t="b">
        <f t="shared" si="5"/>
        <v>0</v>
      </c>
      <c r="M202" s="60" t="str">
        <f>IFERROR(__xludf.DUMMYFUNCTION("if(regexmatch(B202,""e(.*)$""),regexextract(B202,""e(.*)$""),"""")"),"-34")</f>
        <v>-34</v>
      </c>
    </row>
    <row r="203">
      <c r="A203" s="80" t="s">
        <v>2400</v>
      </c>
      <c r="B203" s="80" t="s">
        <v>5176</v>
      </c>
      <c r="C203" s="80" t="s">
        <v>2402</v>
      </c>
      <c r="D203" s="18" t="str">
        <f t="shared" si="1"/>
        <v>eV s</v>
      </c>
      <c r="E203" s="60" t="str">
        <f>VLOOKUP($A203,nist_names_ids!A:B,2,false)</f>
        <v>thbarev</v>
      </c>
      <c r="F203" s="61">
        <f>countif(Constants!A:A,E203)</f>
        <v>1</v>
      </c>
      <c r="G203" s="60" t="str">
        <f>IFERROR(__xludf.DUMMYFUNCTION("REGEXREPLACE(substitute(substitute(B203,"" "",""""),""..."",""""),""\(.*\)"","""")"),"6.58211899e-16")</f>
        <v>6.58211899e-16</v>
      </c>
      <c r="H203" s="62">
        <f t="shared" si="2"/>
        <v>0</v>
      </c>
      <c r="I203" s="60" t="str">
        <f>IFERROR(__xludf.DUMMYFUNCTION("if(regexmatch($B203,""\(""),CONCATENATE(regexreplace(REGEXREPLACE(substitute(left($B203,find(""("",$B203)-1),"" "",""""),""\d"",""0""),""[-0]*\."",""0.""), REGEXEXTRACT($B203,""\((.*)\)""),TRIM(REGEXEXTRACT($B203,""\)(.*)""))),"""")"),"0.0000000016e-16")</f>
        <v>0.0000000016e-16</v>
      </c>
      <c r="J203" s="62">
        <f t="shared" si="3"/>
        <v>0</v>
      </c>
      <c r="K203" s="62" t="b">
        <f t="shared" si="4"/>
        <v>0</v>
      </c>
      <c r="L203" s="62" t="b">
        <f t="shared" si="5"/>
        <v>0</v>
      </c>
      <c r="M203" s="60" t="str">
        <f>IFERROR(__xludf.DUMMYFUNCTION("if(regexmatch(B203,""e(.*)$""),regexextract(B203,""e(.*)$""),"""")"),"-16")</f>
        <v>-16</v>
      </c>
    </row>
    <row r="204">
      <c r="A204" s="80" t="s">
        <v>2405</v>
      </c>
      <c r="B204" s="80" t="s">
        <v>4624</v>
      </c>
      <c r="C204" s="80" t="s">
        <v>173</v>
      </c>
      <c r="D204" s="18" t="str">
        <f t="shared" si="1"/>
        <v>J</v>
      </c>
      <c r="E204" s="60" t="str">
        <f>VLOOKUP($A204,nist_names_ids!A:B,2,false)</f>
        <v>tmec2</v>
      </c>
      <c r="F204" s="61">
        <f>countif(Constants!A:A,E204)</f>
        <v>1</v>
      </c>
      <c r="G204" s="60" t="str">
        <f>IFERROR(__xludf.DUMMYFUNCTION("REGEXREPLACE(substitute(substitute(B204,"" "",""""),""..."",""""),""\(.*\)"","""")"),"8.18710438e-14")</f>
        <v>8.18710438e-14</v>
      </c>
      <c r="H204" s="62">
        <f t="shared" si="2"/>
        <v>0</v>
      </c>
      <c r="I204" s="60" t="str">
        <f>IFERROR(__xludf.DUMMYFUNCTION("if(regexmatch($B204,""\(""),CONCATENATE(regexreplace(REGEXREPLACE(substitute(left($B204,find(""("",$B204)-1),"" "",""""),""\d"",""0""),""[-0]*\."",""0.""), REGEXEXTRACT($B204,""\((.*)\)""),TRIM(REGEXEXTRACT($B204,""\)(.*)""))),"""")"),"0.0000000041e-14")</f>
        <v>0.0000000041e-14</v>
      </c>
      <c r="J204" s="62">
        <f t="shared" si="3"/>
        <v>0</v>
      </c>
      <c r="K204" s="62" t="b">
        <f t="shared" si="4"/>
        <v>0</v>
      </c>
      <c r="L204" s="62" t="b">
        <f t="shared" si="5"/>
        <v>0</v>
      </c>
      <c r="M204" s="60" t="str">
        <f>IFERROR(__xludf.DUMMYFUNCTION("if(regexmatch(B204,""e(.*)$""),regexextract(B204,""e(.*)$""),"""")"),"-14")</f>
        <v>-14</v>
      </c>
    </row>
    <row r="205">
      <c r="A205" s="80" t="s">
        <v>2409</v>
      </c>
      <c r="B205" s="80" t="s">
        <v>4626</v>
      </c>
      <c r="C205" s="80" t="s">
        <v>224</v>
      </c>
      <c r="D205" s="18" t="str">
        <f t="shared" si="1"/>
        <v>MeV</v>
      </c>
      <c r="E205" s="60" t="str">
        <f>VLOOKUP($A205,nist_names_ids!A:B,2,false)</f>
        <v>tmec2mev</v>
      </c>
      <c r="F205" s="61">
        <f>countif(Constants!A:A,E205)</f>
        <v>1</v>
      </c>
      <c r="G205" s="60" t="str">
        <f>IFERROR(__xludf.DUMMYFUNCTION("REGEXREPLACE(substitute(substitute(B205,"" "",""""),""..."",""""),""\(.*\)"","""")"),"0.510998910")</f>
        <v>0.510998910</v>
      </c>
      <c r="H205" s="62">
        <f t="shared" si="2"/>
        <v>0.51099891</v>
      </c>
      <c r="I205" s="60" t="str">
        <f>IFERROR(__xludf.DUMMYFUNCTION("if(regexmatch($B205,""\(""),CONCATENATE(regexreplace(REGEXREPLACE(substitute(left($B205,find(""("",$B205)-1),"" "",""""),""\d"",""0""),""[-0]*\."",""0.""), REGEXEXTRACT($B205,""\((.*)\)""),TRIM(REGEXEXTRACT($B205,""\)(.*)""))),"""")"),"0.00000000013")</f>
        <v>0.00000000013</v>
      </c>
      <c r="J205" s="62">
        <f t="shared" si="3"/>
        <v>0.00000000013</v>
      </c>
      <c r="K205" s="62" t="b">
        <f t="shared" si="4"/>
        <v>0</v>
      </c>
      <c r="L205" s="62" t="b">
        <f t="shared" si="5"/>
        <v>0</v>
      </c>
      <c r="M205" s="60" t="str">
        <f>IFERROR(__xludf.DUMMYFUNCTION("if(regexmatch(B205,""e(.*)$""),regexextract(B205,""e(.*)$""),"""")"),"")</f>
        <v/>
      </c>
    </row>
    <row r="206">
      <c r="A206" s="80" t="s">
        <v>2410</v>
      </c>
      <c r="B206" s="80" t="s">
        <v>4530</v>
      </c>
      <c r="C206" s="80" t="s">
        <v>381</v>
      </c>
      <c r="D206" s="18" t="str">
        <f t="shared" si="1"/>
        <v>m</v>
      </c>
      <c r="E206" s="60" t="str">
        <f>VLOOKUP($A206,nist_names_ids!A:B,2,false)</f>
        <v>tecomwlbar</v>
      </c>
      <c r="F206" s="61">
        <f>countif(Constants!A:A,E206)</f>
        <v>1</v>
      </c>
      <c r="G206" s="60" t="str">
        <f>IFERROR(__xludf.DUMMYFUNCTION("REGEXREPLACE(substitute(substitute(B206,"" "",""""),""..."",""""),""\(.*\)"","""")"),"386.15926459e-15")</f>
        <v>386.15926459e-15</v>
      </c>
      <c r="H206" s="62">
        <f t="shared" si="2"/>
        <v>0</v>
      </c>
      <c r="I206" s="60" t="str">
        <f>IFERROR(__xludf.DUMMYFUNCTION("if(regexmatch($B206,""\(""),CONCATENATE(regexreplace(REGEXREPLACE(substitute(left($B206,find(""("",$B206)-1),"" "",""""),""\d"",""0""),""[-0]*\."",""0.""), REGEXEXTRACT($B206,""\((.*)\)""),TRIM(REGEXEXTRACT($B206,""\)(.*)""))),"""")"),"0.0000000053e-15")</f>
        <v>0.0000000053e-15</v>
      </c>
      <c r="J206" s="62">
        <f t="shared" si="3"/>
        <v>0</v>
      </c>
      <c r="K206" s="62" t="b">
        <f t="shared" si="4"/>
        <v>0</v>
      </c>
      <c r="L206" s="62" t="b">
        <f t="shared" si="5"/>
        <v>0</v>
      </c>
      <c r="M206" s="60" t="str">
        <f>IFERROR(__xludf.DUMMYFUNCTION("if(regexmatch(B206,""e(.*)$""),regexextract(B206,""e(.*)$""),"""")"),"-15")</f>
        <v>-15</v>
      </c>
    </row>
    <row r="207">
      <c r="A207" s="80" t="s">
        <v>2414</v>
      </c>
      <c r="B207" s="80" t="s">
        <v>4432</v>
      </c>
      <c r="C207" s="80" t="s">
        <v>98</v>
      </c>
      <c r="D207" s="18" t="str">
        <f t="shared" si="1"/>
        <v>kg</v>
      </c>
      <c r="E207" s="60" t="str">
        <f>VLOOKUP($A207,nist_names_ids!A:B,2,false)</f>
        <v>tme</v>
      </c>
      <c r="F207" s="61">
        <f>countif(Constants!A:A,E207)</f>
        <v>1</v>
      </c>
      <c r="G207" s="60" t="str">
        <f>IFERROR(__xludf.DUMMYFUNCTION("REGEXREPLACE(substitute(substitute(B207,"" "",""""),""..."",""""),""\(.*\)"","""")"),"9.10938215e-31")</f>
        <v>9.10938215e-31</v>
      </c>
      <c r="H207" s="62">
        <f t="shared" si="2"/>
        <v>0</v>
      </c>
      <c r="I207" s="60" t="str">
        <f>IFERROR(__xludf.DUMMYFUNCTION("if(regexmatch($B207,""\(""),CONCATENATE(regexreplace(REGEXREPLACE(substitute(left($B207,find(""("",$B207)-1),"" "",""""),""\d"",""0""),""[-0]*\."",""0.""), REGEXEXTRACT($B207,""\((.*)\)""),TRIM(REGEXEXTRACT($B207,""\)(.*)""))),"""")"),"0.0000000045e-31")</f>
        <v>0.0000000045e-31</v>
      </c>
      <c r="J207" s="62">
        <f t="shared" si="3"/>
        <v>0</v>
      </c>
      <c r="K207" s="62" t="b">
        <f t="shared" si="4"/>
        <v>0</v>
      </c>
      <c r="L207" s="62" t="b">
        <f t="shared" si="5"/>
        <v>0</v>
      </c>
      <c r="M207" s="60" t="str">
        <f>IFERROR(__xludf.DUMMYFUNCTION("if(regexmatch(B207,""e(.*)$""),regexextract(B207,""e(.*)$""),"""")"),"-31")</f>
        <v>-31</v>
      </c>
    </row>
    <row r="208">
      <c r="A208" s="80" t="s">
        <v>2417</v>
      </c>
      <c r="B208" s="80" t="s">
        <v>5182</v>
      </c>
      <c r="C208" s="80" t="s">
        <v>4436</v>
      </c>
      <c r="D208" s="18" t="str">
        <f t="shared" si="1"/>
        <v>kg m s^-1</v>
      </c>
      <c r="E208" s="60" t="str">
        <f>VLOOKUP($A208,nist_names_ids!A:B,2,false)</f>
        <v>mec</v>
      </c>
      <c r="F208" s="61">
        <f>countif(Constants!A:A,E208)</f>
        <v>1</v>
      </c>
      <c r="G208" s="60" t="str">
        <f>IFERROR(__xludf.DUMMYFUNCTION("REGEXREPLACE(substitute(substitute(B208,"" "",""""),""..."",""""),""\(.*\)"","""")"),"2.73092406e-22")</f>
        <v>2.73092406e-22</v>
      </c>
      <c r="H208" s="62">
        <f t="shared" si="2"/>
        <v>0</v>
      </c>
      <c r="I208" s="60" t="str">
        <f>IFERROR(__xludf.DUMMYFUNCTION("if(regexmatch($B208,""\(""),CONCATENATE(regexreplace(REGEXREPLACE(substitute(left($B208,find(""("",$B208)-1),"" "",""""),""\d"",""0""),""[-0]*\."",""0.""), REGEXEXTRACT($B208,""\((.*)\)""),TRIM(REGEXEXTRACT($B208,""\)(.*)""))),"""")"),"0.0000000014e-22")</f>
        <v>0.0000000014e-22</v>
      </c>
      <c r="J208" s="62">
        <f t="shared" si="3"/>
        <v>0</v>
      </c>
      <c r="K208" s="62" t="b">
        <f t="shared" si="4"/>
        <v>0</v>
      </c>
      <c r="L208" s="62" t="b">
        <f t="shared" si="5"/>
        <v>0</v>
      </c>
      <c r="M208" s="60" t="str">
        <f>IFERROR(__xludf.DUMMYFUNCTION("if(regexmatch(B208,""e(.*)$""),regexextract(B208,""e(.*)$""),"""")"),"-22")</f>
        <v>-22</v>
      </c>
    </row>
    <row r="209">
      <c r="A209" s="80" t="s">
        <v>2424</v>
      </c>
      <c r="B209" s="80" t="s">
        <v>4626</v>
      </c>
      <c r="C209" s="80" t="s">
        <v>2425</v>
      </c>
      <c r="D209" s="18" t="str">
        <f t="shared" si="1"/>
        <v>MeV/c</v>
      </c>
      <c r="E209" s="60" t="str">
        <f>VLOOKUP($A209,nist_names_ids!A:B,2,false)</f>
        <v>mecmevsc</v>
      </c>
      <c r="F209" s="61">
        <f>countif(Constants!A:A,E209)</f>
        <v>1</v>
      </c>
      <c r="G209" s="60" t="str">
        <f>IFERROR(__xludf.DUMMYFUNCTION("REGEXREPLACE(substitute(substitute(B209,"" "",""""),""..."",""""),""\(.*\)"","""")"),"0.510998910")</f>
        <v>0.510998910</v>
      </c>
      <c r="H209" s="62">
        <f t="shared" si="2"/>
        <v>0.51099891</v>
      </c>
      <c r="I209" s="60" t="str">
        <f>IFERROR(__xludf.DUMMYFUNCTION("if(regexmatch($B209,""\(""),CONCATENATE(regexreplace(REGEXREPLACE(substitute(left($B209,find(""("",$B209)-1),"" "",""""),""\d"",""0""),""[-0]*\."",""0.""), REGEXEXTRACT($B209,""\((.*)\)""),TRIM(REGEXEXTRACT($B209,""\)(.*)""))),"""")"),"0.00000000013")</f>
        <v>0.00000000013</v>
      </c>
      <c r="J209" s="62">
        <f t="shared" si="3"/>
        <v>0.00000000013</v>
      </c>
      <c r="K209" s="62" t="b">
        <f t="shared" si="4"/>
        <v>0</v>
      </c>
      <c r="L209" s="62" t="b">
        <f t="shared" si="5"/>
        <v>0</v>
      </c>
      <c r="M209" s="60" t="str">
        <f>IFERROR(__xludf.DUMMYFUNCTION("if(regexmatch(B209,""e(.*)$""),regexextract(B209,""e(.*)$""),"""")"),"")</f>
        <v/>
      </c>
    </row>
    <row r="210">
      <c r="A210" s="80" t="s">
        <v>2427</v>
      </c>
      <c r="B210" s="80" t="s">
        <v>5184</v>
      </c>
      <c r="C210" s="80" t="s">
        <v>520</v>
      </c>
      <c r="D210" s="18" t="str">
        <f t="shared" si="1"/>
        <v>s</v>
      </c>
      <c r="E210" s="60" t="str">
        <f>VLOOKUP($A210,nist_names_ids!A:B,2,false)</f>
        <v>nut</v>
      </c>
      <c r="F210" s="61">
        <f>countif(Constants!A:A,E210)</f>
        <v>1</v>
      </c>
      <c r="G210" s="60" t="str">
        <f>IFERROR(__xludf.DUMMYFUNCTION("REGEXREPLACE(substitute(substitute(B210,"" "",""""),""..."",""""),""\(.*\)"","""")"),"1.2880886570e-21")</f>
        <v>1.2880886570e-21</v>
      </c>
      <c r="H210" s="62">
        <f t="shared" si="2"/>
        <v>0</v>
      </c>
      <c r="I210" s="60" t="str">
        <f>IFERROR(__xludf.DUMMYFUNCTION("if(regexmatch($B210,""\(""),CONCATENATE(regexreplace(REGEXREPLACE(substitute(left($B210,find(""("",$B210)-1),"" "",""""),""\d"",""0""),""[-0]*\."",""0.""), REGEXEXTRACT($B210,""\((.*)\)""),TRIM(REGEXEXTRACT($B210,""\)(.*)""))),"""")"),"0.000000000018e-21")</f>
        <v>0.000000000018e-21</v>
      </c>
      <c r="J210" s="62">
        <f t="shared" si="3"/>
        <v>0</v>
      </c>
      <c r="K210" s="62" t="b">
        <f t="shared" si="4"/>
        <v>0</v>
      </c>
      <c r="L210" s="62" t="b">
        <f t="shared" si="5"/>
        <v>0</v>
      </c>
      <c r="M210" s="60" t="str">
        <f>IFERROR(__xludf.DUMMYFUNCTION("if(regexmatch(B210,""e(.*)$""),regexextract(B210,""e(.*)$""),"""")"),"-21")</f>
        <v>-21</v>
      </c>
    </row>
    <row r="211">
      <c r="A211" s="80" t="s">
        <v>2433</v>
      </c>
      <c r="B211" s="80" t="s">
        <v>2145</v>
      </c>
      <c r="C211" s="80" t="s">
        <v>4447</v>
      </c>
      <c r="D211" s="18" t="str">
        <f t="shared" si="1"/>
        <v>m s^-1</v>
      </c>
      <c r="E211" s="60" t="str">
        <f>VLOOKUP($A211,nist_names_ids!A:B,2,false)</f>
        <v>tc</v>
      </c>
      <c r="F211" s="61">
        <f>countif(Constants!A:A,E211)</f>
        <v>1</v>
      </c>
      <c r="G211" s="60" t="str">
        <f>IFERROR(__xludf.DUMMYFUNCTION("REGEXREPLACE(substitute(substitute(B211,"" "",""""),""..."",""""),""\(.*\)"","""")"),"299792458")</f>
        <v>299792458</v>
      </c>
      <c r="H211" s="62">
        <f t="shared" si="2"/>
        <v>299792458</v>
      </c>
      <c r="I211" s="60" t="str">
        <f>IFERROR(__xludf.DUMMYFUNCTION("if(regexmatch($B211,""\(""),CONCATENATE(regexreplace(REGEXREPLACE(substitute(left($B211,find(""("",$B211)-1),"" "",""""),""\d"",""0""),""[-0]*\."",""0.""), REGEXEXTRACT($B211,""\((.*)\)""),TRIM(REGEXEXTRACT($B211,""\)(.*)""))),"""")"),"")</f>
        <v/>
      </c>
      <c r="J211" s="62" t="str">
        <f t="shared" si="3"/>
        <v/>
      </c>
      <c r="K211" s="62" t="b">
        <f t="shared" si="4"/>
        <v>0</v>
      </c>
      <c r="L211" s="62" t="b">
        <f t="shared" si="5"/>
        <v>0</v>
      </c>
      <c r="M211" s="60" t="str">
        <f>IFERROR(__xludf.DUMMYFUNCTION("if(regexmatch(B211,""e(.*)$""),regexextract(B211,""e(.*)$""),"""")"),"")</f>
        <v/>
      </c>
    </row>
    <row r="212">
      <c r="A212" s="80" t="s">
        <v>2439</v>
      </c>
      <c r="B212" s="80" t="s">
        <v>5187</v>
      </c>
      <c r="C212" s="80" t="s">
        <v>381</v>
      </c>
      <c r="D212" s="18" t="str">
        <f t="shared" si="1"/>
        <v>m</v>
      </c>
      <c r="E212" s="60" t="str">
        <f>VLOOKUP($A212,nist_names_ids!A:B,2,false)</f>
        <v>ncomwl</v>
      </c>
      <c r="F212" s="61">
        <f>countif(Constants!A:A,E212)</f>
        <v>1</v>
      </c>
      <c r="G212" s="60" t="str">
        <f>IFERROR(__xludf.DUMMYFUNCTION("REGEXREPLACE(substitute(substitute(B212,"" "",""""),""..."",""""),""\(.*\)"","""")"),"1.3195908951e-15")</f>
        <v>1.3195908951e-15</v>
      </c>
      <c r="H212" s="62">
        <f t="shared" si="2"/>
        <v>0</v>
      </c>
      <c r="I212" s="60" t="str">
        <f>IFERROR(__xludf.DUMMYFUNCTION("if(regexmatch($B212,""\(""),CONCATENATE(regexreplace(REGEXREPLACE(substitute(left($B212,find(""("",$B212)-1),"" "",""""),""\d"",""0""),""[-0]*\."",""0.""), REGEXEXTRACT($B212,""\((.*)\)""),TRIM(REGEXEXTRACT($B212,""\)(.*)""))),"""")"),"0.000000000020e-15")</f>
        <v>0.000000000020e-15</v>
      </c>
      <c r="J212" s="62">
        <f t="shared" si="3"/>
        <v>0</v>
      </c>
      <c r="K212" s="62" t="b">
        <f t="shared" si="4"/>
        <v>0</v>
      </c>
      <c r="L212" s="62" t="b">
        <f t="shared" si="5"/>
        <v>0</v>
      </c>
      <c r="M212" s="60" t="str">
        <f>IFERROR(__xludf.DUMMYFUNCTION("if(regexmatch(B212,""e(.*)$""),regexextract(B212,""e(.*)$""),"""")"),"-15")</f>
        <v>-15</v>
      </c>
    </row>
    <row r="213">
      <c r="A213" s="80" t="s">
        <v>3674</v>
      </c>
      <c r="B213" s="80" t="s">
        <v>5188</v>
      </c>
      <c r="C213" s="80" t="s">
        <v>381</v>
      </c>
      <c r="D213" s="18" t="str">
        <f t="shared" si="1"/>
        <v>m</v>
      </c>
      <c r="E213" s="60" t="str">
        <f>VLOOKUP($A213,nist_names_ids!A:B,2,false)</f>
        <v>ncomwlbar</v>
      </c>
      <c r="F213" s="61">
        <f>countif(Constants!A:A,E213)</f>
        <v>1</v>
      </c>
      <c r="G213" s="60" t="str">
        <f>IFERROR(__xludf.DUMMYFUNCTION("REGEXREPLACE(substitute(substitute(B213,"" "",""""),""..."",""""),""\(.*\)"","""")"),"0.21001941382e-15")</f>
        <v>0.21001941382e-15</v>
      </c>
      <c r="H213" s="62">
        <f t="shared" si="2"/>
        <v>0</v>
      </c>
      <c r="I213" s="60" t="str">
        <f>IFERROR(__xludf.DUMMYFUNCTION("if(regexmatch($B213,""\(""),CONCATENATE(regexreplace(REGEXREPLACE(substitute(left($B213,find(""("",$B213)-1),"" "",""""),""\d"",""0""),""[-0]*\."",""0.""), REGEXEXTRACT($B213,""\((.*)\)""),TRIM(REGEXEXTRACT($B213,""\)(.*)""))),"""")"),"0.0000000000031e-15")</f>
        <v>0.0000000000031e-15</v>
      </c>
      <c r="J213" s="62">
        <f t="shared" si="3"/>
        <v>0</v>
      </c>
      <c r="K213" s="62" t="b">
        <f t="shared" si="4"/>
        <v>0</v>
      </c>
      <c r="L213" s="62" t="b">
        <f t="shared" si="5"/>
        <v>0</v>
      </c>
      <c r="M213" s="60" t="str">
        <f>IFERROR(__xludf.DUMMYFUNCTION("if(regexmatch(B213,""e(.*)$""),regexextract(B213,""e(.*)$""),"""")"),"-15")</f>
        <v>-15</v>
      </c>
    </row>
    <row r="214">
      <c r="A214" s="80" t="s">
        <v>2454</v>
      </c>
      <c r="B214" s="80" t="s">
        <v>5190</v>
      </c>
      <c r="C214" s="80"/>
      <c r="D214" s="18" t="str">
        <f t="shared" si="1"/>
        <v/>
      </c>
      <c r="E214" s="60" t="str">
        <f>VLOOKUP($A214,nist_names_ids!A:B,2,false)</f>
        <v>gnn</v>
      </c>
      <c r="F214" s="61">
        <f>countif(Constants!A:A,E214)</f>
        <v>1</v>
      </c>
      <c r="G214" s="60" t="str">
        <f>IFERROR(__xludf.DUMMYFUNCTION("REGEXREPLACE(substitute(substitute(B214,"" "",""""),""..."",""""),""\(.*\)"","""")"),"-3.82608545")</f>
        <v>-3.82608545</v>
      </c>
      <c r="H214" s="62">
        <f t="shared" si="2"/>
        <v>-3.82608545</v>
      </c>
      <c r="I214" s="60" t="str">
        <f>IFERROR(__xludf.DUMMYFUNCTION("if(regexmatch($B214,""\(""),CONCATENATE(regexreplace(REGEXREPLACE(substitute(left($B214,find(""("",$B214)-1),"" "",""""),""\d"",""0""),""[-0]*\."",""0.""), REGEXEXTRACT($B214,""\((.*)\)""),TRIM(REGEXEXTRACT($B214,""\)(.*)""))),"""")"),"0.0000000090")</f>
        <v>0.0000000090</v>
      </c>
      <c r="J214" s="62">
        <f t="shared" si="3"/>
        <v>0.000000009</v>
      </c>
      <c r="K214" s="62" t="b">
        <f t="shared" si="4"/>
        <v>0</v>
      </c>
      <c r="L214" s="62" t="b">
        <f t="shared" si="5"/>
        <v>0</v>
      </c>
      <c r="M214" s="60" t="str">
        <f>IFERROR(__xludf.DUMMYFUNCTION("if(regexmatch(B214,""e(.*)$""),regexextract(B214,""e(.*)$""),"""")"),"")</f>
        <v/>
      </c>
    </row>
    <row r="215">
      <c r="A215" s="80" t="s">
        <v>3700</v>
      </c>
      <c r="B215" s="80" t="s">
        <v>5192</v>
      </c>
      <c r="C215" s="80" t="s">
        <v>4596</v>
      </c>
      <c r="D215" s="18" t="str">
        <f t="shared" si="1"/>
        <v>s^-1 T^-1</v>
      </c>
      <c r="E215" s="60" t="str">
        <f>VLOOKUP($A215,nist_names_ids!A:B,2,false)</f>
        <v>gamman</v>
      </c>
      <c r="F215" s="61">
        <f>countif(Constants!A:A,E215)</f>
        <v>1</v>
      </c>
      <c r="G215" s="60" t="str">
        <f>IFERROR(__xludf.DUMMYFUNCTION("REGEXREPLACE(substitute(substitute(B215,"" "",""""),""..."",""""),""\(.*\)"","""")"),"1.83247185e8")</f>
        <v>1.83247185e8</v>
      </c>
      <c r="H215" s="62">
        <f t="shared" si="2"/>
        <v>183247185</v>
      </c>
      <c r="I215" s="60" t="str">
        <f>IFERROR(__xludf.DUMMYFUNCTION("if(regexmatch($B215,""\(""),CONCATENATE(regexreplace(REGEXREPLACE(substitute(left($B215,find(""("",$B215)-1),"" "",""""),""\d"",""0""),""[-0]*\."",""0.""), REGEXEXTRACT($B215,""\((.*)\)""),TRIM(REGEXEXTRACT($B215,""\)(.*)""))),"""")"),"0.0000000043e8")</f>
        <v>0.0000000043e8</v>
      </c>
      <c r="J215" s="62">
        <f t="shared" si="3"/>
        <v>0.43</v>
      </c>
      <c r="K215" s="62" t="b">
        <f t="shared" si="4"/>
        <v>0</v>
      </c>
      <c r="L215" s="62" t="b">
        <f t="shared" si="5"/>
        <v>0</v>
      </c>
      <c r="M215" s="60" t="str">
        <f>IFERROR(__xludf.DUMMYFUNCTION("if(regexmatch(B215,""e(.*)$""),regexextract(B215,""e(.*)$""),"""")"),"8")</f>
        <v>8</v>
      </c>
    </row>
    <row r="216">
      <c r="A216" s="80" t="s">
        <v>3723</v>
      </c>
      <c r="B216" s="80" t="s">
        <v>5193</v>
      </c>
      <c r="C216" s="80" t="s">
        <v>4602</v>
      </c>
      <c r="D216" s="18" t="str">
        <f t="shared" si="1"/>
        <v>MHz T^-1</v>
      </c>
      <c r="E216" s="60" t="str">
        <f>VLOOKUP($A216,nist_names_ids!A:B,2,false)</f>
        <v>gammanbar</v>
      </c>
      <c r="F216" s="61">
        <f>countif(Constants!A:A,E216)</f>
        <v>1</v>
      </c>
      <c r="G216" s="60" t="str">
        <f>IFERROR(__xludf.DUMMYFUNCTION("REGEXREPLACE(substitute(substitute(B216,"" "",""""),""..."",""""),""\(.*\)"","""")"),"29.1646954")</f>
        <v>29.1646954</v>
      </c>
      <c r="H216" s="62">
        <f t="shared" si="2"/>
        <v>29.1646954</v>
      </c>
      <c r="I216" s="60" t="str">
        <f>IFERROR(__xludf.DUMMYFUNCTION("if(regexmatch($B216,""\(""),CONCATENATE(regexreplace(REGEXREPLACE(substitute(left($B216,find(""("",$B216)-1),"" "",""""),""\d"",""0""),""[-0]*\."",""0.""), REGEXEXTRACT($B216,""\((.*)\)""),TRIM(REGEXEXTRACT($B216,""\)(.*)""))),"""")"),"0.000000069")</f>
        <v>0.000000069</v>
      </c>
      <c r="J216" s="62">
        <f t="shared" si="3"/>
        <v>0.000000069</v>
      </c>
      <c r="K216" s="62" t="b">
        <f t="shared" si="4"/>
        <v>0</v>
      </c>
      <c r="L216" s="62" t="b">
        <f t="shared" si="5"/>
        <v>0</v>
      </c>
      <c r="M216" s="60" t="str">
        <f>IFERROR(__xludf.DUMMYFUNCTION("if(regexmatch(B216,""e(.*)$""),regexextract(B216,""e(.*)$""),"""")"),"")</f>
        <v/>
      </c>
    </row>
    <row r="217">
      <c r="A217" s="80" t="s">
        <v>3738</v>
      </c>
      <c r="B217" s="80" t="s">
        <v>5194</v>
      </c>
      <c r="C217" s="80" t="s">
        <v>4421</v>
      </c>
      <c r="D217" s="18" t="str">
        <f t="shared" si="1"/>
        <v>J T^-1</v>
      </c>
      <c r="E217" s="60" t="str">
        <f>VLOOKUP($A217,nist_names_ids!A:B,2,false)</f>
        <v>munn</v>
      </c>
      <c r="F217" s="61">
        <f>countif(Constants!A:A,E217)</f>
        <v>1</v>
      </c>
      <c r="G217" s="60" t="str">
        <f>IFERROR(__xludf.DUMMYFUNCTION("REGEXREPLACE(substitute(substitute(B217,"" "",""""),""..."",""""),""\(.*\)"","""")"),"-0.96623641e-26")</f>
        <v>-0.96623641e-26</v>
      </c>
      <c r="H217" s="62">
        <f t="shared" si="2"/>
        <v>0</v>
      </c>
      <c r="I217" s="60" t="str">
        <f>IFERROR(__xludf.DUMMYFUNCTION("if(regexmatch($B217,""\(""),CONCATENATE(regexreplace(REGEXREPLACE(substitute(left($B217,find(""("",$B217)-1),"" "",""""),""\d"",""0""),""[-0]*\."",""0.""), REGEXEXTRACT($B217,""\((.*)\)""),TRIM(REGEXEXTRACT($B217,""\)(.*)""))),"""")"),"0.0000000023e-26")</f>
        <v>0.0000000023e-26</v>
      </c>
      <c r="J217" s="62">
        <f t="shared" si="3"/>
        <v>0</v>
      </c>
      <c r="K217" s="62" t="b">
        <f t="shared" si="4"/>
        <v>0</v>
      </c>
      <c r="L217" s="62" t="b">
        <f t="shared" si="5"/>
        <v>0</v>
      </c>
      <c r="M217" s="60" t="str">
        <f>IFERROR(__xludf.DUMMYFUNCTION("if(regexmatch(B217,""e(.*)$""),regexextract(B217,""e(.*)$""),"""")"),"-26")</f>
        <v>-26</v>
      </c>
    </row>
    <row r="218">
      <c r="A218" s="80" t="s">
        <v>3757</v>
      </c>
      <c r="B218" s="80" t="s">
        <v>5196</v>
      </c>
      <c r="C218" s="80"/>
      <c r="D218" s="18" t="str">
        <f t="shared" si="1"/>
        <v/>
      </c>
      <c r="E218" s="60" t="str">
        <f>VLOOKUP($A218,nist_names_ids!A:B,2,false)</f>
        <v>munsmub</v>
      </c>
      <c r="F218" s="61">
        <f>countif(Constants!A:A,E218)</f>
        <v>1</v>
      </c>
      <c r="G218" s="60" t="str">
        <f>IFERROR(__xludf.DUMMYFUNCTION("REGEXREPLACE(substitute(substitute(B218,"" "",""""),""..."",""""),""\(.*\)"","""")"),"-1.04187563e-3")</f>
        <v>-1.04187563e-3</v>
      </c>
      <c r="H218" s="62">
        <f t="shared" si="2"/>
        <v>-0.00104187563</v>
      </c>
      <c r="I218" s="60" t="str">
        <f>IFERROR(__xludf.DUMMYFUNCTION("if(regexmatch($B218,""\(""),CONCATENATE(regexreplace(REGEXREPLACE(substitute(left($B218,find(""("",$B218)-1),"" "",""""),""\d"",""0""),""[-0]*\."",""0.""), REGEXEXTRACT($B218,""\((.*)\)""),TRIM(REGEXEXTRACT($B218,""\)(.*)""))),"""")"),"0.0000000025e-3")</f>
        <v>0.0000000025e-3</v>
      </c>
      <c r="J218" s="62">
        <f t="shared" si="3"/>
        <v>0</v>
      </c>
      <c r="K218" s="62" t="b">
        <f t="shared" si="4"/>
        <v>0</v>
      </c>
      <c r="L218" s="62" t="b">
        <f t="shared" si="5"/>
        <v>0</v>
      </c>
      <c r="M218" s="60" t="str">
        <f>IFERROR(__xludf.DUMMYFUNCTION("if(regexmatch(B218,""e(.*)$""),regexextract(B218,""e(.*)$""),"""")"),"-3")</f>
        <v>-3</v>
      </c>
    </row>
    <row r="219">
      <c r="A219" s="80" t="s">
        <v>3767</v>
      </c>
      <c r="B219" s="80" t="s">
        <v>5198</v>
      </c>
      <c r="C219" s="80"/>
      <c r="D219" s="18" t="str">
        <f t="shared" si="1"/>
        <v/>
      </c>
      <c r="E219" s="60" t="str">
        <f>VLOOKUP($A219,nist_names_ids!A:B,2,false)</f>
        <v>munsmun</v>
      </c>
      <c r="F219" s="61">
        <f>countif(Constants!A:A,E219)</f>
        <v>1</v>
      </c>
      <c r="G219" s="60" t="str">
        <f>IFERROR(__xludf.DUMMYFUNCTION("REGEXREPLACE(substitute(substitute(B219,"" "",""""),""..."",""""),""\(.*\)"","""")"),"-1.91304273")</f>
        <v>-1.91304273</v>
      </c>
      <c r="H219" s="62">
        <f t="shared" si="2"/>
        <v>-1.91304273</v>
      </c>
      <c r="I219" s="60" t="str">
        <f>IFERROR(__xludf.DUMMYFUNCTION("if(regexmatch($B219,""\(""),CONCATENATE(regexreplace(REGEXREPLACE(substitute(left($B219,find(""("",$B219)-1),"" "",""""),""\d"",""0""),""[-0]*\."",""0.""), REGEXEXTRACT($B219,""\((.*)\)""),TRIM(REGEXEXTRACT($B219,""\)(.*)""))),"""")"),"0.0000000045")</f>
        <v>0.0000000045</v>
      </c>
      <c r="J219" s="62">
        <f t="shared" si="3"/>
        <v>0.0000000045</v>
      </c>
      <c r="K219" s="62" t="b">
        <f t="shared" si="4"/>
        <v>0</v>
      </c>
      <c r="L219" s="62" t="b">
        <f t="shared" si="5"/>
        <v>0</v>
      </c>
      <c r="M219" s="60" t="str">
        <f>IFERROR(__xludf.DUMMYFUNCTION("if(regexmatch(B219,""e(.*)$""),regexextract(B219,""e(.*)$""),"""")"),"")</f>
        <v/>
      </c>
    </row>
    <row r="220">
      <c r="A220" s="80" t="s">
        <v>2483</v>
      </c>
      <c r="B220" s="80" t="s">
        <v>5201</v>
      </c>
      <c r="C220" s="80" t="s">
        <v>98</v>
      </c>
      <c r="D220" s="18" t="str">
        <f t="shared" si="1"/>
        <v>kg</v>
      </c>
      <c r="E220" s="60" t="str">
        <f>VLOOKUP($A220,nist_names_ids!A:B,2,false)</f>
        <v>mn</v>
      </c>
      <c r="F220" s="61">
        <f>countif(Constants!A:A,E220)</f>
        <v>1</v>
      </c>
      <c r="G220" s="60" t="str">
        <f>IFERROR(__xludf.DUMMYFUNCTION("REGEXREPLACE(substitute(substitute(B220,"" "",""""),""..."",""""),""\(.*\)"","""")"),"1.674927211e-27")</f>
        <v>1.674927211e-27</v>
      </c>
      <c r="H220" s="62">
        <f t="shared" si="2"/>
        <v>0</v>
      </c>
      <c r="I220" s="60" t="str">
        <f>IFERROR(__xludf.DUMMYFUNCTION("if(regexmatch($B220,""\(""),CONCATENATE(regexreplace(REGEXREPLACE(substitute(left($B220,find(""("",$B220)-1),"" "",""""),""\d"",""0""),""[-0]*\."",""0.""), REGEXEXTRACT($B220,""\((.*)\)""),TRIM(REGEXEXTRACT($B220,""\)(.*)""))),"""")"),"0.00000000084e-27")</f>
        <v>0.00000000084e-27</v>
      </c>
      <c r="J220" s="62">
        <f t="shared" si="3"/>
        <v>0</v>
      </c>
      <c r="K220" s="62" t="b">
        <f t="shared" si="4"/>
        <v>0</v>
      </c>
      <c r="L220" s="62" t="b">
        <f t="shared" si="5"/>
        <v>0</v>
      </c>
      <c r="M220" s="60" t="str">
        <f>IFERROR(__xludf.DUMMYFUNCTION("if(regexmatch(B220,""e(.*)$""),regexextract(B220,""e(.*)$""),"""")"),"-27")</f>
        <v>-27</v>
      </c>
    </row>
    <row r="221">
      <c r="A221" s="80" t="s">
        <v>2490</v>
      </c>
      <c r="B221" s="80" t="s">
        <v>5203</v>
      </c>
      <c r="C221" s="80" t="s">
        <v>173</v>
      </c>
      <c r="D221" s="18" t="str">
        <f t="shared" si="1"/>
        <v>J</v>
      </c>
      <c r="E221" s="60" t="str">
        <f>VLOOKUP($A221,nist_names_ids!A:B,2,false)</f>
        <v>mnc2</v>
      </c>
      <c r="F221" s="61">
        <f>countif(Constants!A:A,E221)</f>
        <v>1</v>
      </c>
      <c r="G221" s="60" t="str">
        <f>IFERROR(__xludf.DUMMYFUNCTION("REGEXREPLACE(substitute(substitute(B221,"" "",""""),""..."",""""),""\(.*\)"","""")"),"1.505349505e-10")</f>
        <v>1.505349505e-10</v>
      </c>
      <c r="H221" s="62">
        <f t="shared" si="2"/>
        <v>0.0000000001505349505</v>
      </c>
      <c r="I221" s="60" t="str">
        <f>IFERROR(__xludf.DUMMYFUNCTION("if(regexmatch($B221,""\(""),CONCATENATE(regexreplace(REGEXREPLACE(substitute(left($B221,find(""("",$B221)-1),"" "",""""),""\d"",""0""),""[-0]*\."",""0.""), REGEXEXTRACT($B221,""\((.*)\)""),TRIM(REGEXEXTRACT($B221,""\)(.*)""))),"""")"),"0.00000000075e-10")</f>
        <v>0.00000000075e-10</v>
      </c>
      <c r="J221" s="62">
        <f t="shared" si="3"/>
        <v>0</v>
      </c>
      <c r="K221" s="62" t="b">
        <f t="shared" si="4"/>
        <v>0</v>
      </c>
      <c r="L221" s="62" t="b">
        <f t="shared" si="5"/>
        <v>0</v>
      </c>
      <c r="M221" s="60" t="str">
        <f>IFERROR(__xludf.DUMMYFUNCTION("if(regexmatch(B221,""e(.*)$""),regexextract(B221,""e(.*)$""),"""")"),"-10")</f>
        <v>-10</v>
      </c>
    </row>
    <row r="222">
      <c r="A222" s="80" t="s">
        <v>2495</v>
      </c>
      <c r="B222" s="80" t="s">
        <v>5205</v>
      </c>
      <c r="C222" s="80" t="s">
        <v>224</v>
      </c>
      <c r="D222" s="18" t="str">
        <f t="shared" si="1"/>
        <v>MeV</v>
      </c>
      <c r="E222" s="60" t="str">
        <f>VLOOKUP($A222,nist_names_ids!A:B,2,false)</f>
        <v>mnc2mev</v>
      </c>
      <c r="F222" s="61">
        <f>countif(Constants!A:A,E222)</f>
        <v>1</v>
      </c>
      <c r="G222" s="60" t="str">
        <f>IFERROR(__xludf.DUMMYFUNCTION("REGEXREPLACE(substitute(substitute(B222,"" "",""""),""..."",""""),""\(.*\)"","""")"),"939.565346")</f>
        <v>939.565346</v>
      </c>
      <c r="H222" s="62">
        <f t="shared" si="2"/>
        <v>939.565346</v>
      </c>
      <c r="I222" s="60" t="str">
        <f>IFERROR(__xludf.DUMMYFUNCTION("if(regexmatch($B222,""\(""),CONCATENATE(regexreplace(REGEXREPLACE(substitute(left($B222,find(""("",$B222)-1),"" "",""""),""\d"",""0""),""[-0]*\."",""0.""), REGEXEXTRACT($B222,""\((.*)\)""),TRIM(REGEXEXTRACT($B222,""\)(.*)""))),"""")"),"0.00000023")</f>
        <v>0.00000023</v>
      </c>
      <c r="J222" s="62">
        <f t="shared" si="3"/>
        <v>0.00000023</v>
      </c>
      <c r="K222" s="62" t="b">
        <f t="shared" si="4"/>
        <v>0</v>
      </c>
      <c r="L222" s="62" t="b">
        <f t="shared" si="5"/>
        <v>0</v>
      </c>
      <c r="M222" s="60" t="str">
        <f>IFERROR(__xludf.DUMMYFUNCTION("if(regexmatch(B222,""e(.*)$""),regexextract(B222,""e(.*)$""),"""")"),"")</f>
        <v/>
      </c>
    </row>
    <row r="223">
      <c r="A223" s="80" t="s">
        <v>2504</v>
      </c>
      <c r="B223" s="80" t="s">
        <v>5207</v>
      </c>
      <c r="C223" s="80" t="s">
        <v>249</v>
      </c>
      <c r="D223" s="18" t="str">
        <f t="shared" si="1"/>
        <v>u</v>
      </c>
      <c r="E223" s="60" t="str">
        <f>VLOOKUP($A223,nist_names_ids!A:B,2,false)</f>
        <v>mnu</v>
      </c>
      <c r="F223" s="61">
        <f>countif(Constants!A:A,E223)</f>
        <v>1</v>
      </c>
      <c r="G223" s="60" t="str">
        <f>IFERROR(__xludf.DUMMYFUNCTION("REGEXREPLACE(substitute(substitute(B223,"" "",""""),""..."",""""),""\(.*\)"","""")"),"1.00866491597")</f>
        <v>1.00866491597</v>
      </c>
      <c r="H223" s="62">
        <f t="shared" si="2"/>
        <v>1.008664916</v>
      </c>
      <c r="I223" s="60" t="str">
        <f>IFERROR(__xludf.DUMMYFUNCTION("if(regexmatch($B223,""\(""),CONCATENATE(regexreplace(REGEXREPLACE(substitute(left($B223,find(""("",$B223)-1),"" "",""""),""\d"",""0""),""[-0]*\."",""0.""), REGEXEXTRACT($B223,""\((.*)\)""),TRIM(REGEXEXTRACT($B223,""\)(.*)""))),"""")"),"0.0000000000043")</f>
        <v>0.0000000000043</v>
      </c>
      <c r="J223" s="62">
        <f t="shared" si="3"/>
        <v>0</v>
      </c>
      <c r="K223" s="62" t="b">
        <f t="shared" si="4"/>
        <v>0</v>
      </c>
      <c r="L223" s="62" t="b">
        <f t="shared" si="5"/>
        <v>0</v>
      </c>
      <c r="M223" s="60" t="str">
        <f>IFERROR(__xludf.DUMMYFUNCTION("if(regexmatch(B223,""e(.*)$""),regexextract(B223,""e(.*)$""),"""")"),"")</f>
        <v/>
      </c>
    </row>
    <row r="224">
      <c r="A224" s="80" t="s">
        <v>2508</v>
      </c>
      <c r="B224" s="80" t="s">
        <v>5208</v>
      </c>
      <c r="C224" s="80" t="s">
        <v>4309</v>
      </c>
      <c r="D224" s="18" t="str">
        <f t="shared" si="1"/>
        <v>kg mol^-1</v>
      </c>
      <c r="E224" s="60" t="str">
        <f>VLOOKUP($A224,nist_names_ids!A:B,2,false)</f>
        <v>mmn</v>
      </c>
      <c r="F224" s="61">
        <f>countif(Constants!A:A,E224)</f>
        <v>1</v>
      </c>
      <c r="G224" s="60" t="str">
        <f>IFERROR(__xludf.DUMMYFUNCTION("REGEXREPLACE(substitute(substitute(B224,"" "",""""),""..."",""""),""\(.*\)"","""")"),"1.00866491597e-3")</f>
        <v>1.00866491597e-3</v>
      </c>
      <c r="H224" s="62">
        <f t="shared" si="2"/>
        <v>0.001008664916</v>
      </c>
      <c r="I224" s="60" t="str">
        <f>IFERROR(__xludf.DUMMYFUNCTION("if(regexmatch($B224,""\(""),CONCATENATE(regexreplace(REGEXREPLACE(substitute(left($B224,find(""("",$B224)-1),"" "",""""),""\d"",""0""),""[-0]*\."",""0.""), REGEXEXTRACT($B224,""\((.*)\)""),TRIM(REGEXEXTRACT($B224,""\)(.*)""))),"""")"),"0.0000000000043e-3")</f>
        <v>0.0000000000043e-3</v>
      </c>
      <c r="J224" s="62">
        <f t="shared" si="3"/>
        <v>0</v>
      </c>
      <c r="K224" s="62" t="b">
        <f t="shared" si="4"/>
        <v>0</v>
      </c>
      <c r="L224" s="62" t="b">
        <f t="shared" si="5"/>
        <v>0</v>
      </c>
      <c r="M224" s="60" t="str">
        <f>IFERROR(__xludf.DUMMYFUNCTION("if(regexmatch(B224,""e(.*)$""),regexextract(B224,""e(.*)$""),"""")"),"-3")</f>
        <v>-3</v>
      </c>
    </row>
    <row r="225">
      <c r="A225" s="80" t="s">
        <v>3817</v>
      </c>
      <c r="B225" s="80" t="s">
        <v>5210</v>
      </c>
      <c r="C225" s="80"/>
      <c r="D225" s="18" t="str">
        <f t="shared" si="1"/>
        <v/>
      </c>
      <c r="E225" s="60" t="str">
        <f>VLOOKUP($A225,nist_names_ids!A:B,2,false)</f>
        <v>munsmupp</v>
      </c>
      <c r="F225" s="61">
        <f>countif(Constants!A:A,E225)</f>
        <v>1</v>
      </c>
      <c r="G225" s="60" t="str">
        <f>IFERROR(__xludf.DUMMYFUNCTION("REGEXREPLACE(substitute(substitute(B225,"" "",""""),""..."",""""),""\(.*\)"","""")"),"-0.68499694")</f>
        <v>-0.68499694</v>
      </c>
      <c r="H225" s="62">
        <f t="shared" si="2"/>
        <v>-0.68499694</v>
      </c>
      <c r="I225" s="60" t="str">
        <f>IFERROR(__xludf.DUMMYFUNCTION("if(regexmatch($B225,""\(""),CONCATENATE(regexreplace(REGEXREPLACE(substitute(left($B225,find(""("",$B225)-1),"" "",""""),""\d"",""0""),""[-0]*\."",""0.""), REGEXEXTRACT($B225,""\((.*)\)""),TRIM(REGEXEXTRACT($B225,""\)(.*)""))),"""")"),"0.0000000016")</f>
        <v>0.0000000016</v>
      </c>
      <c r="J225" s="62">
        <f t="shared" si="3"/>
        <v>0.0000000016</v>
      </c>
      <c r="K225" s="62" t="b">
        <f t="shared" si="4"/>
        <v>0</v>
      </c>
      <c r="L225" s="62" t="b">
        <f t="shared" si="5"/>
        <v>0</v>
      </c>
      <c r="M225" s="60" t="str">
        <f>IFERROR(__xludf.DUMMYFUNCTION("if(regexmatch(B225,""e(.*)$""),regexextract(B225,""e(.*)$""),"""")"),"")</f>
        <v/>
      </c>
    </row>
    <row r="226">
      <c r="A226" s="80" t="s">
        <v>3834</v>
      </c>
      <c r="B226" s="80" t="s">
        <v>5212</v>
      </c>
      <c r="C226" s="80"/>
      <c r="D226" s="18" t="str">
        <f t="shared" si="1"/>
        <v/>
      </c>
      <c r="E226" s="60" t="str">
        <f>VLOOKUP($A226,nist_names_ids!A:B,2,false)</f>
        <v>munsmue</v>
      </c>
      <c r="F226" s="61">
        <f>countif(Constants!A:A,E226)</f>
        <v>1</v>
      </c>
      <c r="G226" s="60" t="str">
        <f>IFERROR(__xludf.DUMMYFUNCTION("REGEXREPLACE(substitute(substitute(B226,"" "",""""),""..."",""""),""\(.*\)"","""")"),"1.04066882e-3")</f>
        <v>1.04066882e-3</v>
      </c>
      <c r="H226" s="62">
        <f t="shared" si="2"/>
        <v>0.00104066882</v>
      </c>
      <c r="I226" s="60" t="str">
        <f>IFERROR(__xludf.DUMMYFUNCTION("if(regexmatch($B226,""\(""),CONCATENATE(regexreplace(REGEXREPLACE(substitute(left($B226,find(""("",$B226)-1),"" "",""""),""\d"",""0""),""[-0]*\."",""0.""), REGEXEXTRACT($B226,""\((.*)\)""),TRIM(REGEXEXTRACT($B226,""\)(.*)""))),"""")"),"0.0000000025e-3")</f>
        <v>0.0000000025e-3</v>
      </c>
      <c r="J226" s="62">
        <f t="shared" si="3"/>
        <v>0</v>
      </c>
      <c r="K226" s="62" t="b">
        <f t="shared" si="4"/>
        <v>0</v>
      </c>
      <c r="L226" s="62" t="b">
        <f t="shared" si="5"/>
        <v>0</v>
      </c>
      <c r="M226" s="60" t="str">
        <f>IFERROR(__xludf.DUMMYFUNCTION("if(regexmatch(B226,""e(.*)$""),regexextract(B226,""e(.*)$""),"""")"),"-3")</f>
        <v>-3</v>
      </c>
    </row>
    <row r="227">
      <c r="A227" s="80" t="s">
        <v>2448</v>
      </c>
      <c r="B227" s="80" t="s">
        <v>5213</v>
      </c>
      <c r="C227" s="80"/>
      <c r="D227" s="18" t="str">
        <f t="shared" si="1"/>
        <v/>
      </c>
      <c r="E227" s="60" t="str">
        <f>VLOOKUP($A227,nist_names_ids!A:B,2,false)</f>
        <v>mnsme</v>
      </c>
      <c r="F227" s="61">
        <f>countif(Constants!A:A,E227)</f>
        <v>1</v>
      </c>
      <c r="G227" s="60" t="str">
        <f>IFERROR(__xludf.DUMMYFUNCTION("REGEXREPLACE(substitute(substitute(B227,"" "",""""),""..."",""""),""\(.*\)"","""")"),"1838.6836605")</f>
        <v>1838.6836605</v>
      </c>
      <c r="H227" s="62">
        <f t="shared" si="2"/>
        <v>1838.683661</v>
      </c>
      <c r="I227" s="60" t="str">
        <f>IFERROR(__xludf.DUMMYFUNCTION("if(regexmatch($B227,""\(""),CONCATENATE(regexreplace(REGEXREPLACE(substitute(left($B227,find(""("",$B227)-1),"" "",""""),""\d"",""0""),""[-0]*\."",""0.""), REGEXEXTRACT($B227,""\((.*)\)""),TRIM(REGEXEXTRACT($B227,""\)(.*)""))),"""")"),"0.000000011")</f>
        <v>0.000000011</v>
      </c>
      <c r="J227" s="62">
        <f t="shared" si="3"/>
        <v>0.000000011</v>
      </c>
      <c r="K227" s="62" t="b">
        <f t="shared" si="4"/>
        <v>0</v>
      </c>
      <c r="L227" s="62" t="b">
        <f t="shared" si="5"/>
        <v>0</v>
      </c>
      <c r="M227" s="60" t="str">
        <f>IFERROR(__xludf.DUMMYFUNCTION("if(regexmatch(B227,""e(.*)$""),regexextract(B227,""e(.*)$""),"""")"),"")</f>
        <v/>
      </c>
    </row>
    <row r="228">
      <c r="A228" s="80" t="s">
        <v>2513</v>
      </c>
      <c r="B228" s="80" t="s">
        <v>5219</v>
      </c>
      <c r="C228" s="80"/>
      <c r="D228" s="18" t="str">
        <f t="shared" si="1"/>
        <v/>
      </c>
      <c r="E228" s="60" t="str">
        <f>VLOOKUP($A228,nist_names_ids!A:B,2,false)</f>
        <v>mnsmmu</v>
      </c>
      <c r="F228" s="61">
        <f>countif(Constants!A:A,E228)</f>
        <v>1</v>
      </c>
      <c r="G228" s="60" t="str">
        <f>IFERROR(__xludf.DUMMYFUNCTION("REGEXREPLACE(substitute(substitute(B228,"" "",""""),""..."",""""),""\(.*\)"","""")"),"8.89248409")</f>
        <v>8.89248409</v>
      </c>
      <c r="H228" s="62">
        <f t="shared" si="2"/>
        <v>8.89248409</v>
      </c>
      <c r="I228" s="60" t="str">
        <f>IFERROR(__xludf.DUMMYFUNCTION("if(regexmatch($B228,""\(""),CONCATENATE(regexreplace(REGEXREPLACE(substitute(left($B228,find(""("",$B228)-1),"" "",""""),""\d"",""0""),""[-0]*\."",""0.""), REGEXEXTRACT($B228,""\((.*)\)""),TRIM(REGEXEXTRACT($B228,""\)(.*)""))),"""")"),"0.0000000023")</f>
        <v>0.0000000023</v>
      </c>
      <c r="J228" s="62">
        <f t="shared" si="3"/>
        <v>0.0000000023</v>
      </c>
      <c r="K228" s="62" t="b">
        <f t="shared" si="4"/>
        <v>0</v>
      </c>
      <c r="L228" s="62" t="b">
        <f t="shared" si="5"/>
        <v>0</v>
      </c>
      <c r="M228" s="60" t="str">
        <f>IFERROR(__xludf.DUMMYFUNCTION("if(regexmatch(B228,""e(.*)$""),regexextract(B228,""e(.*)$""),"""")"),"")</f>
        <v/>
      </c>
    </row>
    <row r="229">
      <c r="A229" s="80" t="s">
        <v>3868</v>
      </c>
      <c r="B229" s="80" t="s">
        <v>5221</v>
      </c>
      <c r="C229" s="80"/>
      <c r="D229" s="18" t="str">
        <f t="shared" si="1"/>
        <v/>
      </c>
      <c r="E229" s="60" t="str">
        <f>VLOOKUP($A229,nist_names_ids!A:B,2,false)</f>
        <v>munsmup</v>
      </c>
      <c r="F229" s="61">
        <f>countif(Constants!A:A,E229)</f>
        <v>1</v>
      </c>
      <c r="G229" s="60" t="str">
        <f>IFERROR(__xludf.DUMMYFUNCTION("REGEXREPLACE(substitute(substitute(B229,"" "",""""),""..."",""""),""\(.*\)"","""")"),"-0.68497934")</f>
        <v>-0.68497934</v>
      </c>
      <c r="H229" s="62">
        <f t="shared" si="2"/>
        <v>-0.68497934</v>
      </c>
      <c r="I229" s="60" t="str">
        <f>IFERROR(__xludf.DUMMYFUNCTION("if(regexmatch($B229,""\(""),CONCATENATE(regexreplace(REGEXREPLACE(substitute(left($B229,find(""("",$B229)-1),"" "",""""),""\d"",""0""),""[-0]*\."",""0.""), REGEXEXTRACT($B229,""\((.*)\)""),TRIM(REGEXEXTRACT($B229,""\)(.*)""))),"""")"),"0.0000000016")</f>
        <v>0.0000000016</v>
      </c>
      <c r="J229" s="62">
        <f t="shared" si="3"/>
        <v>0.0000000016</v>
      </c>
      <c r="K229" s="62" t="b">
        <f t="shared" si="4"/>
        <v>0</v>
      </c>
      <c r="L229" s="62" t="b">
        <f t="shared" si="5"/>
        <v>0</v>
      </c>
      <c r="M229" s="60" t="str">
        <f>IFERROR(__xludf.DUMMYFUNCTION("if(regexmatch(B229,""e(.*)$""),regexextract(B229,""e(.*)$""),"""")"),"")</f>
        <v/>
      </c>
    </row>
    <row r="230">
      <c r="A230" s="80" t="s">
        <v>2544</v>
      </c>
      <c r="B230" s="80" t="s">
        <v>5223</v>
      </c>
      <c r="C230" s="80"/>
      <c r="D230" s="18" t="str">
        <f t="shared" si="1"/>
        <v/>
      </c>
      <c r="E230" s="60" t="str">
        <f>VLOOKUP($A230,nist_names_ids!A:B,2,false)</f>
        <v>mnsmp</v>
      </c>
      <c r="F230" s="61">
        <f>countif(Constants!A:A,E230)</f>
        <v>1</v>
      </c>
      <c r="G230" s="60" t="str">
        <f>IFERROR(__xludf.DUMMYFUNCTION("REGEXREPLACE(substitute(substitute(B230,"" "",""""),""..."",""""),""\(.*\)"","""")"),"1.00137841918")</f>
        <v>1.00137841918</v>
      </c>
      <c r="H230" s="62">
        <f t="shared" si="2"/>
        <v>1.001378419</v>
      </c>
      <c r="I230" s="60" t="str">
        <f>IFERROR(__xludf.DUMMYFUNCTION("if(regexmatch($B230,""\(""),CONCATENATE(regexreplace(REGEXREPLACE(substitute(left($B230,find(""("",$B230)-1),"" "",""""),""\d"",""0""),""[-0]*\."",""0.""), REGEXEXTRACT($B230,""\((.*)\)""),TRIM(REGEXEXTRACT($B230,""\)(.*)""))),"""")"),"0.0000000000046")</f>
        <v>0.0000000000046</v>
      </c>
      <c r="J230" s="62">
        <f t="shared" si="3"/>
        <v>0</v>
      </c>
      <c r="K230" s="62" t="b">
        <f t="shared" si="4"/>
        <v>0</v>
      </c>
      <c r="L230" s="62" t="b">
        <f t="shared" si="5"/>
        <v>0</v>
      </c>
      <c r="M230" s="60" t="str">
        <f>IFERROR(__xludf.DUMMYFUNCTION("if(regexmatch(B230,""e(.*)$""),regexextract(B230,""e(.*)$""),"""")"),"")</f>
        <v/>
      </c>
    </row>
    <row r="231">
      <c r="A231" s="80" t="s">
        <v>2551</v>
      </c>
      <c r="B231" s="80" t="s">
        <v>5224</v>
      </c>
      <c r="C231" s="80"/>
      <c r="D231" s="18" t="str">
        <f t="shared" si="1"/>
        <v/>
      </c>
      <c r="E231" s="60" t="str">
        <f>VLOOKUP($A231,nist_names_ids!A:B,2,false)</f>
        <v>mnsmtau</v>
      </c>
      <c r="F231" s="61">
        <f>countif(Constants!A:A,E231)</f>
        <v>1</v>
      </c>
      <c r="G231" s="60" t="str">
        <f>IFERROR(__xludf.DUMMYFUNCTION("REGEXREPLACE(substitute(substitute(B231,"" "",""""),""..."",""""),""\(.*\)"","""")"),"0.528740")</f>
        <v>0.528740</v>
      </c>
      <c r="H231" s="62">
        <f t="shared" si="2"/>
        <v>0.52874</v>
      </c>
      <c r="I231" s="60" t="str">
        <f>IFERROR(__xludf.DUMMYFUNCTION("if(regexmatch($B231,""\(""),CONCATENATE(regexreplace(REGEXREPLACE(substitute(left($B231,find(""("",$B231)-1),"" "",""""),""\d"",""0""),""[-0]*\."",""0.""), REGEXEXTRACT($B231,""\((.*)\)""),TRIM(REGEXEXTRACT($B231,""\)(.*)""))),"""")"),"0.00000086")</f>
        <v>0.00000086</v>
      </c>
      <c r="J231" s="62">
        <f t="shared" si="3"/>
        <v>0.00000086</v>
      </c>
      <c r="K231" s="62" t="b">
        <f t="shared" si="4"/>
        <v>0</v>
      </c>
      <c r="L231" s="62" t="b">
        <f t="shared" si="5"/>
        <v>0</v>
      </c>
      <c r="M231" s="60" t="str">
        <f>IFERROR(__xludf.DUMMYFUNCTION("if(regexmatch(B231,""e(.*)$""),regexextract(B231,""e(.*)$""),"""")"),"")</f>
        <v/>
      </c>
    </row>
    <row r="232">
      <c r="A232" s="80" t="s">
        <v>2558</v>
      </c>
      <c r="B232" s="80" t="s">
        <v>5226</v>
      </c>
      <c r="C232" s="80" t="s">
        <v>5227</v>
      </c>
      <c r="D232" s="18" t="str">
        <f t="shared" si="1"/>
        <v>m^3 kg^-1 s^-2</v>
      </c>
      <c r="E232" s="60" t="str">
        <f>VLOOKUP($A232,nist_names_ids!A:B,2,false)</f>
        <v>bg</v>
      </c>
      <c r="F232" s="61">
        <f>countif(Constants!A:A,E232)</f>
        <v>1</v>
      </c>
      <c r="G232" s="60" t="str">
        <f>IFERROR(__xludf.DUMMYFUNCTION("REGEXREPLACE(substitute(substitute(B232,"" "",""""),""..."",""""),""\(.*\)"","""")"),"6.67428e-11")</f>
        <v>6.67428e-11</v>
      </c>
      <c r="H232" s="62">
        <f t="shared" si="2"/>
        <v>0</v>
      </c>
      <c r="I232" s="60" t="str">
        <f>IFERROR(__xludf.DUMMYFUNCTION("if(regexmatch($B232,""\(""),CONCATENATE(regexreplace(REGEXREPLACE(substitute(left($B232,find(""("",$B232)-1),"" "",""""),""\d"",""0""),""[-0]*\."",""0.""), REGEXEXTRACT($B232,""\((.*)\)""),TRIM(REGEXEXTRACT($B232,""\)(.*)""))),"""")"),"0.0000067e-11")</f>
        <v>0.0000067e-11</v>
      </c>
      <c r="J232" s="62">
        <f t="shared" si="3"/>
        <v>0</v>
      </c>
      <c r="K232" s="62" t="b">
        <f t="shared" si="4"/>
        <v>0</v>
      </c>
      <c r="L232" s="62" t="b">
        <f t="shared" si="5"/>
        <v>0</v>
      </c>
      <c r="M232" s="60" t="str">
        <f>IFERROR(__xludf.DUMMYFUNCTION("if(regexmatch(B232,""e(.*)$""),regexextract(B232,""e(.*)$""),"""")"),"-11")</f>
        <v>-11</v>
      </c>
    </row>
    <row r="233">
      <c r="A233" s="80" t="s">
        <v>2566</v>
      </c>
      <c r="B233" s="80" t="s">
        <v>5229</v>
      </c>
      <c r="C233" s="80" t="s">
        <v>5230</v>
      </c>
      <c r="D233" s="18" t="str">
        <f t="shared" si="1"/>
        <v>(GeV/c^2)^-2</v>
      </c>
      <c r="E233" s="60" t="str">
        <f>VLOOKUP($A233,nist_names_ids!A:B,2,false)</f>
        <v>bgspu</v>
      </c>
      <c r="F233" s="61">
        <f>countif(Constants!A:A,E233)</f>
        <v>1</v>
      </c>
      <c r="G233" s="60" t="str">
        <f>IFERROR(__xludf.DUMMYFUNCTION("REGEXREPLACE(substitute(substitute(B233,"" "",""""),""..."",""""),""\(.*\)"","""")"),"6.70881e-39")</f>
        <v>6.70881e-39</v>
      </c>
      <c r="H233" s="62">
        <f t="shared" si="2"/>
        <v>0</v>
      </c>
      <c r="I233" s="60" t="str">
        <f>IFERROR(__xludf.DUMMYFUNCTION("if(regexmatch($B233,""\(""),CONCATENATE(regexreplace(REGEXREPLACE(substitute(left($B233,find(""("",$B233)-1),"" "",""""),""\d"",""0""),""[-0]*\."",""0.""), REGEXEXTRACT($B233,""\((.*)\)""),TRIM(REGEXEXTRACT($B233,""\)(.*)""))),"""")"),"0.0000067e-39")</f>
        <v>0.0000067e-39</v>
      </c>
      <c r="J233" s="62">
        <f t="shared" si="3"/>
        <v>0</v>
      </c>
      <c r="K233" s="62" t="b">
        <f t="shared" si="4"/>
        <v>0</v>
      </c>
      <c r="L233" s="62" t="b">
        <f t="shared" si="5"/>
        <v>0</v>
      </c>
      <c r="M233" s="60" t="str">
        <f>IFERROR(__xludf.DUMMYFUNCTION("if(regexmatch(B233,""e(.*)$""),regexextract(B233,""e(.*)$""),"""")"),"-39")</f>
        <v>-39</v>
      </c>
    </row>
    <row r="234">
      <c r="A234" s="80" t="s">
        <v>2572</v>
      </c>
      <c r="B234" s="80" t="s">
        <v>5232</v>
      </c>
      <c r="C234" s="80" t="s">
        <v>4421</v>
      </c>
      <c r="D234" s="18" t="str">
        <f t="shared" si="1"/>
        <v>J T^-1</v>
      </c>
      <c r="E234" s="60" t="str">
        <f>VLOOKUP($A234,nist_names_ids!A:B,2,false)</f>
        <v>mun</v>
      </c>
      <c r="F234" s="61">
        <f>countif(Constants!A:A,E234)</f>
        <v>1</v>
      </c>
      <c r="G234" s="60" t="str">
        <f>IFERROR(__xludf.DUMMYFUNCTION("REGEXREPLACE(substitute(substitute(B234,"" "",""""),""..."",""""),""\(.*\)"","""")"),"5.05078324e-27")</f>
        <v>5.05078324e-27</v>
      </c>
      <c r="H234" s="62">
        <f t="shared" si="2"/>
        <v>0</v>
      </c>
      <c r="I234" s="60" t="str">
        <f>IFERROR(__xludf.DUMMYFUNCTION("if(regexmatch($B234,""\(""),CONCATENATE(regexreplace(REGEXREPLACE(substitute(left($B234,find(""("",$B234)-1),"" "",""""),""\d"",""0""),""[-0]*\."",""0.""), REGEXEXTRACT($B234,""\((.*)\)""),TRIM(REGEXEXTRACT($B234,""\)(.*)""))),"""")"),"0.0000000013e-27")</f>
        <v>0.0000000013e-27</v>
      </c>
      <c r="J234" s="62">
        <f t="shared" si="3"/>
        <v>0</v>
      </c>
      <c r="K234" s="62" t="b">
        <f t="shared" si="4"/>
        <v>0</v>
      </c>
      <c r="L234" s="62" t="b">
        <f t="shared" si="5"/>
        <v>0</v>
      </c>
      <c r="M234" s="60" t="str">
        <f>IFERROR(__xludf.DUMMYFUNCTION("if(regexmatch(B234,""e(.*)$""),regexextract(B234,""e(.*)$""),"""")"),"-27")</f>
        <v>-27</v>
      </c>
    </row>
    <row r="235">
      <c r="A235" s="80" t="s">
        <v>2586</v>
      </c>
      <c r="B235" s="80" t="s">
        <v>5235</v>
      </c>
      <c r="C235" s="80" t="s">
        <v>4461</v>
      </c>
      <c r="D235" s="18" t="str">
        <f t="shared" si="1"/>
        <v>K T^-1</v>
      </c>
      <c r="E235" s="60" t="str">
        <f>VLOOKUP($A235,nist_names_ids!A:B,2,false)</f>
        <v>munskk</v>
      </c>
      <c r="F235" s="61">
        <f>countif(Constants!A:A,E235)</f>
        <v>1</v>
      </c>
      <c r="G235" s="60" t="str">
        <f>IFERROR(__xludf.DUMMYFUNCTION("REGEXREPLACE(substitute(substitute(B235,"" "",""""),""..."",""""),""\(.*\)"","""")"),"3.6582637e-4")</f>
        <v>3.6582637e-4</v>
      </c>
      <c r="H235" s="62">
        <f t="shared" si="2"/>
        <v>0.00036582637</v>
      </c>
      <c r="I235" s="60" t="str">
        <f>IFERROR(__xludf.DUMMYFUNCTION("if(regexmatch($B235,""\(""),CONCATENATE(regexreplace(REGEXREPLACE(substitute(left($B235,find(""("",$B235)-1),"" "",""""),""\d"",""0""),""[-0]*\."",""0.""), REGEXEXTRACT($B235,""\((.*)\)""),TRIM(REGEXEXTRACT($B235,""\)(.*)""))),"""")"),"0.000000064e-4")</f>
        <v>0.000000064e-4</v>
      </c>
      <c r="J235" s="62">
        <f t="shared" si="3"/>
        <v>0</v>
      </c>
      <c r="K235" s="62" t="b">
        <f t="shared" si="4"/>
        <v>0</v>
      </c>
      <c r="L235" s="62" t="b">
        <f t="shared" si="5"/>
        <v>0</v>
      </c>
      <c r="M235" s="60" t="str">
        <f>IFERROR(__xludf.DUMMYFUNCTION("if(regexmatch(B235,""e(.*)$""),regexextract(B235,""e(.*)$""),"""")"),"-4")</f>
        <v>-4</v>
      </c>
    </row>
    <row r="236">
      <c r="A236" s="80" t="s">
        <v>2589</v>
      </c>
      <c r="B236" s="80" t="s">
        <v>5237</v>
      </c>
      <c r="C236" s="80" t="s">
        <v>4602</v>
      </c>
      <c r="D236" s="18" t="str">
        <f t="shared" si="1"/>
        <v>MHz T^-1</v>
      </c>
      <c r="E236" s="60" t="str">
        <f>VLOOKUP($A236,nist_names_ids!A:B,2,false)</f>
        <v>munshhz</v>
      </c>
      <c r="F236" s="61">
        <f>countif(Constants!A:A,E236)</f>
        <v>1</v>
      </c>
      <c r="G236" s="60" t="str">
        <f>IFERROR(__xludf.DUMMYFUNCTION("REGEXREPLACE(substitute(substitute(B236,"" "",""""),""..."",""""),""\(.*\)"","""")"),"7.62259384")</f>
        <v>7.62259384</v>
      </c>
      <c r="H236" s="62">
        <f t="shared" si="2"/>
        <v>7.62259384</v>
      </c>
      <c r="I236" s="60" t="str">
        <f>IFERROR(__xludf.DUMMYFUNCTION("if(regexmatch($B236,""\(""),CONCATENATE(regexreplace(REGEXREPLACE(substitute(left($B236,find(""("",$B236)-1),"" "",""""),""\d"",""0""),""[-0]*\."",""0.""), REGEXEXTRACT($B236,""\((.*)\)""),TRIM(REGEXEXTRACT($B236,""\)(.*)""))),"""")"),"0.0000000019")</f>
        <v>0.0000000019</v>
      </c>
      <c r="J236" s="62">
        <f t="shared" si="3"/>
        <v>0.0000000019</v>
      </c>
      <c r="K236" s="62" t="b">
        <f t="shared" si="4"/>
        <v>0</v>
      </c>
      <c r="L236" s="62" t="b">
        <f t="shared" si="5"/>
        <v>0</v>
      </c>
      <c r="M236" s="60" t="str">
        <f>IFERROR(__xludf.DUMMYFUNCTION("if(regexmatch(B236,""e(.*)$""),regexextract(B236,""e(.*)$""),"""")"),"")</f>
        <v/>
      </c>
    </row>
    <row r="237">
      <c r="A237" s="80" t="s">
        <v>2578</v>
      </c>
      <c r="B237" s="80" t="s">
        <v>5239</v>
      </c>
      <c r="C237" s="80" t="s">
        <v>4469</v>
      </c>
      <c r="D237" s="18" t="str">
        <f t="shared" si="1"/>
        <v>eV T^-1</v>
      </c>
      <c r="E237" s="60" t="str">
        <f>VLOOKUP($A237,nist_names_ids!A:B,2,false)</f>
        <v>munev</v>
      </c>
      <c r="F237" s="61">
        <f>countif(Constants!A:A,E237)</f>
        <v>1</v>
      </c>
      <c r="G237" s="60" t="str">
        <f>IFERROR(__xludf.DUMMYFUNCTION("REGEXREPLACE(substitute(substitute(B237,"" "",""""),""..."",""""),""\(.*\)"","""")"),"3.1524512326e-8")</f>
        <v>3.1524512326e-8</v>
      </c>
      <c r="H237" s="62">
        <f t="shared" si="2"/>
        <v>0.00000003152451233</v>
      </c>
      <c r="I237" s="60" t="str">
        <f>IFERROR(__xludf.DUMMYFUNCTION("if(regexmatch($B237,""\(""),CONCATENATE(regexreplace(REGEXREPLACE(substitute(left($B237,find(""("",$B237)-1),"" "",""""),""\d"",""0""),""[-0]*\."",""0.""), REGEXEXTRACT($B237,""\((.*)\)""),TRIM(REGEXEXTRACT($B237,""\)(.*)""))),"""")"),"0.000000000045e-8")</f>
        <v>0.000000000045e-8</v>
      </c>
      <c r="J237" s="62">
        <f t="shared" si="3"/>
        <v>0</v>
      </c>
      <c r="K237" s="62" t="b">
        <f t="shared" si="4"/>
        <v>0</v>
      </c>
      <c r="L237" s="62" t="b">
        <f t="shared" si="5"/>
        <v>0</v>
      </c>
      <c r="M237" s="60" t="str">
        <f>IFERROR(__xludf.DUMMYFUNCTION("if(regexmatch(B237,""e(.*)$""),regexextract(B237,""e(.*)$""),"""")"),"-8")</f>
        <v>-8</v>
      </c>
    </row>
    <row r="238">
      <c r="A238" s="80" t="s">
        <v>3969</v>
      </c>
      <c r="B238" s="80" t="s">
        <v>5243</v>
      </c>
      <c r="C238" s="80" t="s">
        <v>4474</v>
      </c>
      <c r="D238" s="18" t="str">
        <f t="shared" si="1"/>
        <v>m^-1 T^-1</v>
      </c>
      <c r="E238" s="60" t="str">
        <f>VLOOKUP($A238,nist_names_ids!A:B,2,false)</f>
        <v>munshcminv</v>
      </c>
      <c r="F238" s="61">
        <f>countif(Constants!A:A,E238)</f>
        <v>1</v>
      </c>
      <c r="G238" s="60" t="str">
        <f>IFERROR(__xludf.DUMMYFUNCTION("REGEXREPLACE(substitute(substitute(B238,"" "",""""),""..."",""""),""\(.*\)"","""")"),"2.542623616e-2")</f>
        <v>2.542623616e-2</v>
      </c>
      <c r="H238" s="62">
        <f t="shared" si="2"/>
        <v>0.02542623616</v>
      </c>
      <c r="I238" s="60" t="str">
        <f>IFERROR(__xludf.DUMMYFUNCTION("if(regexmatch($B238,""\(""),CONCATENATE(regexreplace(REGEXREPLACE(substitute(left($B238,find(""("",$B238)-1),"" "",""""),""\d"",""0""),""[-0]*\."",""0.""), REGEXEXTRACT($B238,""\((.*)\)""),TRIM(REGEXEXTRACT($B238,""\)(.*)""))),"""")"),"0.00000000064e-2")</f>
        <v>0.00000000064e-2</v>
      </c>
      <c r="J238" s="62">
        <f t="shared" si="3"/>
        <v>0</v>
      </c>
      <c r="K238" s="62" t="b">
        <f t="shared" si="4"/>
        <v>0</v>
      </c>
      <c r="L238" s="62" t="b">
        <f t="shared" si="5"/>
        <v>0</v>
      </c>
      <c r="M238" s="60" t="str">
        <f>IFERROR(__xludf.DUMMYFUNCTION("if(regexmatch(B238,""e(.*)$""),regexextract(B238,""e(.*)$""),"""")"),"-2")</f>
        <v>-2</v>
      </c>
    </row>
    <row r="239">
      <c r="A239" s="80" t="s">
        <v>2595</v>
      </c>
      <c r="B239" s="80" t="s">
        <v>4930</v>
      </c>
      <c r="C239" s="80" t="s">
        <v>714</v>
      </c>
      <c r="D239" s="18" t="str">
        <f t="shared" si="1"/>
        <v>J s</v>
      </c>
      <c r="E239" s="60" t="str">
        <f>VLOOKUP($A239,nist_names_ids!A:B,2,false)</f>
        <v>h</v>
      </c>
      <c r="F239" s="61">
        <f>countif(Constants!A:A,E239)</f>
        <v>1</v>
      </c>
      <c r="G239" s="60" t="str">
        <f>IFERROR(__xludf.DUMMYFUNCTION("REGEXREPLACE(substitute(substitute(B239,"" "",""""),""..."",""""),""\(.*\)"","""")"),"6.62606896e-34")</f>
        <v>6.62606896e-34</v>
      </c>
      <c r="H239" s="62">
        <f t="shared" si="2"/>
        <v>0</v>
      </c>
      <c r="I239" s="60" t="str">
        <f>IFERROR(__xludf.DUMMYFUNCTION("if(regexmatch($B239,""\(""),CONCATENATE(regexreplace(REGEXREPLACE(substitute(left($B239,find(""("",$B239)-1),"" "",""""),""\d"",""0""),""[-0]*\."",""0.""), REGEXEXTRACT($B239,""\((.*)\)""),TRIM(REGEXEXTRACT($B239,""\)(.*)""))),"""")"),"0.0000000033e-34")</f>
        <v>0.0000000033e-34</v>
      </c>
      <c r="J239" s="62">
        <f t="shared" si="3"/>
        <v>0</v>
      </c>
      <c r="K239" s="62" t="b">
        <f t="shared" si="4"/>
        <v>0</v>
      </c>
      <c r="L239" s="62" t="b">
        <f t="shared" si="5"/>
        <v>0</v>
      </c>
      <c r="M239" s="60" t="str">
        <f>IFERROR(__xludf.DUMMYFUNCTION("if(regexmatch(B239,""e(.*)$""),regexextract(B239,""e(.*)$""),"""")"),"-34")</f>
        <v>-34</v>
      </c>
    </row>
    <row r="240">
      <c r="A240" s="80" t="s">
        <v>3997</v>
      </c>
      <c r="B240" s="80" t="s">
        <v>4908</v>
      </c>
      <c r="C240" s="80" t="s">
        <v>2402</v>
      </c>
      <c r="D240" s="18" t="str">
        <f t="shared" si="1"/>
        <v>eV s</v>
      </c>
      <c r="E240" s="60" t="str">
        <f>VLOOKUP($A240,nist_names_ids!A:B,2,false)</f>
        <v>hev</v>
      </c>
      <c r="F240" s="61">
        <f>countif(Constants!A:A,E240)</f>
        <v>1</v>
      </c>
      <c r="G240" s="60" t="str">
        <f>IFERROR(__xludf.DUMMYFUNCTION("REGEXREPLACE(substitute(substitute(B240,"" "",""""),""..."",""""),""\(.*\)"","""")"),"4.13566733e-15")</f>
        <v>4.13566733e-15</v>
      </c>
      <c r="H240" s="62">
        <f t="shared" si="2"/>
        <v>0</v>
      </c>
      <c r="I240" s="60" t="str">
        <f>IFERROR(__xludf.DUMMYFUNCTION("if(regexmatch($B240,""\(""),CONCATENATE(regexreplace(REGEXREPLACE(substitute(left($B240,find(""("",$B240)-1),"" "",""""),""\d"",""0""),""[-0]*\."",""0.""), REGEXEXTRACT($B240,""\((.*)\)""),TRIM(REGEXEXTRACT($B240,""\)(.*)""))),"""")"),"0.0000000010e-15")</f>
        <v>0.0000000010e-15</v>
      </c>
      <c r="J240" s="62">
        <f t="shared" si="3"/>
        <v>0</v>
      </c>
      <c r="K240" s="62" t="b">
        <f t="shared" si="4"/>
        <v>0</v>
      </c>
      <c r="L240" s="62" t="b">
        <f t="shared" si="5"/>
        <v>0</v>
      </c>
      <c r="M240" s="60" t="str">
        <f>IFERROR(__xludf.DUMMYFUNCTION("if(regexmatch(B240,""e(.*)$""),regexextract(B240,""e(.*)$""),"""")"),"-15")</f>
        <v>-15</v>
      </c>
    </row>
    <row r="241">
      <c r="A241" s="80" t="s">
        <v>3998</v>
      </c>
      <c r="B241" s="80" t="s">
        <v>4384</v>
      </c>
      <c r="C241" s="80" t="s">
        <v>714</v>
      </c>
      <c r="D241" s="18" t="str">
        <f t="shared" si="1"/>
        <v>J s</v>
      </c>
      <c r="E241" s="60" t="str">
        <f>VLOOKUP($A241,nist_names_ids!A:B,2,false)</f>
        <v>hbar</v>
      </c>
      <c r="F241" s="61">
        <f>countif(Constants!A:A,E241)</f>
        <v>1</v>
      </c>
      <c r="G241" s="60" t="str">
        <f>IFERROR(__xludf.DUMMYFUNCTION("REGEXREPLACE(substitute(substitute(B241,"" "",""""),""..."",""""),""\(.*\)"","""")"),"1.054571628e-34")</f>
        <v>1.054571628e-34</v>
      </c>
      <c r="H241" s="62">
        <f t="shared" si="2"/>
        <v>0</v>
      </c>
      <c r="I241" s="60" t="str">
        <f>IFERROR(__xludf.DUMMYFUNCTION("if(regexmatch($B241,""\(""),CONCATENATE(regexreplace(REGEXREPLACE(substitute(left($B241,find(""("",$B241)-1),"" "",""""),""\d"",""0""),""[-0]*\."",""0.""), REGEXEXTRACT($B241,""\((.*)\)""),TRIM(REGEXEXTRACT($B241,""\)(.*)""))),"""")"),"0.00000000053e-34")</f>
        <v>0.00000000053e-34</v>
      </c>
      <c r="J241" s="62">
        <f t="shared" si="3"/>
        <v>0</v>
      </c>
      <c r="K241" s="62" t="b">
        <f t="shared" si="4"/>
        <v>0</v>
      </c>
      <c r="L241" s="62" t="b">
        <f t="shared" si="5"/>
        <v>0</v>
      </c>
      <c r="M241" s="60" t="str">
        <f>IFERROR(__xludf.DUMMYFUNCTION("if(regexmatch(B241,""e(.*)$""),regexextract(B241,""e(.*)$""),"""")"),"-34")</f>
        <v>-34</v>
      </c>
    </row>
    <row r="242">
      <c r="A242" s="80" t="s">
        <v>3999</v>
      </c>
      <c r="B242" s="80" t="s">
        <v>5176</v>
      </c>
      <c r="C242" s="80" t="s">
        <v>2402</v>
      </c>
      <c r="D242" s="18" t="str">
        <f t="shared" si="1"/>
        <v>eV s</v>
      </c>
      <c r="E242" s="60" t="str">
        <f>VLOOKUP($A242,nist_names_ids!A:B,2,false)</f>
        <v>hbarev</v>
      </c>
      <c r="F242" s="61">
        <f>countif(Constants!A:A,E242)</f>
        <v>1</v>
      </c>
      <c r="G242" s="60" t="str">
        <f>IFERROR(__xludf.DUMMYFUNCTION("REGEXREPLACE(substitute(substitute(B242,"" "",""""),""..."",""""),""\(.*\)"","""")"),"6.58211899e-16")</f>
        <v>6.58211899e-16</v>
      </c>
      <c r="H242" s="62">
        <f t="shared" si="2"/>
        <v>0</v>
      </c>
      <c r="I242" s="60" t="str">
        <f>IFERROR(__xludf.DUMMYFUNCTION("if(regexmatch($B242,""\(""),CONCATENATE(regexreplace(REGEXREPLACE(substitute(left($B242,find(""("",$B242)-1),"" "",""""),""\d"",""0""),""[-0]*\."",""0.""), REGEXEXTRACT($B242,""\((.*)\)""),TRIM(REGEXEXTRACT($B242,""\)(.*)""))),"""")"),"0.0000000016e-16")</f>
        <v>0.0000000016e-16</v>
      </c>
      <c r="J242" s="62">
        <f t="shared" si="3"/>
        <v>0</v>
      </c>
      <c r="K242" s="62" t="b">
        <f t="shared" si="4"/>
        <v>0</v>
      </c>
      <c r="L242" s="62" t="b">
        <f t="shared" si="5"/>
        <v>0</v>
      </c>
      <c r="M242" s="60" t="str">
        <f>IFERROR(__xludf.DUMMYFUNCTION("if(regexmatch(B242,""e(.*)$""),regexextract(B242,""e(.*)$""),"""")"),"-16")</f>
        <v>-16</v>
      </c>
    </row>
    <row r="243">
      <c r="A243" s="80" t="s">
        <v>4001</v>
      </c>
      <c r="B243" s="80" t="s">
        <v>5251</v>
      </c>
      <c r="C243" s="80" t="s">
        <v>2754</v>
      </c>
      <c r="D243" s="18" t="str">
        <f t="shared" si="1"/>
        <v>MeV fm</v>
      </c>
      <c r="E243" s="60" t="str">
        <f>VLOOKUP($A243,nist_names_ids!A:B,2,false)</f>
        <v>hbcmevf</v>
      </c>
      <c r="F243" s="61">
        <f>countif(Constants!A:A,E243)</f>
        <v>1</v>
      </c>
      <c r="G243" s="60" t="str">
        <f>IFERROR(__xludf.DUMMYFUNCTION("REGEXREPLACE(substitute(substitute(B243,"" "",""""),""..."",""""),""\(.*\)"","""")"),"197.3269631")</f>
        <v>197.3269631</v>
      </c>
      <c r="H243" s="62">
        <f t="shared" si="2"/>
        <v>197.3269631</v>
      </c>
      <c r="I243" s="60" t="str">
        <f>IFERROR(__xludf.DUMMYFUNCTION("if(regexmatch($B243,""\(""),CONCATENATE(regexreplace(REGEXREPLACE(substitute(left($B243,find(""("",$B243)-1),"" "",""""),""\d"",""0""),""[-0]*\."",""0.""), REGEXEXTRACT($B243,""\((.*)\)""),TRIM(REGEXEXTRACT($B243,""\)(.*)""))),"""")"),"0.000000049")</f>
        <v>0.000000049</v>
      </c>
      <c r="J243" s="62">
        <f t="shared" si="3"/>
        <v>0.000000049</v>
      </c>
      <c r="K243" s="62" t="b">
        <f t="shared" si="4"/>
        <v>0</v>
      </c>
      <c r="L243" s="62" t="b">
        <f t="shared" si="5"/>
        <v>0</v>
      </c>
      <c r="M243" s="60" t="str">
        <f>IFERROR(__xludf.DUMMYFUNCTION("if(regexmatch(B243,""e(.*)$""),regexextract(B243,""e(.*)$""),"""")"),"")</f>
        <v/>
      </c>
    </row>
    <row r="244">
      <c r="A244" s="80" t="s">
        <v>2605</v>
      </c>
      <c r="B244" s="80" t="s">
        <v>5254</v>
      </c>
      <c r="C244" s="80" t="s">
        <v>381</v>
      </c>
      <c r="D244" s="18" t="str">
        <f t="shared" si="1"/>
        <v>m</v>
      </c>
      <c r="E244" s="60" t="str">
        <f>VLOOKUP($A244,nist_names_ids!A:B,2,false)</f>
        <v>plkl</v>
      </c>
      <c r="F244" s="61">
        <f>countif(Constants!A:A,E244)</f>
        <v>1</v>
      </c>
      <c r="G244" s="60" t="str">
        <f>IFERROR(__xludf.DUMMYFUNCTION("REGEXREPLACE(substitute(substitute(B244,"" "",""""),""..."",""""),""\(.*\)"","""")"),"1.616252e-35")</f>
        <v>1.616252e-35</v>
      </c>
      <c r="H244" s="62">
        <f t="shared" si="2"/>
        <v>0</v>
      </c>
      <c r="I244" s="60" t="str">
        <f>IFERROR(__xludf.DUMMYFUNCTION("if(regexmatch($B244,""\(""),CONCATENATE(regexreplace(REGEXREPLACE(substitute(left($B244,find(""("",$B244)-1),"" "",""""),""\d"",""0""),""[-0]*\."",""0.""), REGEXEXTRACT($B244,""\((.*)\)""),TRIM(REGEXEXTRACT($B244,""\)(.*)""))),"""")"),"0.00000081e-35")</f>
        <v>0.00000081e-35</v>
      </c>
      <c r="J244" s="62">
        <f t="shared" si="3"/>
        <v>0</v>
      </c>
      <c r="K244" s="62" t="b">
        <f t="shared" si="4"/>
        <v>0</v>
      </c>
      <c r="L244" s="62" t="b">
        <f t="shared" si="5"/>
        <v>0</v>
      </c>
      <c r="M244" s="60" t="str">
        <f>IFERROR(__xludf.DUMMYFUNCTION("if(regexmatch(B244,""e(.*)$""),regexextract(B244,""e(.*)$""),"""")"),"-35")</f>
        <v>-35</v>
      </c>
    </row>
    <row r="245">
      <c r="A245" s="80" t="s">
        <v>2608</v>
      </c>
      <c r="B245" s="80" t="s">
        <v>5257</v>
      </c>
      <c r="C245" s="80" t="s">
        <v>98</v>
      </c>
      <c r="D245" s="18" t="str">
        <f t="shared" si="1"/>
        <v>kg</v>
      </c>
      <c r="E245" s="60" t="str">
        <f>VLOOKUP($A245,nist_names_ids!A:B,2,false)</f>
        <v>plkm</v>
      </c>
      <c r="F245" s="61">
        <f>countif(Constants!A:A,E245)</f>
        <v>1</v>
      </c>
      <c r="G245" s="60" t="str">
        <f>IFERROR(__xludf.DUMMYFUNCTION("REGEXREPLACE(substitute(substitute(B245,"" "",""""),""..."",""""),""\(.*\)"","""")"),"2.17644e-8")</f>
        <v>2.17644e-8</v>
      </c>
      <c r="H245" s="62">
        <f t="shared" si="2"/>
        <v>0.0000000217644</v>
      </c>
      <c r="I245" s="60" t="str">
        <f>IFERROR(__xludf.DUMMYFUNCTION("if(regexmatch($B245,""\(""),CONCATENATE(regexreplace(REGEXREPLACE(substitute(left($B245,find(""("",$B245)-1),"" "",""""),""\d"",""0""),""[-0]*\."",""0.""), REGEXEXTRACT($B245,""\((.*)\)""),TRIM(REGEXEXTRACT($B245,""\)(.*)""))),"""")"),"0.0000011e-8")</f>
        <v>0.0000011e-8</v>
      </c>
      <c r="J245" s="62">
        <f t="shared" si="3"/>
        <v>0</v>
      </c>
      <c r="K245" s="62" t="b">
        <f t="shared" si="4"/>
        <v>0</v>
      </c>
      <c r="L245" s="62" t="b">
        <f t="shared" si="5"/>
        <v>0</v>
      </c>
      <c r="M245" s="60" t="str">
        <f>IFERROR(__xludf.DUMMYFUNCTION("if(regexmatch(B245,""e(.*)$""),regexextract(B245,""e(.*)$""),"""")"),"-8")</f>
        <v>-8</v>
      </c>
    </row>
    <row r="246">
      <c r="A246" s="80" t="s">
        <v>2614</v>
      </c>
      <c r="B246" s="80" t="s">
        <v>5258</v>
      </c>
      <c r="C246" s="80" t="s">
        <v>234</v>
      </c>
      <c r="D246" s="18" t="str">
        <f t="shared" si="1"/>
        <v>GeV</v>
      </c>
      <c r="E246" s="60" t="str">
        <f>VLOOKUP($A246,nist_names_ids!A:B,2,false)</f>
        <v>plkmc2gev</v>
      </c>
      <c r="F246" s="61">
        <f>countif(Constants!A:A,E246)</f>
        <v>1</v>
      </c>
      <c r="G246" s="60" t="str">
        <f>IFERROR(__xludf.DUMMYFUNCTION("REGEXREPLACE(substitute(substitute(B246,"" "",""""),""..."",""""),""\(.*\)"","""")"),"1.220892e19")</f>
        <v>1.220892e19</v>
      </c>
      <c r="H246" s="62">
        <f t="shared" si="2"/>
        <v>1.22089E+19</v>
      </c>
      <c r="I246" s="60" t="str">
        <f>IFERROR(__xludf.DUMMYFUNCTION("if(regexmatch($B246,""\(""),CONCATENATE(regexreplace(REGEXREPLACE(substitute(left($B246,find(""("",$B246)-1),"" "",""""),""\d"",""0""),""[-0]*\."",""0.""), REGEXEXTRACT($B246,""\((.*)\)""),TRIM(REGEXEXTRACT($B246,""\)(.*)""))),"""")"),"0.00000061e19")</f>
        <v>0.00000061e19</v>
      </c>
      <c r="J246" s="62">
        <f t="shared" si="3"/>
        <v>6100000000000</v>
      </c>
      <c r="K246" s="62" t="b">
        <f t="shared" si="4"/>
        <v>0</v>
      </c>
      <c r="L246" s="62" t="b">
        <f t="shared" si="5"/>
        <v>0</v>
      </c>
      <c r="M246" s="60" t="str">
        <f>IFERROR(__xludf.DUMMYFUNCTION("if(regexmatch(B246,""e(.*)$""),regexextract(B246,""e(.*)$""),"""")"),"19")</f>
        <v>19</v>
      </c>
    </row>
    <row r="247">
      <c r="A247" s="80" t="s">
        <v>2619</v>
      </c>
      <c r="B247" s="80" t="s">
        <v>5261</v>
      </c>
      <c r="C247" s="80" t="s">
        <v>345</v>
      </c>
      <c r="D247" s="18" t="str">
        <f t="shared" si="1"/>
        <v>K</v>
      </c>
      <c r="E247" s="60" t="str">
        <f>VLOOKUP($A247,nist_names_ids!A:B,2,false)</f>
        <v>plktmp</v>
      </c>
      <c r="F247" s="61">
        <f>countif(Constants!A:A,E247)</f>
        <v>1</v>
      </c>
      <c r="G247" s="60" t="str">
        <f>IFERROR(__xludf.DUMMYFUNCTION("REGEXREPLACE(substitute(substitute(B247,"" "",""""),""..."",""""),""\(.*\)"","""")"),"1.416785e32")</f>
        <v>1.416785e32</v>
      </c>
      <c r="H247" s="62">
        <f t="shared" si="2"/>
        <v>1.41679E+32</v>
      </c>
      <c r="I247" s="60" t="str">
        <f>IFERROR(__xludf.DUMMYFUNCTION("if(regexmatch($B247,""\(""),CONCATENATE(regexreplace(REGEXREPLACE(substitute(left($B247,find(""("",$B247)-1),"" "",""""),""\d"",""0""),""[-0]*\."",""0.""), REGEXEXTRACT($B247,""\((.*)\)""),TRIM(REGEXEXTRACT($B247,""\)(.*)""))),"""")"),"0.00000071e32")</f>
        <v>0.00000071e32</v>
      </c>
      <c r="J247" s="62">
        <f t="shared" si="3"/>
        <v>7.1E+25</v>
      </c>
      <c r="K247" s="62" t="b">
        <f t="shared" si="4"/>
        <v>0</v>
      </c>
      <c r="L247" s="62" t="b">
        <f t="shared" si="5"/>
        <v>0</v>
      </c>
      <c r="M247" s="60" t="str">
        <f>IFERROR(__xludf.DUMMYFUNCTION("if(regexmatch(B247,""e(.*)$""),regexextract(B247,""e(.*)$""),"""")"),"32")</f>
        <v>32</v>
      </c>
    </row>
    <row r="248">
      <c r="A248" s="80" t="s">
        <v>2623</v>
      </c>
      <c r="B248" s="80" t="s">
        <v>5262</v>
      </c>
      <c r="C248" s="80" t="s">
        <v>520</v>
      </c>
      <c r="D248" s="18" t="str">
        <f t="shared" si="1"/>
        <v>s</v>
      </c>
      <c r="E248" s="60" t="str">
        <f>VLOOKUP($A248,nist_names_ids!A:B,2,false)</f>
        <v>plkt</v>
      </c>
      <c r="F248" s="61">
        <f>countif(Constants!A:A,E248)</f>
        <v>1</v>
      </c>
      <c r="G248" s="60" t="str">
        <f>IFERROR(__xludf.DUMMYFUNCTION("REGEXREPLACE(substitute(substitute(B248,"" "",""""),""..."",""""),""\(.*\)"","""")"),"5.39124e-44")</f>
        <v>5.39124e-44</v>
      </c>
      <c r="H248" s="62">
        <f t="shared" si="2"/>
        <v>0</v>
      </c>
      <c r="I248" s="60" t="str">
        <f>IFERROR(__xludf.DUMMYFUNCTION("if(regexmatch($B248,""\(""),CONCATENATE(regexreplace(REGEXREPLACE(substitute(left($B248,find(""("",$B248)-1),"" "",""""),""\d"",""0""),""[-0]*\."",""0.""), REGEXEXTRACT($B248,""\((.*)\)""),TRIM(REGEXEXTRACT($B248,""\)(.*)""))),"""")"),"0.0000027e-44")</f>
        <v>0.0000027e-44</v>
      </c>
      <c r="J248" s="62">
        <f t="shared" si="3"/>
        <v>0</v>
      </c>
      <c r="K248" s="62" t="b">
        <f t="shared" si="4"/>
        <v>0</v>
      </c>
      <c r="L248" s="62" t="b">
        <f t="shared" si="5"/>
        <v>0</v>
      </c>
      <c r="M248" s="60" t="str">
        <f>IFERROR(__xludf.DUMMYFUNCTION("if(regexmatch(B248,""e(.*)$""),regexextract(B248,""e(.*)$""),"""")"),"-44")</f>
        <v>-44</v>
      </c>
    </row>
    <row r="249">
      <c r="A249" s="80" t="s">
        <v>2633</v>
      </c>
      <c r="B249" s="80" t="s">
        <v>5265</v>
      </c>
      <c r="C249" s="80" t="s">
        <v>381</v>
      </c>
      <c r="D249" s="18" t="str">
        <f t="shared" si="1"/>
        <v>m</v>
      </c>
      <c r="E249" s="60" t="str">
        <f>VLOOKUP($A249,nist_names_ids!A:B,2,false)</f>
        <v>pcomwl</v>
      </c>
      <c r="F249" s="61">
        <f>countif(Constants!A:A,E249)</f>
        <v>1</v>
      </c>
      <c r="G249" s="60" t="str">
        <f>IFERROR(__xludf.DUMMYFUNCTION("REGEXREPLACE(substitute(substitute(B249,"" "",""""),""..."",""""),""\(.*\)"","""")"),"1.3214098446e-15")</f>
        <v>1.3214098446e-15</v>
      </c>
      <c r="H249" s="62">
        <f t="shared" si="2"/>
        <v>0</v>
      </c>
      <c r="I249" s="60" t="str">
        <f>IFERROR(__xludf.DUMMYFUNCTION("if(regexmatch($B249,""\(""),CONCATENATE(regexreplace(REGEXREPLACE(substitute(left($B249,find(""("",$B249)-1),"" "",""""),""\d"",""0""),""[-0]*\."",""0.""), REGEXEXTRACT($B249,""\((.*)\)""),TRIM(REGEXEXTRACT($B249,""\)(.*)""))),"""")"),"0.000000000019e-15")</f>
        <v>0.000000000019e-15</v>
      </c>
      <c r="J249" s="62">
        <f t="shared" si="3"/>
        <v>0</v>
      </c>
      <c r="K249" s="62" t="b">
        <f t="shared" si="4"/>
        <v>0</v>
      </c>
      <c r="L249" s="62" t="b">
        <f t="shared" si="5"/>
        <v>0</v>
      </c>
      <c r="M249" s="60" t="str">
        <f>IFERROR(__xludf.DUMMYFUNCTION("if(regexmatch(B249,""e(.*)$""),regexextract(B249,""e(.*)$""),"""")"),"-15")</f>
        <v>-15</v>
      </c>
    </row>
    <row r="250">
      <c r="A250" s="80" t="s">
        <v>4032</v>
      </c>
      <c r="B250" s="80" t="s">
        <v>5267</v>
      </c>
      <c r="C250" s="80" t="s">
        <v>381</v>
      </c>
      <c r="D250" s="18" t="str">
        <f t="shared" si="1"/>
        <v>m</v>
      </c>
      <c r="E250" s="60" t="str">
        <f>VLOOKUP($A250,nist_names_ids!A:B,2,false)</f>
        <v>pcomwlbar</v>
      </c>
      <c r="F250" s="61">
        <f>countif(Constants!A:A,E250)</f>
        <v>1</v>
      </c>
      <c r="G250" s="60" t="str">
        <f>IFERROR(__xludf.DUMMYFUNCTION("REGEXREPLACE(substitute(substitute(B250,"" "",""""),""..."",""""),""\(.*\)"","""")"),"0.21030890861e-15")</f>
        <v>0.21030890861e-15</v>
      </c>
      <c r="H250" s="62">
        <f t="shared" si="2"/>
        <v>0</v>
      </c>
      <c r="I250" s="60" t="str">
        <f>IFERROR(__xludf.DUMMYFUNCTION("if(regexmatch($B250,""\(""),CONCATENATE(regexreplace(REGEXREPLACE(substitute(left($B250,find(""("",$B250)-1),"" "",""""),""\d"",""0""),""[-0]*\."",""0.""), REGEXEXTRACT($B250,""\((.*)\)""),TRIM(REGEXEXTRACT($B250,""\)(.*)""))),"""")"),"0.0000000000030e-15")</f>
        <v>0.0000000000030e-15</v>
      </c>
      <c r="J250" s="62">
        <f t="shared" si="3"/>
        <v>0</v>
      </c>
      <c r="K250" s="62" t="b">
        <f t="shared" si="4"/>
        <v>0</v>
      </c>
      <c r="L250" s="62" t="b">
        <f t="shared" si="5"/>
        <v>0</v>
      </c>
      <c r="M250" s="60" t="str">
        <f>IFERROR(__xludf.DUMMYFUNCTION("if(regexmatch(B250,""e(.*)$""),regexextract(B250,""e(.*)$""),"""")"),"-15")</f>
        <v>-15</v>
      </c>
    </row>
    <row r="251">
      <c r="A251" s="80" t="s">
        <v>2628</v>
      </c>
      <c r="B251" s="80" t="s">
        <v>5270</v>
      </c>
      <c r="C251" s="80" t="s">
        <v>4587</v>
      </c>
      <c r="D251" s="18" t="str">
        <f t="shared" si="1"/>
        <v>C kg^-1</v>
      </c>
      <c r="E251" s="60" t="str">
        <f>VLOOKUP($A251,nist_names_ids!A:B,2,false)</f>
        <v>esmp</v>
      </c>
      <c r="F251" s="61">
        <f>countif(Constants!A:A,E251)</f>
        <v>1</v>
      </c>
      <c r="G251" s="60" t="str">
        <f>IFERROR(__xludf.DUMMYFUNCTION("REGEXREPLACE(substitute(substitute(B251,"" "",""""),""..."",""""),""\(.*\)"","""")"),"9.57883392e7")</f>
        <v>9.57883392e7</v>
      </c>
      <c r="H251" s="62">
        <f t="shared" si="2"/>
        <v>95788339.2</v>
      </c>
      <c r="I251" s="60" t="str">
        <f>IFERROR(__xludf.DUMMYFUNCTION("if(regexmatch($B251,""\(""),CONCATENATE(regexreplace(REGEXREPLACE(substitute(left($B251,find(""("",$B251)-1),"" "",""""),""\d"",""0""),""[-0]*\."",""0.""), REGEXEXTRACT($B251,""\((.*)\)""),TRIM(REGEXEXTRACT($B251,""\)(.*)""))),"""")"),"0.0000000024e7")</f>
        <v>0.0000000024e7</v>
      </c>
      <c r="J251" s="62">
        <f t="shared" si="3"/>
        <v>0.024</v>
      </c>
      <c r="K251" s="62" t="b">
        <f t="shared" si="4"/>
        <v>0</v>
      </c>
      <c r="L251" s="62" t="b">
        <f t="shared" si="5"/>
        <v>0</v>
      </c>
      <c r="M251" s="60" t="str">
        <f>IFERROR(__xludf.DUMMYFUNCTION("if(regexmatch(B251,""e(.*)$""),regexextract(B251,""e(.*)$""),"""")"),"7")</f>
        <v>7</v>
      </c>
    </row>
    <row r="252">
      <c r="A252" s="80" t="s">
        <v>2640</v>
      </c>
      <c r="B252" s="80" t="s">
        <v>5272</v>
      </c>
      <c r="C252" s="80"/>
      <c r="D252" s="18" t="str">
        <f t="shared" si="1"/>
        <v/>
      </c>
      <c r="E252" s="60" t="str">
        <f>VLOOKUP($A252,nist_names_ids!A:B,2,false)</f>
        <v>gp</v>
      </c>
      <c r="F252" s="61">
        <f>countif(Constants!A:A,E252)</f>
        <v>1</v>
      </c>
      <c r="G252" s="60" t="str">
        <f>IFERROR(__xludf.DUMMYFUNCTION("REGEXREPLACE(substitute(substitute(B252,"" "",""""),""..."",""""),""\(.*\)"","""")"),"5.585694713")</f>
        <v>5.585694713</v>
      </c>
      <c r="H252" s="62">
        <f t="shared" si="2"/>
        <v>5.585694713</v>
      </c>
      <c r="I252" s="60" t="str">
        <f>IFERROR(__xludf.DUMMYFUNCTION("if(regexmatch($B252,""\(""),CONCATENATE(regexreplace(REGEXREPLACE(substitute(left($B252,find(""("",$B252)-1),"" "",""""),""\d"",""0""),""[-0]*\."",""0.""), REGEXEXTRACT($B252,""\((.*)\)""),TRIM(REGEXEXTRACT($B252,""\)(.*)""))),"""")"),"0.00000000046")</f>
        <v>0.00000000046</v>
      </c>
      <c r="J252" s="62">
        <f t="shared" si="3"/>
        <v>0.00000000046</v>
      </c>
      <c r="K252" s="62" t="b">
        <f t="shared" si="4"/>
        <v>0</v>
      </c>
      <c r="L252" s="62" t="b">
        <f t="shared" si="5"/>
        <v>0</v>
      </c>
      <c r="M252" s="60" t="str">
        <f>IFERROR(__xludf.DUMMYFUNCTION("if(regexmatch(B252,""e(.*)$""),regexextract(B252,""e(.*)$""),"""")"),"")</f>
        <v/>
      </c>
    </row>
    <row r="253">
      <c r="A253" s="80" t="s">
        <v>4130</v>
      </c>
      <c r="B253" s="80" t="s">
        <v>5275</v>
      </c>
      <c r="C253" s="80" t="s">
        <v>4596</v>
      </c>
      <c r="D253" s="18" t="str">
        <f t="shared" si="1"/>
        <v>s^-1 T^-1</v>
      </c>
      <c r="E253" s="60" t="str">
        <f>VLOOKUP($A253,nist_names_ids!A:B,2,false)</f>
        <v>gammap</v>
      </c>
      <c r="F253" s="61">
        <f>countif(Constants!A:A,E253)</f>
        <v>1</v>
      </c>
      <c r="G253" s="60" t="str">
        <f>IFERROR(__xludf.DUMMYFUNCTION("REGEXREPLACE(substitute(substitute(B253,"" "",""""),""..."",""""),""\(.*\)"","""")"),"2.675222099e8")</f>
        <v>2.675222099e8</v>
      </c>
      <c r="H253" s="62">
        <f t="shared" si="2"/>
        <v>267522209.9</v>
      </c>
      <c r="I253" s="60" t="str">
        <f>IFERROR(__xludf.DUMMYFUNCTION("if(regexmatch($B253,""\(""),CONCATENATE(regexreplace(REGEXREPLACE(substitute(left($B253,find(""("",$B253)-1),"" "",""""),""\d"",""0""),""[-0]*\."",""0.""), REGEXEXTRACT($B253,""\((.*)\)""),TRIM(REGEXEXTRACT($B253,""\)(.*)""))),"""")"),"0.00000000070e8")</f>
        <v>0.00000000070e8</v>
      </c>
      <c r="J253" s="62">
        <f t="shared" si="3"/>
        <v>0.07</v>
      </c>
      <c r="K253" s="62" t="b">
        <f t="shared" si="4"/>
        <v>0</v>
      </c>
      <c r="L253" s="62" t="b">
        <f t="shared" si="5"/>
        <v>0</v>
      </c>
      <c r="M253" s="60" t="str">
        <f>IFERROR(__xludf.DUMMYFUNCTION("if(regexmatch(B253,""e(.*)$""),regexextract(B253,""e(.*)$""),"""")"),"8")</f>
        <v>8</v>
      </c>
    </row>
    <row r="254">
      <c r="A254" s="80" t="s">
        <v>4159</v>
      </c>
      <c r="B254" s="80" t="s">
        <v>5280</v>
      </c>
      <c r="C254" s="80" t="s">
        <v>4602</v>
      </c>
      <c r="D254" s="18" t="str">
        <f t="shared" si="1"/>
        <v>MHz T^-1</v>
      </c>
      <c r="E254" s="60" t="str">
        <f>VLOOKUP($A254,nist_names_ids!A:B,2,false)</f>
        <v>gammapbar</v>
      </c>
      <c r="F254" s="61">
        <f>countif(Constants!A:A,E254)</f>
        <v>1</v>
      </c>
      <c r="G254" s="60" t="str">
        <f>IFERROR(__xludf.DUMMYFUNCTION("REGEXREPLACE(substitute(substitute(B254,"" "",""""),""..."",""""),""\(.*\)"","""")"),"42.5774821")</f>
        <v>42.5774821</v>
      </c>
      <c r="H254" s="62">
        <f t="shared" si="2"/>
        <v>42.5774821</v>
      </c>
      <c r="I254" s="60" t="str">
        <f>IFERROR(__xludf.DUMMYFUNCTION("if(regexmatch($B254,""\(""),CONCATENATE(regexreplace(REGEXREPLACE(substitute(left($B254,find(""("",$B254)-1),"" "",""""),""\d"",""0""),""[-0]*\."",""0.""), REGEXEXTRACT($B254,""\((.*)\)""),TRIM(REGEXEXTRACT($B254,""\)(.*)""))),"""")"),"0.000000011")</f>
        <v>0.000000011</v>
      </c>
      <c r="J254" s="62">
        <f t="shared" si="3"/>
        <v>0.000000011</v>
      </c>
      <c r="K254" s="62" t="b">
        <f t="shared" si="4"/>
        <v>0</v>
      </c>
      <c r="L254" s="62" t="b">
        <f t="shared" si="5"/>
        <v>0</v>
      </c>
      <c r="M254" s="60" t="str">
        <f>IFERROR(__xludf.DUMMYFUNCTION("if(regexmatch(B254,""e(.*)$""),regexextract(B254,""e(.*)$""),"""")"),"")</f>
        <v/>
      </c>
    </row>
    <row r="255">
      <c r="A255" s="80" t="s">
        <v>4173</v>
      </c>
      <c r="B255" s="80" t="s">
        <v>5282</v>
      </c>
      <c r="C255" s="80" t="s">
        <v>4421</v>
      </c>
      <c r="D255" s="18" t="str">
        <f t="shared" si="1"/>
        <v>J T^-1</v>
      </c>
      <c r="E255" s="60" t="str">
        <f>VLOOKUP($A255,nist_names_ids!A:B,2,false)</f>
        <v>mup</v>
      </c>
      <c r="F255" s="61">
        <f>countif(Constants!A:A,E255)</f>
        <v>1</v>
      </c>
      <c r="G255" s="60" t="str">
        <f>IFERROR(__xludf.DUMMYFUNCTION("REGEXREPLACE(substitute(substitute(B255,"" "",""""),""..."",""""),""\(.*\)"","""")"),"1.410606662e-26")</f>
        <v>1.410606662e-26</v>
      </c>
      <c r="H255" s="62">
        <f t="shared" si="2"/>
        <v>0</v>
      </c>
      <c r="I255" s="60" t="str">
        <f>IFERROR(__xludf.DUMMYFUNCTION("if(regexmatch($B255,""\(""),CONCATENATE(regexreplace(REGEXREPLACE(substitute(left($B255,find(""("",$B255)-1),"" "",""""),""\d"",""0""),""[-0]*\."",""0.""), REGEXEXTRACT($B255,""\((.*)\)""),TRIM(REGEXEXTRACT($B255,""\)(.*)""))),"""")"),"0.00000000037e-26")</f>
        <v>0.00000000037e-26</v>
      </c>
      <c r="J255" s="62">
        <f t="shared" si="3"/>
        <v>0</v>
      </c>
      <c r="K255" s="62" t="b">
        <f t="shared" si="4"/>
        <v>0</v>
      </c>
      <c r="L255" s="62" t="b">
        <f t="shared" si="5"/>
        <v>0</v>
      </c>
      <c r="M255" s="60" t="str">
        <f>IFERROR(__xludf.DUMMYFUNCTION("if(regexmatch(B255,""e(.*)$""),regexextract(B255,""e(.*)$""),"""")"),"-26")</f>
        <v>-26</v>
      </c>
    </row>
    <row r="256">
      <c r="A256" s="80" t="s">
        <v>4182</v>
      </c>
      <c r="B256" s="80" t="s">
        <v>5285</v>
      </c>
      <c r="C256" s="80"/>
      <c r="D256" s="18" t="str">
        <f t="shared" si="1"/>
        <v/>
      </c>
      <c r="E256" s="60" t="str">
        <f>VLOOKUP($A256,nist_names_ids!A:B,2,false)</f>
        <v>mupsmub</v>
      </c>
      <c r="F256" s="61">
        <f>countif(Constants!A:A,E256)</f>
        <v>1</v>
      </c>
      <c r="G256" s="60" t="str">
        <f>IFERROR(__xludf.DUMMYFUNCTION("REGEXREPLACE(substitute(substitute(B256,"" "",""""),""..."",""""),""\(.*\)"","""")"),"1.521032209e-3")</f>
        <v>1.521032209e-3</v>
      </c>
      <c r="H256" s="62">
        <f t="shared" si="2"/>
        <v>0.001521032209</v>
      </c>
      <c r="I256" s="60" t="str">
        <f>IFERROR(__xludf.DUMMYFUNCTION("if(regexmatch($B256,""\(""),CONCATENATE(regexreplace(REGEXREPLACE(substitute(left($B256,find(""("",$B256)-1),"" "",""""),""\d"",""0""),""[-0]*\."",""0.""), REGEXEXTRACT($B256,""\((.*)\)""),TRIM(REGEXEXTRACT($B256,""\)(.*)""))),"""")"),"0.00000000012e-3")</f>
        <v>0.00000000012e-3</v>
      </c>
      <c r="J256" s="62">
        <f t="shared" si="3"/>
        <v>0</v>
      </c>
      <c r="K256" s="62" t="b">
        <f t="shared" si="4"/>
        <v>0</v>
      </c>
      <c r="L256" s="62" t="b">
        <f t="shared" si="5"/>
        <v>0</v>
      </c>
      <c r="M256" s="60" t="str">
        <f>IFERROR(__xludf.DUMMYFUNCTION("if(regexmatch(B256,""e(.*)$""),regexextract(B256,""e(.*)$""),"""")"),"-3")</f>
        <v>-3</v>
      </c>
    </row>
    <row r="257">
      <c r="A257" s="80" t="s">
        <v>4244</v>
      </c>
      <c r="B257" s="80" t="s">
        <v>5287</v>
      </c>
      <c r="C257" s="80"/>
      <c r="D257" s="18" t="str">
        <f t="shared" si="1"/>
        <v/>
      </c>
      <c r="E257" s="60" t="str">
        <f>VLOOKUP($A257,nist_names_ids!A:B,2,false)</f>
        <v>mupsmun</v>
      </c>
      <c r="F257" s="61">
        <f>countif(Constants!A:A,E257)</f>
        <v>1</v>
      </c>
      <c r="G257" s="60" t="str">
        <f>IFERROR(__xludf.DUMMYFUNCTION("REGEXREPLACE(substitute(substitute(B257,"" "",""""),""..."",""""),""\(.*\)"","""")"),"2.792847356")</f>
        <v>2.792847356</v>
      </c>
      <c r="H257" s="62">
        <f t="shared" si="2"/>
        <v>2.792847356</v>
      </c>
      <c r="I257" s="60" t="str">
        <f>IFERROR(__xludf.DUMMYFUNCTION("if(regexmatch($B257,""\(""),CONCATENATE(regexreplace(REGEXREPLACE(substitute(left($B257,find(""("",$B257)-1),"" "",""""),""\d"",""0""),""[-0]*\."",""0.""), REGEXEXTRACT($B257,""\((.*)\)""),TRIM(REGEXEXTRACT($B257,""\)(.*)""))),"""")"),"0.00000000023")</f>
        <v>0.00000000023</v>
      </c>
      <c r="J257" s="62">
        <f t="shared" si="3"/>
        <v>0.00000000023</v>
      </c>
      <c r="K257" s="62" t="b">
        <f t="shared" si="4"/>
        <v>0</v>
      </c>
      <c r="L257" s="62" t="b">
        <f t="shared" si="5"/>
        <v>0</v>
      </c>
      <c r="M257" s="60" t="str">
        <f>IFERROR(__xludf.DUMMYFUNCTION("if(regexmatch(B257,""e(.*)$""),regexextract(B257,""e(.*)$""),"""")"),"")</f>
        <v/>
      </c>
    </row>
    <row r="258">
      <c r="A258" s="80" t="s">
        <v>4256</v>
      </c>
      <c r="B258" s="80" t="s">
        <v>5289</v>
      </c>
      <c r="C258" s="80"/>
      <c r="D258" s="18" t="str">
        <f t="shared" si="1"/>
        <v/>
      </c>
      <c r="E258" s="60" t="str">
        <f>VLOOKUP($A258,nist_names_ids!A:B,2,false)</f>
        <v>sigmapp</v>
      </c>
      <c r="F258" s="61">
        <f>countif(Constants!A:A,E258)</f>
        <v>1</v>
      </c>
      <c r="G258" s="60" t="str">
        <f>IFERROR(__xludf.DUMMYFUNCTION("REGEXREPLACE(substitute(substitute(B258,"" "",""""),""..."",""""),""\(.*\)"","""")"),"25.694e-6")</f>
        <v>25.694e-6</v>
      </c>
      <c r="H258" s="62">
        <f t="shared" si="2"/>
        <v>0.000025694</v>
      </c>
      <c r="I258" s="60" t="str">
        <f>IFERROR(__xludf.DUMMYFUNCTION("if(regexmatch($B258,""\(""),CONCATENATE(regexreplace(REGEXREPLACE(substitute(left($B258,find(""("",$B258)-1),"" "",""""),""\d"",""0""),""[-0]*\."",""0.""), REGEXEXTRACT($B258,""\((.*)\)""),TRIM(REGEXEXTRACT($B258,""\)(.*)""))),"""")"),"0.00014e-6")</f>
        <v>0.00014e-6</v>
      </c>
      <c r="J258" s="62">
        <f t="shared" si="3"/>
        <v>0.00000000014</v>
      </c>
      <c r="K258" s="62" t="b">
        <f t="shared" si="4"/>
        <v>0</v>
      </c>
      <c r="L258" s="62" t="b">
        <f t="shared" si="5"/>
        <v>0</v>
      </c>
      <c r="M258" s="60" t="str">
        <f>IFERROR(__xludf.DUMMYFUNCTION("if(regexmatch(B258,""e(.*)$""),regexextract(B258,""e(.*)$""),"""")"),"-6")</f>
        <v>-6</v>
      </c>
    </row>
    <row r="259">
      <c r="A259" s="80" t="s">
        <v>2673</v>
      </c>
      <c r="B259" s="80" t="s">
        <v>5291</v>
      </c>
      <c r="C259" s="80" t="s">
        <v>98</v>
      </c>
      <c r="D259" s="18" t="str">
        <f t="shared" si="1"/>
        <v>kg</v>
      </c>
      <c r="E259" s="60" t="str">
        <f>VLOOKUP($A259,nist_names_ids!A:B,2,false)</f>
        <v>mp</v>
      </c>
      <c r="F259" s="61">
        <f>countif(Constants!A:A,E259)</f>
        <v>1</v>
      </c>
      <c r="G259" s="60" t="str">
        <f>IFERROR(__xludf.DUMMYFUNCTION("REGEXREPLACE(substitute(substitute(B259,"" "",""""),""..."",""""),""\(.*\)"","""")"),"1.672621637e-27")</f>
        <v>1.672621637e-27</v>
      </c>
      <c r="H259" s="62">
        <f t="shared" si="2"/>
        <v>0</v>
      </c>
      <c r="I259" s="60" t="str">
        <f>IFERROR(__xludf.DUMMYFUNCTION("if(regexmatch($B259,""\(""),CONCATENATE(regexreplace(REGEXREPLACE(substitute(left($B259,find(""("",$B259)-1),"" "",""""),""\d"",""0""),""[-0]*\."",""0.""), REGEXEXTRACT($B259,""\((.*)\)""),TRIM(REGEXEXTRACT($B259,""\)(.*)""))),"""")"),"0.00000000083e-27")</f>
        <v>0.00000000083e-27</v>
      </c>
      <c r="J259" s="62">
        <f t="shared" si="3"/>
        <v>0</v>
      </c>
      <c r="K259" s="62" t="b">
        <f t="shared" si="4"/>
        <v>0</v>
      </c>
      <c r="L259" s="62" t="b">
        <f t="shared" si="5"/>
        <v>0</v>
      </c>
      <c r="M259" s="60" t="str">
        <f>IFERROR(__xludf.DUMMYFUNCTION("if(regexmatch(B259,""e(.*)$""),regexextract(B259,""e(.*)$""),"""")"),"-27")</f>
        <v>-27</v>
      </c>
    </row>
    <row r="260">
      <c r="A260" s="80" t="s">
        <v>2675</v>
      </c>
      <c r="B260" s="80" t="s">
        <v>5293</v>
      </c>
      <c r="C260" s="80" t="s">
        <v>173</v>
      </c>
      <c r="D260" s="18" t="str">
        <f t="shared" si="1"/>
        <v>J</v>
      </c>
      <c r="E260" s="60" t="str">
        <f>VLOOKUP($A260,nist_names_ids!A:B,2,false)</f>
        <v>mpc2</v>
      </c>
      <c r="F260" s="61">
        <f>countif(Constants!A:A,E260)</f>
        <v>1</v>
      </c>
      <c r="G260" s="60" t="str">
        <f>IFERROR(__xludf.DUMMYFUNCTION("REGEXREPLACE(substitute(substitute(B260,"" "",""""),""..."",""""),""\(.*\)"","""")"),"1.503277359e-10")</f>
        <v>1.503277359e-10</v>
      </c>
      <c r="H260" s="62">
        <f t="shared" si="2"/>
        <v>0.0000000001503277359</v>
      </c>
      <c r="I260" s="60" t="str">
        <f>IFERROR(__xludf.DUMMYFUNCTION("if(regexmatch($B260,""\(""),CONCATENATE(regexreplace(REGEXREPLACE(substitute(left($B260,find(""("",$B260)-1),"" "",""""),""\d"",""0""),""[-0]*\."",""0.""), REGEXEXTRACT($B260,""\((.*)\)""),TRIM(REGEXEXTRACT($B260,""\)(.*)""))),"""")"),"0.00000000075e-10")</f>
        <v>0.00000000075e-10</v>
      </c>
      <c r="J260" s="62">
        <f t="shared" si="3"/>
        <v>0</v>
      </c>
      <c r="K260" s="62" t="b">
        <f t="shared" si="4"/>
        <v>0</v>
      </c>
      <c r="L260" s="62" t="b">
        <f t="shared" si="5"/>
        <v>0</v>
      </c>
      <c r="M260" s="60" t="str">
        <f>IFERROR(__xludf.DUMMYFUNCTION("if(regexmatch(B260,""e(.*)$""),regexextract(B260,""e(.*)$""),"""")"),"-10")</f>
        <v>-10</v>
      </c>
    </row>
    <row r="261">
      <c r="A261" s="80" t="s">
        <v>2682</v>
      </c>
      <c r="B261" s="80" t="s">
        <v>5295</v>
      </c>
      <c r="C261" s="80" t="s">
        <v>224</v>
      </c>
      <c r="D261" s="18" t="str">
        <f t="shared" si="1"/>
        <v>MeV</v>
      </c>
      <c r="E261" s="60" t="str">
        <f>VLOOKUP($A261,nist_names_ids!A:B,2,false)</f>
        <v>mpc2mev</v>
      </c>
      <c r="F261" s="61">
        <f>countif(Constants!A:A,E261)</f>
        <v>1</v>
      </c>
      <c r="G261" s="60" t="str">
        <f>IFERROR(__xludf.DUMMYFUNCTION("REGEXREPLACE(substitute(substitute(B261,"" "",""""),""..."",""""),""\(.*\)"","""")"),"938.272013")</f>
        <v>938.272013</v>
      </c>
      <c r="H261" s="62">
        <f t="shared" si="2"/>
        <v>938.272013</v>
      </c>
      <c r="I261" s="60" t="str">
        <f>IFERROR(__xludf.DUMMYFUNCTION("if(regexmatch($B261,""\(""),CONCATENATE(regexreplace(REGEXREPLACE(substitute(left($B261,find(""("",$B261)-1),"" "",""""),""\d"",""0""),""[-0]*\."",""0.""), REGEXEXTRACT($B261,""\((.*)\)""),TRIM(REGEXEXTRACT($B261,""\)(.*)""))),"""")"),"0.00000023")</f>
        <v>0.00000023</v>
      </c>
      <c r="J261" s="62">
        <f t="shared" si="3"/>
        <v>0.00000023</v>
      </c>
      <c r="K261" s="62" t="b">
        <f t="shared" si="4"/>
        <v>0</v>
      </c>
      <c r="L261" s="62" t="b">
        <f t="shared" si="5"/>
        <v>0</v>
      </c>
      <c r="M261" s="60" t="str">
        <f>IFERROR(__xludf.DUMMYFUNCTION("if(regexmatch(B261,""e(.*)$""),regexextract(B261,""e(.*)$""),"""")"),"")</f>
        <v/>
      </c>
    </row>
    <row r="262">
      <c r="A262" s="80" t="s">
        <v>2689</v>
      </c>
      <c r="B262" s="80" t="s">
        <v>5297</v>
      </c>
      <c r="C262" s="80" t="s">
        <v>249</v>
      </c>
      <c r="D262" s="18" t="str">
        <f t="shared" si="1"/>
        <v>u</v>
      </c>
      <c r="E262" s="60" t="str">
        <f>VLOOKUP($A262,nist_names_ids!A:B,2,false)</f>
        <v>mpu</v>
      </c>
      <c r="F262" s="61">
        <f>countif(Constants!A:A,E262)</f>
        <v>1</v>
      </c>
      <c r="G262" s="60" t="str">
        <f>IFERROR(__xludf.DUMMYFUNCTION("REGEXREPLACE(substitute(substitute(B262,"" "",""""),""..."",""""),""\(.*\)"","""")"),"1.00727646677")</f>
        <v>1.00727646677</v>
      </c>
      <c r="H262" s="62">
        <f t="shared" si="2"/>
        <v>1.007276467</v>
      </c>
      <c r="I262" s="60" t="str">
        <f>IFERROR(__xludf.DUMMYFUNCTION("if(regexmatch($B262,""\(""),CONCATENATE(regexreplace(REGEXREPLACE(substitute(left($B262,find(""("",$B262)-1),"" "",""""),""\d"",""0""),""[-0]*\."",""0.""), REGEXEXTRACT($B262,""\((.*)\)""),TRIM(REGEXEXTRACT($B262,""\)(.*)""))),"""")"),"0.0000000000010")</f>
        <v>0.0000000000010</v>
      </c>
      <c r="J262" s="62">
        <f t="shared" si="3"/>
        <v>0</v>
      </c>
      <c r="K262" s="62" t="b">
        <f t="shared" si="4"/>
        <v>0</v>
      </c>
      <c r="L262" s="62" t="b">
        <f t="shared" si="5"/>
        <v>0</v>
      </c>
      <c r="M262" s="60" t="str">
        <f>IFERROR(__xludf.DUMMYFUNCTION("if(regexmatch(B262,""e(.*)$""),regexextract(B262,""e(.*)$""),"""")"),"")</f>
        <v/>
      </c>
    </row>
    <row r="263">
      <c r="A263" s="80" t="s">
        <v>2695</v>
      </c>
      <c r="B263" s="80" t="s">
        <v>5299</v>
      </c>
      <c r="C263" s="80" t="s">
        <v>4309</v>
      </c>
      <c r="D263" s="18" t="str">
        <f t="shared" si="1"/>
        <v>kg mol^-1</v>
      </c>
      <c r="E263" s="60" t="str">
        <f>VLOOKUP($A263,nist_names_ids!A:B,2,false)</f>
        <v>mmp</v>
      </c>
      <c r="F263" s="61">
        <f>countif(Constants!A:A,E263)</f>
        <v>1</v>
      </c>
      <c r="G263" s="60" t="str">
        <f>IFERROR(__xludf.DUMMYFUNCTION("REGEXREPLACE(substitute(substitute(B263,"" "",""""),""..."",""""),""\(.*\)"","""")"),"1.00727646677e-3")</f>
        <v>1.00727646677e-3</v>
      </c>
      <c r="H263" s="62">
        <f t="shared" si="2"/>
        <v>0.001007276467</v>
      </c>
      <c r="I263" s="60" t="str">
        <f>IFERROR(__xludf.DUMMYFUNCTION("if(regexmatch($B263,""\(""),CONCATENATE(regexreplace(REGEXREPLACE(substitute(left($B263,find(""("",$B263)-1),"" "",""""),""\d"",""0""),""[-0]*\."",""0.""), REGEXEXTRACT($B263,""\((.*)\)""),TRIM(REGEXEXTRACT($B263,""\)(.*)""))),"""")"),"0.0000000000010e-3")</f>
        <v>0.0000000000010e-3</v>
      </c>
      <c r="J263" s="62">
        <f t="shared" si="3"/>
        <v>0</v>
      </c>
      <c r="K263" s="62" t="b">
        <f t="shared" si="4"/>
        <v>0</v>
      </c>
      <c r="L263" s="62" t="b">
        <f t="shared" si="5"/>
        <v>0</v>
      </c>
      <c r="M263" s="60" t="str">
        <f>IFERROR(__xludf.DUMMYFUNCTION("if(regexmatch(B263,""e(.*)$""),regexextract(B263,""e(.*)$""),"""")"),"-3")</f>
        <v>-3</v>
      </c>
    </row>
    <row r="264">
      <c r="A264" s="80" t="s">
        <v>2711</v>
      </c>
      <c r="B264" s="80" t="s">
        <v>5302</v>
      </c>
      <c r="C264" s="80" t="s">
        <v>381</v>
      </c>
      <c r="D264" s="18" t="str">
        <f t="shared" si="1"/>
        <v>m</v>
      </c>
      <c r="E264" s="60" t="str">
        <f>VLOOKUP($A264,nist_names_ids!A:B,2,false)</f>
        <v>rp</v>
      </c>
      <c r="F264" s="61">
        <f>countif(Constants!A:A,E264)</f>
        <v>1</v>
      </c>
      <c r="G264" s="60" t="str">
        <f>IFERROR(__xludf.DUMMYFUNCTION("REGEXREPLACE(substitute(substitute(B264,"" "",""""),""..."",""""),""\(.*\)"","""")"),"0.8768e-15")</f>
        <v>0.8768e-15</v>
      </c>
      <c r="H264" s="62">
        <f t="shared" si="2"/>
        <v>0</v>
      </c>
      <c r="I264" s="60" t="str">
        <f>IFERROR(__xludf.DUMMYFUNCTION("if(regexmatch($B264,""\(""),CONCATENATE(regexreplace(REGEXREPLACE(substitute(left($B264,find(""("",$B264)-1),"" "",""""),""\d"",""0""),""[-0]*\."",""0.""), REGEXEXTRACT($B264,""\((.*)\)""),TRIM(REGEXEXTRACT($B264,""\)(.*)""))),"""")"),"0.000069e-15")</f>
        <v>0.000069e-15</v>
      </c>
      <c r="J264" s="62">
        <f t="shared" si="3"/>
        <v>0</v>
      </c>
      <c r="K264" s="62" t="b">
        <f t="shared" si="4"/>
        <v>0</v>
      </c>
      <c r="L264" s="62" t="b">
        <f t="shared" si="5"/>
        <v>0</v>
      </c>
      <c r="M264" s="60" t="str">
        <f>IFERROR(__xludf.DUMMYFUNCTION("if(regexmatch(B264,""e(.*)$""),regexextract(B264,""e(.*)$""),"""")"),"-15")</f>
        <v>-15</v>
      </c>
    </row>
    <row r="265">
      <c r="A265" s="80" t="s">
        <v>2636</v>
      </c>
      <c r="B265" s="80" t="s">
        <v>5304</v>
      </c>
      <c r="C265" s="80"/>
      <c r="D265" s="18" t="str">
        <f t="shared" si="1"/>
        <v/>
      </c>
      <c r="E265" s="60" t="str">
        <f>VLOOKUP($A265,nist_names_ids!A:B,2,false)</f>
        <v>mpsme</v>
      </c>
      <c r="F265" s="61">
        <f>countif(Constants!A:A,E265)</f>
        <v>1</v>
      </c>
      <c r="G265" s="60" t="str">
        <f>IFERROR(__xludf.DUMMYFUNCTION("REGEXREPLACE(substitute(substitute(B265,"" "",""""),""..."",""""),""\(.*\)"","""")"),"1836.15267247")</f>
        <v>1836.15267247</v>
      </c>
      <c r="H265" s="62">
        <f t="shared" si="2"/>
        <v>1836.152672</v>
      </c>
      <c r="I265" s="60" t="str">
        <f>IFERROR(__xludf.DUMMYFUNCTION("if(regexmatch($B265,""\(""),CONCATENATE(regexreplace(REGEXREPLACE(substitute(left($B265,find(""("",$B265)-1),"" "",""""),""\d"",""0""),""[-0]*\."",""0.""), REGEXEXTRACT($B265,""\((.*)\)""),TRIM(REGEXEXTRACT($B265,""\)(.*)""))),"""")"),"0.0000000080")</f>
        <v>0.0000000080</v>
      </c>
      <c r="J265" s="62">
        <f t="shared" si="3"/>
        <v>0.000000008</v>
      </c>
      <c r="K265" s="62" t="b">
        <f t="shared" si="4"/>
        <v>0</v>
      </c>
      <c r="L265" s="62" t="b">
        <f t="shared" si="5"/>
        <v>0</v>
      </c>
      <c r="M265" s="60" t="str">
        <f>IFERROR(__xludf.DUMMYFUNCTION("if(regexmatch(B265,""e(.*)$""),regexextract(B265,""e(.*)$""),"""")"),"")</f>
        <v/>
      </c>
    </row>
    <row r="266">
      <c r="A266" s="80" t="s">
        <v>2697</v>
      </c>
      <c r="B266" s="80" t="s">
        <v>5306</v>
      </c>
      <c r="C266" s="80"/>
      <c r="D266" s="18" t="str">
        <f t="shared" si="1"/>
        <v/>
      </c>
      <c r="E266" s="60" t="str">
        <f>VLOOKUP($A266,nist_names_ids!A:B,2,false)</f>
        <v>mpsmmu</v>
      </c>
      <c r="F266" s="61">
        <f>countif(Constants!A:A,E266)</f>
        <v>1</v>
      </c>
      <c r="G266" s="60" t="str">
        <f>IFERROR(__xludf.DUMMYFUNCTION("REGEXREPLACE(substitute(substitute(B266,"" "",""""),""..."",""""),""\(.*\)"","""")"),"8.88024339")</f>
        <v>8.88024339</v>
      </c>
      <c r="H266" s="62">
        <f t="shared" si="2"/>
        <v>8.88024339</v>
      </c>
      <c r="I266" s="60" t="str">
        <f>IFERROR(__xludf.DUMMYFUNCTION("if(regexmatch($B266,""\(""),CONCATENATE(regexreplace(REGEXREPLACE(substitute(left($B266,find(""("",$B266)-1),"" "",""""),""\d"",""0""),""[-0]*\."",""0.""), REGEXEXTRACT($B266,""\((.*)\)""),TRIM(REGEXEXTRACT($B266,""\)(.*)""))),"""")"),"0.0000000023")</f>
        <v>0.0000000023</v>
      </c>
      <c r="J266" s="62">
        <f t="shared" si="3"/>
        <v>0.0000000023</v>
      </c>
      <c r="K266" s="62" t="b">
        <f t="shared" si="4"/>
        <v>0</v>
      </c>
      <c r="L266" s="62" t="b">
        <f t="shared" si="5"/>
        <v>0</v>
      </c>
      <c r="M266" s="60" t="str">
        <f>IFERROR(__xludf.DUMMYFUNCTION("if(regexmatch(B266,""e(.*)$""),regexextract(B266,""e(.*)$""),"""")"),"")</f>
        <v/>
      </c>
    </row>
    <row r="267">
      <c r="A267" s="80" t="s">
        <v>4345</v>
      </c>
      <c r="B267" s="80" t="s">
        <v>5307</v>
      </c>
      <c r="C267" s="80"/>
      <c r="D267" s="18" t="str">
        <f t="shared" si="1"/>
        <v/>
      </c>
      <c r="E267" s="60" t="str">
        <f>VLOOKUP($A267,nist_names_ids!A:B,2,false)</f>
        <v>mupsmunn</v>
      </c>
      <c r="F267" s="61">
        <f>countif(Constants!A:A,E267)</f>
        <v>1</v>
      </c>
      <c r="G267" s="60" t="str">
        <f>IFERROR(__xludf.DUMMYFUNCTION("REGEXREPLACE(substitute(substitute(B267,"" "",""""),""..."",""""),""\(.*\)"","""")"),"-1.45989806")</f>
        <v>-1.45989806</v>
      </c>
      <c r="H267" s="62">
        <f t="shared" si="2"/>
        <v>-1.45989806</v>
      </c>
      <c r="I267" s="60" t="str">
        <f>IFERROR(__xludf.DUMMYFUNCTION("if(regexmatch($B267,""\(""),CONCATENATE(regexreplace(REGEXREPLACE(substitute(left($B267,find(""("",$B267)-1),"" "",""""),""\d"",""0""),""[-0]*\."",""0.""), REGEXEXTRACT($B267,""\((.*)\)""),TRIM(REGEXEXTRACT($B267,""\)(.*)""))),"""")"),"0.0000000034")</f>
        <v>0.0000000034</v>
      </c>
      <c r="J267" s="62">
        <f t="shared" si="3"/>
        <v>0.0000000034</v>
      </c>
      <c r="K267" s="62" t="b">
        <f t="shared" si="4"/>
        <v>0</v>
      </c>
      <c r="L267" s="62" t="b">
        <f t="shared" si="5"/>
        <v>0</v>
      </c>
      <c r="M267" s="60" t="str">
        <f>IFERROR(__xludf.DUMMYFUNCTION("if(regexmatch(B267,""e(.*)$""),regexextract(B267,""e(.*)$""),"""")"),"")</f>
        <v/>
      </c>
    </row>
    <row r="268">
      <c r="A268" s="80" t="s">
        <v>2705</v>
      </c>
      <c r="B268" s="80" t="s">
        <v>5309</v>
      </c>
      <c r="C268" s="80"/>
      <c r="D268" s="18" t="str">
        <f t="shared" si="1"/>
        <v/>
      </c>
      <c r="E268" s="60" t="str">
        <f>VLOOKUP($A268,nist_names_ids!A:B,2,false)</f>
        <v>mpsmn</v>
      </c>
      <c r="F268" s="61">
        <f>countif(Constants!A:A,E268)</f>
        <v>1</v>
      </c>
      <c r="G268" s="60" t="str">
        <f>IFERROR(__xludf.DUMMYFUNCTION("REGEXREPLACE(substitute(substitute(B268,"" "",""""),""..."",""""),""\(.*\)"","""")"),"0.99862347824")</f>
        <v>0.99862347824</v>
      </c>
      <c r="H268" s="62">
        <f t="shared" si="2"/>
        <v>0.9986234782</v>
      </c>
      <c r="I268" s="60" t="str">
        <f>IFERROR(__xludf.DUMMYFUNCTION("if(regexmatch($B268,""\(""),CONCATENATE(regexreplace(REGEXREPLACE(substitute(left($B268,find(""("",$B268)-1),"" "",""""),""\d"",""0""),""[-0]*\."",""0.""), REGEXEXTRACT($B268,""\((.*)\)""),TRIM(REGEXEXTRACT($B268,""\)(.*)""))),"""")"),"0.0000000000046")</f>
        <v>0.0000000000046</v>
      </c>
      <c r="J268" s="62">
        <f t="shared" si="3"/>
        <v>0</v>
      </c>
      <c r="K268" s="62" t="b">
        <f t="shared" si="4"/>
        <v>0</v>
      </c>
      <c r="L268" s="62" t="b">
        <f t="shared" si="5"/>
        <v>0</v>
      </c>
      <c r="M268" s="60" t="str">
        <f>IFERROR(__xludf.DUMMYFUNCTION("if(regexmatch(B268,""e(.*)$""),regexextract(B268,""e(.*)$""),"""")"),"")</f>
        <v/>
      </c>
    </row>
    <row r="269">
      <c r="A269" s="80" t="s">
        <v>2715</v>
      </c>
      <c r="B269" s="80" t="s">
        <v>5312</v>
      </c>
      <c r="C269" s="80"/>
      <c r="D269" s="18" t="str">
        <f t="shared" si="1"/>
        <v/>
      </c>
      <c r="E269" s="60" t="str">
        <f>VLOOKUP($A269,nist_names_ids!A:B,2,false)</f>
        <v>mpsmtau</v>
      </c>
      <c r="F269" s="61">
        <f>countif(Constants!A:A,E269)</f>
        <v>1</v>
      </c>
      <c r="G269" s="60" t="str">
        <f>IFERROR(__xludf.DUMMYFUNCTION("REGEXREPLACE(substitute(substitute(B269,"" "",""""),""..."",""""),""\(.*\)"","""")"),"0.528012")</f>
        <v>0.528012</v>
      </c>
      <c r="H269" s="62">
        <f t="shared" si="2"/>
        <v>0.528012</v>
      </c>
      <c r="I269" s="60" t="str">
        <f>IFERROR(__xludf.DUMMYFUNCTION("if(regexmatch($B269,""\(""),CONCATENATE(regexreplace(REGEXREPLACE(substitute(left($B269,find(""("",$B269)-1),"" "",""""),""\d"",""0""),""[-0]*\."",""0.""), REGEXEXTRACT($B269,""\((.*)\)""),TRIM(REGEXEXTRACT($B269,""\)(.*)""))),"""")"),"0.00000086")</f>
        <v>0.00000086</v>
      </c>
      <c r="J269" s="62">
        <f t="shared" si="3"/>
        <v>0.00000086</v>
      </c>
      <c r="K269" s="62" t="b">
        <f t="shared" si="4"/>
        <v>0</v>
      </c>
      <c r="L269" s="62" t="b">
        <f t="shared" si="5"/>
        <v>0</v>
      </c>
      <c r="M269" s="60" t="str">
        <f>IFERROR(__xludf.DUMMYFUNCTION("if(regexmatch(B269,""e(.*)$""),regexextract(B269,""e(.*)$""),"""")"),"")</f>
        <v/>
      </c>
    </row>
    <row r="270">
      <c r="A270" s="80" t="s">
        <v>2719</v>
      </c>
      <c r="B270" s="80" t="s">
        <v>5315</v>
      </c>
      <c r="C270" s="80" t="s">
        <v>5316</v>
      </c>
      <c r="D270" s="18" t="str">
        <f t="shared" si="1"/>
        <v>m^2 s^-1</v>
      </c>
      <c r="E270" s="60" t="str">
        <f>VLOOKUP($A270,nist_names_ids!A:B,2,false)</f>
        <v>qucirchs2me</v>
      </c>
      <c r="F270" s="61">
        <f>countif(Constants!A:A,E270)</f>
        <v>1</v>
      </c>
      <c r="G270" s="60" t="str">
        <f>IFERROR(__xludf.DUMMYFUNCTION("REGEXREPLACE(substitute(substitute(B270,"" "",""""),""..."",""""),""\(.*\)"","""")"),"3.6369475199e-4")</f>
        <v>3.6369475199e-4</v>
      </c>
      <c r="H270" s="62">
        <f t="shared" si="2"/>
        <v>0.000363694752</v>
      </c>
      <c r="I270" s="60" t="str">
        <f>IFERROR(__xludf.DUMMYFUNCTION("if(regexmatch($B270,""\(""),CONCATENATE(regexreplace(REGEXREPLACE(substitute(left($B270,find(""("",$B270)-1),"" "",""""),""\d"",""0""),""[-0]*\."",""0.""), REGEXEXTRACT($B270,""\((.*)\)""),TRIM(REGEXEXTRACT($B270,""\)(.*)""))),"""")"),"0.000000000050e-4")</f>
        <v>0.000000000050e-4</v>
      </c>
      <c r="J270" s="62">
        <f t="shared" si="3"/>
        <v>0</v>
      </c>
      <c r="K270" s="62" t="b">
        <f t="shared" si="4"/>
        <v>0</v>
      </c>
      <c r="L270" s="62" t="b">
        <f t="shared" si="5"/>
        <v>0</v>
      </c>
      <c r="M270" s="60" t="str">
        <f>IFERROR(__xludf.DUMMYFUNCTION("if(regexmatch(B270,""e(.*)$""),regexextract(B270,""e(.*)$""),"""")"),"-4")</f>
        <v>-4</v>
      </c>
    </row>
    <row r="271">
      <c r="A271" s="80" t="s">
        <v>2727</v>
      </c>
      <c r="B271" s="80" t="s">
        <v>5318</v>
      </c>
      <c r="C271" s="80" t="s">
        <v>5316</v>
      </c>
      <c r="D271" s="18" t="str">
        <f t="shared" si="1"/>
        <v>m^2 s^-1</v>
      </c>
      <c r="E271" s="60" t="str">
        <f>VLOOKUP($A271,nist_names_ids!A:B,2,false)</f>
        <v>hsme</v>
      </c>
      <c r="F271" s="61">
        <f>countif(Constants!A:A,E271)</f>
        <v>1</v>
      </c>
      <c r="G271" s="60" t="str">
        <f>IFERROR(__xludf.DUMMYFUNCTION("REGEXREPLACE(substitute(substitute(B271,"" "",""""),""..."",""""),""\(.*\)"","""")"),"7.273895040e-4")</f>
        <v>7.273895040e-4</v>
      </c>
      <c r="H271" s="62">
        <f t="shared" si="2"/>
        <v>0.000727389504</v>
      </c>
      <c r="I271" s="60" t="str">
        <f>IFERROR(__xludf.DUMMYFUNCTION("if(regexmatch($B271,""\(""),CONCATENATE(regexreplace(REGEXREPLACE(substitute(left($B271,find(""("",$B271)-1),"" "",""""),""\d"",""0""),""[-0]*\."",""0.""), REGEXEXTRACT($B271,""\((.*)\)""),TRIM(REGEXEXTRACT($B271,""\)(.*)""))),"""")"),"0.00000000010e-4")</f>
        <v>0.00000000010e-4</v>
      </c>
      <c r="J271" s="62">
        <f t="shared" si="3"/>
        <v>0</v>
      </c>
      <c r="K271" s="62" t="b">
        <f t="shared" si="4"/>
        <v>0</v>
      </c>
      <c r="L271" s="62" t="b">
        <f t="shared" si="5"/>
        <v>0</v>
      </c>
      <c r="M271" s="60" t="str">
        <f>IFERROR(__xludf.DUMMYFUNCTION("if(regexmatch(B271,""e(.*)$""),regexextract(B271,""e(.*)$""),"""")"),"-4")</f>
        <v>-4</v>
      </c>
    </row>
    <row r="272">
      <c r="A272" s="80" t="s">
        <v>2769</v>
      </c>
      <c r="B272" s="80" t="s">
        <v>5321</v>
      </c>
      <c r="C272" s="80" t="s">
        <v>4359</v>
      </c>
      <c r="D272" s="18" t="str">
        <f t="shared" si="1"/>
        <v>m^-1</v>
      </c>
      <c r="E272" s="60" t="str">
        <f>VLOOKUP($A272,nist_names_ids!A:B,2,false)</f>
        <v>ryd</v>
      </c>
      <c r="F272" s="61">
        <f>countif(Constants!A:A,E272)</f>
        <v>1</v>
      </c>
      <c r="G272" s="60" t="str">
        <f>IFERROR(__xludf.DUMMYFUNCTION("REGEXREPLACE(substitute(substitute(B272,"" "",""""),""..."",""""),""\(.*\)"","""")"),"10973731.568527")</f>
        <v>10973731.568527</v>
      </c>
      <c r="H272" s="62">
        <f t="shared" si="2"/>
        <v>10973731.57</v>
      </c>
      <c r="I272" s="60" t="str">
        <f>IFERROR(__xludf.DUMMYFUNCTION("if(regexmatch($B272,""\(""),CONCATENATE(regexreplace(REGEXREPLACE(substitute(left($B272,find(""("",$B272)-1),"" "",""""),""\d"",""0""),""[-0]*\."",""0.""), REGEXEXTRACT($B272,""\((.*)\)""),TRIM(REGEXEXTRACT($B272,""\)(.*)""))),"""")"),"0.00000073")</f>
        <v>0.00000073</v>
      </c>
      <c r="J272" s="62">
        <f t="shared" si="3"/>
        <v>0.00000073</v>
      </c>
      <c r="K272" s="62" t="b">
        <f t="shared" si="4"/>
        <v>0</v>
      </c>
      <c r="L272" s="62" t="b">
        <f t="shared" si="5"/>
        <v>0</v>
      </c>
      <c r="M272" s="60" t="str">
        <f>IFERROR(__xludf.DUMMYFUNCTION("if(regexmatch(B272,""e(.*)$""),regexextract(B272,""e(.*)$""),"""")"),"")</f>
        <v/>
      </c>
    </row>
    <row r="273">
      <c r="A273" s="80" t="s">
        <v>2774</v>
      </c>
      <c r="B273" s="80" t="s">
        <v>5323</v>
      </c>
      <c r="C273" s="80" t="s">
        <v>257</v>
      </c>
      <c r="D273" s="18" t="str">
        <f t="shared" si="1"/>
        <v>Hz</v>
      </c>
      <c r="E273" s="60" t="str">
        <f>VLOOKUP($A273,nist_names_ids!A:B,2,false)</f>
        <v>rydchz</v>
      </c>
      <c r="F273" s="61">
        <f>countif(Constants!A:A,E273)</f>
        <v>1</v>
      </c>
      <c r="G273" s="60" t="str">
        <f>IFERROR(__xludf.DUMMYFUNCTION("REGEXREPLACE(substitute(substitute(B273,"" "",""""),""..."",""""),""\(.*\)"","""")"),"3.289841960361e15")</f>
        <v>3.289841960361e15</v>
      </c>
      <c r="H273" s="62">
        <f t="shared" si="2"/>
        <v>3.28984E+15</v>
      </c>
      <c r="I273" s="60" t="str">
        <f>IFERROR(__xludf.DUMMYFUNCTION("if(regexmatch($B273,""\(""),CONCATENATE(regexreplace(REGEXREPLACE(substitute(left($B273,find(""("",$B273)-1),"" "",""""),""\d"",""0""),""[-0]*\."",""0.""), REGEXEXTRACT($B273,""\((.*)\)""),TRIM(REGEXEXTRACT($B273,""\)(.*)""))),"""")"),"0.00000000000022e15")</f>
        <v>0.00000000000022e15</v>
      </c>
      <c r="J273" s="62">
        <f t="shared" si="3"/>
        <v>220</v>
      </c>
      <c r="K273" s="62" t="b">
        <f t="shared" si="4"/>
        <v>0</v>
      </c>
      <c r="L273" s="62" t="b">
        <f t="shared" si="5"/>
        <v>0</v>
      </c>
      <c r="M273" s="60" t="str">
        <f>IFERROR(__xludf.DUMMYFUNCTION("if(regexmatch(B273,""e(.*)$""),regexextract(B273,""e(.*)$""),"""")"),"15")</f>
        <v>15</v>
      </c>
    </row>
    <row r="274">
      <c r="A274" s="80" t="s">
        <v>2784</v>
      </c>
      <c r="B274" s="80" t="s">
        <v>5324</v>
      </c>
      <c r="C274" s="80" t="s">
        <v>173</v>
      </c>
      <c r="D274" s="18" t="str">
        <f t="shared" si="1"/>
        <v>J</v>
      </c>
      <c r="E274" s="60" t="str">
        <f>VLOOKUP($A274,nist_names_ids!A:B,2,false)</f>
        <v>rydhcj</v>
      </c>
      <c r="F274" s="61">
        <f>countif(Constants!A:A,E274)</f>
        <v>1</v>
      </c>
      <c r="G274" s="60" t="str">
        <f>IFERROR(__xludf.DUMMYFUNCTION("REGEXREPLACE(substitute(substitute(B274,"" "",""""),""..."",""""),""\(.*\)"","""")"),"2.17987197e-18")</f>
        <v>2.17987197e-18</v>
      </c>
      <c r="H274" s="62">
        <f t="shared" si="2"/>
        <v>0</v>
      </c>
      <c r="I274" s="60" t="str">
        <f>IFERROR(__xludf.DUMMYFUNCTION("if(regexmatch($B274,""\(""),CONCATENATE(regexreplace(REGEXREPLACE(substitute(left($B274,find(""("",$B274)-1),"" "",""""),""\d"",""0""),""[-0]*\."",""0.""), REGEXEXTRACT($B274,""\((.*)\)""),TRIM(REGEXEXTRACT($B274,""\)(.*)""))),"""")"),"0.0000000011e-18")</f>
        <v>0.0000000011e-18</v>
      </c>
      <c r="J274" s="62">
        <f t="shared" si="3"/>
        <v>0</v>
      </c>
      <c r="K274" s="62" t="b">
        <f t="shared" si="4"/>
        <v>0</v>
      </c>
      <c r="L274" s="62" t="b">
        <f t="shared" si="5"/>
        <v>0</v>
      </c>
      <c r="M274" s="60" t="str">
        <f>IFERROR(__xludf.DUMMYFUNCTION("if(regexmatch(B274,""e(.*)$""),regexextract(B274,""e(.*)$""),"""")"),"-18")</f>
        <v>-18</v>
      </c>
    </row>
    <row r="275">
      <c r="A275" s="80" t="s">
        <v>2780</v>
      </c>
      <c r="B275" s="80" t="s">
        <v>5325</v>
      </c>
      <c r="C275" s="80" t="s">
        <v>181</v>
      </c>
      <c r="D275" s="18" t="str">
        <f t="shared" si="1"/>
        <v>eV</v>
      </c>
      <c r="E275" s="60" t="str">
        <f>VLOOKUP($A275,nist_names_ids!A:B,2,false)</f>
        <v>rydhcev</v>
      </c>
      <c r="F275" s="61">
        <f>countif(Constants!A:A,E275)</f>
        <v>1</v>
      </c>
      <c r="G275" s="60" t="str">
        <f>IFERROR(__xludf.DUMMYFUNCTION("REGEXREPLACE(substitute(substitute(B275,"" "",""""),""..."",""""),""\(.*\)"","""")"),"13.60569193")</f>
        <v>13.60569193</v>
      </c>
      <c r="H275" s="62">
        <f t="shared" si="2"/>
        <v>13.60569193</v>
      </c>
      <c r="I275" s="60" t="str">
        <f>IFERROR(__xludf.DUMMYFUNCTION("if(regexmatch($B275,""\(""),CONCATENATE(regexreplace(REGEXREPLACE(substitute(left($B275,find(""("",$B275)-1),"" "",""""),""\d"",""0""),""[-0]*\."",""0.""), REGEXEXTRACT($B275,""\((.*)\)""),TRIM(REGEXEXTRACT($B275,""\)(.*)""))),"""")"),"0.0000000034")</f>
        <v>0.0000000034</v>
      </c>
      <c r="J275" s="62">
        <f t="shared" si="3"/>
        <v>0.0000000034</v>
      </c>
      <c r="K275" s="62" t="b">
        <f t="shared" si="4"/>
        <v>0</v>
      </c>
      <c r="L275" s="62" t="b">
        <f t="shared" si="5"/>
        <v>0</v>
      </c>
      <c r="M275" s="60" t="str">
        <f>IFERROR(__xludf.DUMMYFUNCTION("if(regexmatch(B275,""e(.*)$""),regexextract(B275,""e(.*)$""),"""")"),"")</f>
        <v/>
      </c>
    </row>
    <row r="276">
      <c r="A276" s="80" t="s">
        <v>4486</v>
      </c>
      <c r="B276" s="80" t="s">
        <v>5327</v>
      </c>
      <c r="C276" s="80"/>
      <c r="D276" s="18" t="str">
        <f t="shared" si="1"/>
        <v/>
      </c>
      <c r="E276" s="60" t="str">
        <f>VLOOKUP($A276,nist_names_ids!A:B,2,false)</f>
        <v>s0sr</v>
      </c>
      <c r="F276" s="61">
        <f>countif(Constants!A:A,E276)</f>
        <v>1</v>
      </c>
      <c r="G276" s="60" t="str">
        <f>IFERROR(__xludf.DUMMYFUNCTION("REGEXREPLACE(substitute(substitute(B276,"" "",""""),""..."",""""),""\(.*\)"","""")"),"-1.1517047")</f>
        <v>-1.1517047</v>
      </c>
      <c r="H276" s="62">
        <f t="shared" si="2"/>
        <v>-1.1517047</v>
      </c>
      <c r="I276" s="60" t="str">
        <f>IFERROR(__xludf.DUMMYFUNCTION("if(regexmatch($B276,""\(""),CONCATENATE(regexreplace(REGEXREPLACE(substitute(left($B276,find(""("",$B276)-1),"" "",""""),""\d"",""0""),""[-0]*\."",""0.""), REGEXEXTRACT($B276,""\((.*)\)""),TRIM(REGEXEXTRACT($B276,""\)(.*)""))),"""")"),"0.000000044")</f>
        <v>0.000000044</v>
      </c>
      <c r="J276" s="62">
        <f t="shared" si="3"/>
        <v>0.000000044</v>
      </c>
      <c r="K276" s="62" t="b">
        <f t="shared" si="4"/>
        <v>0</v>
      </c>
      <c r="L276" s="62" t="b">
        <f t="shared" si="5"/>
        <v>0</v>
      </c>
      <c r="M276" s="60" t="str">
        <f>IFERROR(__xludf.DUMMYFUNCTION("if(regexmatch(B276,""e(.*)$""),regexextract(B276,""e(.*)$""),"""")"),"")</f>
        <v/>
      </c>
    </row>
    <row r="277">
      <c r="A277" s="80" t="s">
        <v>4489</v>
      </c>
      <c r="B277" s="80" t="s">
        <v>5329</v>
      </c>
      <c r="C277" s="80"/>
      <c r="D277" s="18" t="str">
        <f t="shared" si="1"/>
        <v/>
      </c>
      <c r="E277" s="60" t="str">
        <f>VLOOKUP($A277,nist_names_ids!A:B,2,false)</f>
        <v>s0srstd</v>
      </c>
      <c r="F277" s="61">
        <f>countif(Constants!A:A,E277)</f>
        <v>1</v>
      </c>
      <c r="G277" s="60" t="str">
        <f>IFERROR(__xludf.DUMMYFUNCTION("REGEXREPLACE(substitute(substitute(B277,"" "",""""),""..."",""""),""\(.*\)"","""")"),"-1.1648677")</f>
        <v>-1.1648677</v>
      </c>
      <c r="H277" s="62">
        <f t="shared" si="2"/>
        <v>-1.1648677</v>
      </c>
      <c r="I277" s="60" t="str">
        <f>IFERROR(__xludf.DUMMYFUNCTION("if(regexmatch($B277,""\(""),CONCATENATE(regexreplace(REGEXREPLACE(substitute(left($B277,find(""("",$B277)-1),"" "",""""),""\d"",""0""),""[-0]*\."",""0.""), REGEXEXTRACT($B277,""\((.*)\)""),TRIM(REGEXEXTRACT($B277,""\)(.*)""))),"""")"),"0.000000044")</f>
        <v>0.000000044</v>
      </c>
      <c r="J277" s="62">
        <f t="shared" si="3"/>
        <v>0.000000044</v>
      </c>
      <c r="K277" s="62" t="b">
        <f t="shared" si="4"/>
        <v>0</v>
      </c>
      <c r="L277" s="62" t="b">
        <f t="shared" si="5"/>
        <v>0</v>
      </c>
      <c r="M277" s="60" t="str">
        <f>IFERROR(__xludf.DUMMYFUNCTION("if(regexmatch(B277,""e(.*)$""),regexextract(B277,""e(.*)$""),"""")"),"")</f>
        <v/>
      </c>
    </row>
    <row r="278">
      <c r="A278" s="80" t="s">
        <v>2799</v>
      </c>
      <c r="B278" s="80" t="s">
        <v>4972</v>
      </c>
      <c r="C278" s="80" t="s">
        <v>2800</v>
      </c>
      <c r="D278" s="18" t="str">
        <f t="shared" si="1"/>
        <v>m K</v>
      </c>
      <c r="E278" s="60" t="str">
        <f>VLOOKUP($A278,nist_names_ids!A:B,2,false)</f>
        <v>c22ndrc</v>
      </c>
      <c r="F278" s="61">
        <f>countif(Constants!A:A,E278)</f>
        <v>1</v>
      </c>
      <c r="G278" s="60" t="str">
        <f>IFERROR(__xludf.DUMMYFUNCTION("REGEXREPLACE(substitute(substitute(B278,"" "",""""),""..."",""""),""\(.*\)"","""")"),"1.4387752e-2")</f>
        <v>1.4387752e-2</v>
      </c>
      <c r="H278" s="62">
        <f t="shared" si="2"/>
        <v>0.014387752</v>
      </c>
      <c r="I278" s="60" t="str">
        <f>IFERROR(__xludf.DUMMYFUNCTION("if(regexmatch($B278,""\(""),CONCATENATE(regexreplace(REGEXREPLACE(substitute(left($B278,find(""("",$B278)-1),"" "",""""),""\d"",""0""),""[-0]*\."",""0.""), REGEXEXTRACT($B278,""\((.*)\)""),TRIM(REGEXEXTRACT($B278,""\)(.*)""))),"""")"),"0.000000025e-2")</f>
        <v>0.000000025e-2</v>
      </c>
      <c r="J278" s="62">
        <f t="shared" si="3"/>
        <v>0.00000000025</v>
      </c>
      <c r="K278" s="62" t="b">
        <f t="shared" si="4"/>
        <v>0</v>
      </c>
      <c r="L278" s="62" t="b">
        <f t="shared" si="5"/>
        <v>0</v>
      </c>
      <c r="M278" s="60" t="str">
        <f>IFERROR(__xludf.DUMMYFUNCTION("if(regexmatch(B278,""e(.*)$""),regexextract(B278,""e(.*)$""),"""")"),"-2")</f>
        <v>-2</v>
      </c>
    </row>
    <row r="279">
      <c r="A279" s="80" t="s">
        <v>4507</v>
      </c>
      <c r="B279" s="80" t="s">
        <v>5330</v>
      </c>
      <c r="C279" s="80" t="s">
        <v>4596</v>
      </c>
      <c r="D279" s="18" t="str">
        <f t="shared" si="1"/>
        <v>s^-1 T^-1</v>
      </c>
      <c r="E279" s="60" t="str">
        <f>VLOOKUP($A279,nist_names_ids!A:B,2,false)</f>
        <v>gammahp</v>
      </c>
      <c r="F279" s="61">
        <f>countif(Constants!A:A,E279)</f>
        <v>1</v>
      </c>
      <c r="G279" s="60" t="str">
        <f>IFERROR(__xludf.DUMMYFUNCTION("REGEXREPLACE(substitute(substitute(B279,"" "",""""),""..."",""""),""\(.*\)"","""")"),"2.037894730e8")</f>
        <v>2.037894730e8</v>
      </c>
      <c r="H279" s="62">
        <f t="shared" si="2"/>
        <v>203789473</v>
      </c>
      <c r="I279" s="60" t="str">
        <f>IFERROR(__xludf.DUMMYFUNCTION("if(regexmatch($B279,""\(""),CONCATENATE(regexreplace(REGEXREPLACE(substitute(left($B279,find(""("",$B279)-1),"" "",""""),""\d"",""0""),""[-0]*\."",""0.""), REGEXEXTRACT($B279,""\((.*)\)""),TRIM(REGEXEXTRACT($B279,""\)(.*)""))),"""")"),"0.00000000056e8")</f>
        <v>0.00000000056e8</v>
      </c>
      <c r="J279" s="62">
        <f t="shared" si="3"/>
        <v>0.056</v>
      </c>
      <c r="K279" s="62" t="b">
        <f t="shared" si="4"/>
        <v>0</v>
      </c>
      <c r="L279" s="62" t="b">
        <f t="shared" si="5"/>
        <v>0</v>
      </c>
      <c r="M279" s="60" t="str">
        <f>IFERROR(__xludf.DUMMYFUNCTION("if(regexmatch(B279,""e(.*)$""),regexextract(B279,""e(.*)$""),"""")"),"8")</f>
        <v>8</v>
      </c>
    </row>
    <row r="280">
      <c r="A280" s="80" t="s">
        <v>4524</v>
      </c>
      <c r="B280" s="80" t="s">
        <v>5332</v>
      </c>
      <c r="C280" s="80" t="s">
        <v>4602</v>
      </c>
      <c r="D280" s="18" t="str">
        <f t="shared" si="1"/>
        <v>MHz T^-1</v>
      </c>
      <c r="E280" s="60" t="str">
        <f>VLOOKUP($A280,nist_names_ids!A:B,2,false)</f>
        <v>gammahpbar</v>
      </c>
      <c r="F280" s="61">
        <f>countif(Constants!A:A,E280)</f>
        <v>1</v>
      </c>
      <c r="G280" s="60" t="str">
        <f>IFERROR(__xludf.DUMMYFUNCTION("REGEXREPLACE(substitute(substitute(B280,"" "",""""),""..."",""""),""\(.*\)"","""")"),"32.43410198")</f>
        <v>32.43410198</v>
      </c>
      <c r="H280" s="62">
        <f t="shared" si="2"/>
        <v>32.43410198</v>
      </c>
      <c r="I280" s="60" t="str">
        <f>IFERROR(__xludf.DUMMYFUNCTION("if(regexmatch($B280,""\(""),CONCATENATE(regexreplace(REGEXREPLACE(substitute(left($B280,find(""("",$B280)-1),"" "",""""),""\d"",""0""),""[-0]*\."",""0.""), REGEXEXTRACT($B280,""\((.*)\)""),TRIM(REGEXEXTRACT($B280,""\)(.*)""))),"""")"),"0.0000000090")</f>
        <v>0.0000000090</v>
      </c>
      <c r="J280" s="62">
        <f t="shared" si="3"/>
        <v>0.000000009</v>
      </c>
      <c r="K280" s="62" t="b">
        <f t="shared" si="4"/>
        <v>0</v>
      </c>
      <c r="L280" s="62" t="b">
        <f t="shared" si="5"/>
        <v>0</v>
      </c>
      <c r="M280" s="60" t="str">
        <f>IFERROR(__xludf.DUMMYFUNCTION("if(regexmatch(B280,""e(.*)$""),regexextract(B280,""e(.*)$""),"""")"),"")</f>
        <v/>
      </c>
    </row>
    <row r="281">
      <c r="A281" s="80" t="s">
        <v>4533</v>
      </c>
      <c r="B281" s="80" t="s">
        <v>5334</v>
      </c>
      <c r="C281" s="80" t="s">
        <v>4421</v>
      </c>
      <c r="D281" s="18" t="str">
        <f t="shared" si="1"/>
        <v>J T^-1</v>
      </c>
      <c r="E281" s="60" t="str">
        <f>VLOOKUP($A281,nist_names_ids!A:B,2,false)</f>
        <v>muhp</v>
      </c>
      <c r="F281" s="61">
        <f>countif(Constants!A:A,E281)</f>
        <v>1</v>
      </c>
      <c r="G281" s="60" t="str">
        <f>IFERROR(__xludf.DUMMYFUNCTION("REGEXREPLACE(substitute(substitute(B281,"" "",""""),""..."",""""),""\(.*\)"","""")"),"-1.074552982e-26")</f>
        <v>-1.074552982e-26</v>
      </c>
      <c r="H281" s="62">
        <f t="shared" si="2"/>
        <v>0</v>
      </c>
      <c r="I281" s="60" t="str">
        <f>IFERROR(__xludf.DUMMYFUNCTION("if(regexmatch($B281,""\(""),CONCATENATE(regexreplace(REGEXREPLACE(substitute(left($B281,find(""("",$B281)-1),"" "",""""),""\d"",""0""),""[-0]*\."",""0.""), REGEXEXTRACT($B281,""\((.*)\)""),TRIM(REGEXEXTRACT($B281,""\)(.*)""))),"""")"),"0.00000000030e-26")</f>
        <v>0.00000000030e-26</v>
      </c>
      <c r="J281" s="62">
        <f t="shared" si="3"/>
        <v>0</v>
      </c>
      <c r="K281" s="62" t="b">
        <f t="shared" si="4"/>
        <v>0</v>
      </c>
      <c r="L281" s="62" t="b">
        <f t="shared" si="5"/>
        <v>0</v>
      </c>
      <c r="M281" s="60" t="str">
        <f>IFERROR(__xludf.DUMMYFUNCTION("if(regexmatch(B281,""e(.*)$""),regexextract(B281,""e(.*)$""),"""")"),"-26")</f>
        <v>-26</v>
      </c>
    </row>
    <row r="282">
      <c r="A282" s="80" t="s">
        <v>4546</v>
      </c>
      <c r="B282" s="80" t="s">
        <v>5337</v>
      </c>
      <c r="C282" s="80"/>
      <c r="D282" s="18" t="str">
        <f t="shared" si="1"/>
        <v/>
      </c>
      <c r="E282" s="60" t="str">
        <f>VLOOKUP($A282,nist_names_ids!A:B,2,false)</f>
        <v>muhpsmub</v>
      </c>
      <c r="F282" s="61">
        <f>countif(Constants!A:A,E282)</f>
        <v>1</v>
      </c>
      <c r="G282" s="60" t="str">
        <f>IFERROR(__xludf.DUMMYFUNCTION("REGEXREPLACE(substitute(substitute(B282,"" "",""""),""..."",""""),""\(.*\)"","""")"),"-1.158671471e-3")</f>
        <v>-1.158671471e-3</v>
      </c>
      <c r="H282" s="62">
        <f t="shared" si="2"/>
        <v>-0.001158671471</v>
      </c>
      <c r="I282" s="60" t="str">
        <f>IFERROR(__xludf.DUMMYFUNCTION("if(regexmatch($B282,""\(""),CONCATENATE(regexreplace(REGEXREPLACE(substitute(left($B282,find(""("",$B282)-1),"" "",""""),""\d"",""0""),""[-0]*\."",""0.""), REGEXEXTRACT($B282,""\((.*)\)""),TRIM(REGEXEXTRACT($B282,""\)(.*)""))),"""")"),"0.00000000014e-3")</f>
        <v>0.00000000014e-3</v>
      </c>
      <c r="J282" s="62">
        <f t="shared" si="3"/>
        <v>0</v>
      </c>
      <c r="K282" s="62" t="b">
        <f t="shared" si="4"/>
        <v>0</v>
      </c>
      <c r="L282" s="62" t="b">
        <f t="shared" si="5"/>
        <v>0</v>
      </c>
      <c r="M282" s="60" t="str">
        <f>IFERROR(__xludf.DUMMYFUNCTION("if(regexmatch(B282,""e(.*)$""),regexextract(B282,""e(.*)$""),"""")"),"-3")</f>
        <v>-3</v>
      </c>
    </row>
    <row r="283">
      <c r="A283" s="80" t="s">
        <v>4557</v>
      </c>
      <c r="B283" s="80" t="s">
        <v>5338</v>
      </c>
      <c r="C283" s="80"/>
      <c r="D283" s="18" t="str">
        <f t="shared" si="1"/>
        <v/>
      </c>
      <c r="E283" s="60" t="str">
        <f>VLOOKUP($A283,nist_names_ids!A:B,2,false)</f>
        <v>muhpsmun</v>
      </c>
      <c r="F283" s="61">
        <f>countif(Constants!A:A,E283)</f>
        <v>1</v>
      </c>
      <c r="G283" s="60" t="str">
        <f>IFERROR(__xludf.DUMMYFUNCTION("REGEXREPLACE(substitute(substitute(B283,"" "",""""),""..."",""""),""\(.*\)"","""")"),"-2.127497718")</f>
        <v>-2.127497718</v>
      </c>
      <c r="H283" s="62">
        <f t="shared" si="2"/>
        <v>-2.127497718</v>
      </c>
      <c r="I283" s="60" t="str">
        <f>IFERROR(__xludf.DUMMYFUNCTION("if(regexmatch($B283,""\(""),CONCATENATE(regexreplace(REGEXREPLACE(substitute(left($B283,find(""("",$B283)-1),"" "",""""),""\d"",""0""),""[-0]*\."",""0.""), REGEXEXTRACT($B283,""\((.*)\)""),TRIM(REGEXEXTRACT($B283,""\)(.*)""))),"""")"),"0.00000000025")</f>
        <v>0.00000000025</v>
      </c>
      <c r="J283" s="62">
        <f t="shared" si="3"/>
        <v>0.00000000025</v>
      </c>
      <c r="K283" s="62" t="b">
        <f t="shared" si="4"/>
        <v>0</v>
      </c>
      <c r="L283" s="62" t="b">
        <f t="shared" si="5"/>
        <v>0</v>
      </c>
      <c r="M283" s="60" t="str">
        <f>IFERROR(__xludf.DUMMYFUNCTION("if(regexmatch(B283,""e(.*)$""),regexextract(B283,""e(.*)$""),"""")"),"")</f>
        <v/>
      </c>
    </row>
    <row r="284">
      <c r="A284" s="80" t="s">
        <v>4569</v>
      </c>
      <c r="B284" s="80" t="s">
        <v>5340</v>
      </c>
      <c r="C284" s="80"/>
      <c r="D284" s="18" t="str">
        <f t="shared" si="1"/>
        <v/>
      </c>
      <c r="E284" s="60" t="str">
        <f>VLOOKUP($A284,nist_names_ids!A:B,2,false)</f>
        <v>muhpsmup</v>
      </c>
      <c r="F284" s="61">
        <f>countif(Constants!A:A,E284)</f>
        <v>1</v>
      </c>
      <c r="G284" s="60" t="str">
        <f>IFERROR(__xludf.DUMMYFUNCTION("REGEXREPLACE(substitute(substitute(B284,"" "",""""),""..."",""""),""\(.*\)"","""")"),"-0.761766558")</f>
        <v>-0.761766558</v>
      </c>
      <c r="H284" s="62">
        <f t="shared" si="2"/>
        <v>-0.761766558</v>
      </c>
      <c r="I284" s="60" t="str">
        <f>IFERROR(__xludf.DUMMYFUNCTION("if(regexmatch($B284,""\(""),CONCATENATE(regexreplace(REGEXREPLACE(substitute(left($B284,find(""("",$B284)-1),"" "",""""),""\d"",""0""),""[-0]*\."",""0.""), REGEXEXTRACT($B284,""\((.*)\)""),TRIM(REGEXEXTRACT($B284,""\)(.*)""))),"""")"),"0.00000000011")</f>
        <v>0.00000000011</v>
      </c>
      <c r="J284" s="62">
        <f t="shared" si="3"/>
        <v>0.00000000011</v>
      </c>
      <c r="K284" s="62" t="b">
        <f t="shared" si="4"/>
        <v>0</v>
      </c>
      <c r="L284" s="62" t="b">
        <f t="shared" si="5"/>
        <v>0</v>
      </c>
      <c r="M284" s="60" t="str">
        <f>IFERROR(__xludf.DUMMYFUNCTION("if(regexmatch(B284,""e(.*)$""),regexextract(B284,""e(.*)$""),"""")"),"")</f>
        <v/>
      </c>
    </row>
    <row r="285">
      <c r="A285" s="80" t="s">
        <v>4577</v>
      </c>
      <c r="B285" s="80" t="s">
        <v>5343</v>
      </c>
      <c r="C285" s="80"/>
      <c r="D285" s="18" t="str">
        <f t="shared" si="1"/>
        <v/>
      </c>
      <c r="E285" s="60" t="str">
        <f>VLOOKUP($A285,nist_names_ids!A:B,2,false)</f>
        <v>muhpsmupp</v>
      </c>
      <c r="F285" s="61">
        <f>countif(Constants!A:A,E285)</f>
        <v>1</v>
      </c>
      <c r="G285" s="60" t="str">
        <f>IFERROR(__xludf.DUMMYFUNCTION("REGEXREPLACE(substitute(substitute(B285,"" "",""""),""..."",""""),""\(.*\)"","""")"),"-0.7617861313")</f>
        <v>-0.7617861313</v>
      </c>
      <c r="H285" s="62">
        <f t="shared" si="2"/>
        <v>-0.7617861313</v>
      </c>
      <c r="I285" s="60" t="str">
        <f>IFERROR(__xludf.DUMMYFUNCTION("if(regexmatch($B285,""\(""),CONCATENATE(regexreplace(REGEXREPLACE(substitute(left($B285,find(""("",$B285)-1),"" "",""""),""\d"",""0""),""[-0]*\."",""0.""), REGEXEXTRACT($B285,""\((.*)\)""),TRIM(REGEXEXTRACT($B285,""\)(.*)""))),"""")"),"0.000000000033")</f>
        <v>0.000000000033</v>
      </c>
      <c r="J285" s="62">
        <f t="shared" si="3"/>
        <v>0</v>
      </c>
      <c r="K285" s="62" t="b">
        <f t="shared" si="4"/>
        <v>0</v>
      </c>
      <c r="L285" s="62" t="b">
        <f t="shared" si="5"/>
        <v>0</v>
      </c>
      <c r="M285" s="60" t="str">
        <f>IFERROR(__xludf.DUMMYFUNCTION("if(regexmatch(B285,""e(.*)$""),regexextract(B285,""e(.*)$""),"""")"),"")</f>
        <v/>
      </c>
    </row>
    <row r="286">
      <c r="A286" s="80" t="s">
        <v>4589</v>
      </c>
      <c r="B286" s="80" t="s">
        <v>5345</v>
      </c>
      <c r="C286" s="80" t="s">
        <v>4596</v>
      </c>
      <c r="D286" s="18" t="str">
        <f t="shared" si="1"/>
        <v>s^-1 T^-1</v>
      </c>
      <c r="E286" s="60" t="str">
        <f>VLOOKUP($A286,nist_names_ids!A:B,2,false)</f>
        <v>gammapp</v>
      </c>
      <c r="F286" s="61">
        <f>countif(Constants!A:A,E286)</f>
        <v>1</v>
      </c>
      <c r="G286" s="60" t="str">
        <f>IFERROR(__xludf.DUMMYFUNCTION("REGEXREPLACE(substitute(substitute(B286,"" "",""""),""..."",""""),""\(.*\)"","""")"),"2.675153362e8")</f>
        <v>2.675153362e8</v>
      </c>
      <c r="H286" s="62">
        <f t="shared" si="2"/>
        <v>267515336.2</v>
      </c>
      <c r="I286" s="60" t="str">
        <f>IFERROR(__xludf.DUMMYFUNCTION("if(regexmatch($B286,""\(""),CONCATENATE(regexreplace(REGEXREPLACE(substitute(left($B286,find(""("",$B286)-1),"" "",""""),""\d"",""0""),""[-0]*\."",""0.""), REGEXEXTRACT($B286,""\((.*)\)""),TRIM(REGEXEXTRACT($B286,""\)(.*)""))),"""")"),"0.00000000073e8")</f>
        <v>0.00000000073e8</v>
      </c>
      <c r="J286" s="62">
        <f t="shared" si="3"/>
        <v>0.073</v>
      </c>
      <c r="K286" s="62" t="b">
        <f t="shared" si="4"/>
        <v>0</v>
      </c>
      <c r="L286" s="62" t="b">
        <f t="shared" si="5"/>
        <v>0</v>
      </c>
      <c r="M286" s="60" t="str">
        <f>IFERROR(__xludf.DUMMYFUNCTION("if(regexmatch(B286,""e(.*)$""),regexextract(B286,""e(.*)$""),"""")"),"8")</f>
        <v>8</v>
      </c>
    </row>
    <row r="287">
      <c r="A287" s="80" t="s">
        <v>4619</v>
      </c>
      <c r="B287" s="80" t="s">
        <v>5348</v>
      </c>
      <c r="C287" s="80" t="s">
        <v>4602</v>
      </c>
      <c r="D287" s="18" t="str">
        <f t="shared" si="1"/>
        <v>MHz T^-1</v>
      </c>
      <c r="E287" s="60" t="str">
        <f>VLOOKUP($A287,nist_names_ids!A:B,2,false)</f>
        <v>gammappbar</v>
      </c>
      <c r="F287" s="61">
        <f>countif(Constants!A:A,E287)</f>
        <v>1</v>
      </c>
      <c r="G287" s="60" t="str">
        <f>IFERROR(__xludf.DUMMYFUNCTION("REGEXREPLACE(substitute(substitute(B287,"" "",""""),""..."",""""),""\(.*\)"","""")"),"42.5763881")</f>
        <v>42.5763881</v>
      </c>
      <c r="H287" s="62">
        <f t="shared" si="2"/>
        <v>42.5763881</v>
      </c>
      <c r="I287" s="60" t="str">
        <f>IFERROR(__xludf.DUMMYFUNCTION("if(regexmatch($B287,""\(""),CONCATENATE(regexreplace(REGEXREPLACE(substitute(left($B287,find(""("",$B287)-1),"" "",""""),""\d"",""0""),""[-0]*\."",""0.""), REGEXEXTRACT($B287,""\((.*)\)""),TRIM(REGEXEXTRACT($B287,""\)(.*)""))),"""")"),"0.000000012")</f>
        <v>0.000000012</v>
      </c>
      <c r="J287" s="62">
        <f t="shared" si="3"/>
        <v>0.000000012</v>
      </c>
      <c r="K287" s="62" t="b">
        <f t="shared" si="4"/>
        <v>0</v>
      </c>
      <c r="L287" s="62" t="b">
        <f t="shared" si="5"/>
        <v>0</v>
      </c>
      <c r="M287" s="60" t="str">
        <f>IFERROR(__xludf.DUMMYFUNCTION("if(regexmatch(B287,""e(.*)$""),regexextract(B287,""e(.*)$""),"""")"),"")</f>
        <v/>
      </c>
    </row>
    <row r="288">
      <c r="A288" s="80" t="s">
        <v>4627</v>
      </c>
      <c r="B288" s="80" t="s">
        <v>5350</v>
      </c>
      <c r="C288" s="80" t="s">
        <v>4421</v>
      </c>
      <c r="D288" s="18" t="str">
        <f t="shared" si="1"/>
        <v>J T^-1</v>
      </c>
      <c r="E288" s="60" t="str">
        <f>VLOOKUP($A288,nist_names_ids!A:B,2,false)</f>
        <v>mupp</v>
      </c>
      <c r="F288" s="61">
        <f>countif(Constants!A:A,E288)</f>
        <v>1</v>
      </c>
      <c r="G288" s="60" t="str">
        <f>IFERROR(__xludf.DUMMYFUNCTION("REGEXREPLACE(substitute(substitute(B288,"" "",""""),""..."",""""),""\(.*\)"","""")"),"1.410570419e-26")</f>
        <v>1.410570419e-26</v>
      </c>
      <c r="H288" s="62">
        <f t="shared" si="2"/>
        <v>0</v>
      </c>
      <c r="I288" s="60" t="str">
        <f>IFERROR(__xludf.DUMMYFUNCTION("if(regexmatch($B288,""\(""),CONCATENATE(regexreplace(REGEXREPLACE(substitute(left($B288,find(""("",$B288)-1),"" "",""""),""\d"",""0""),""[-0]*\."",""0.""), REGEXEXTRACT($B288,""\((.*)\)""),TRIM(REGEXEXTRACT($B288,""\)(.*)""))),"""")"),"0.00000000038e-26")</f>
        <v>0.00000000038e-26</v>
      </c>
      <c r="J288" s="62">
        <f t="shared" si="3"/>
        <v>0</v>
      </c>
      <c r="K288" s="62" t="b">
        <f t="shared" si="4"/>
        <v>0</v>
      </c>
      <c r="L288" s="62" t="b">
        <f t="shared" si="5"/>
        <v>0</v>
      </c>
      <c r="M288" s="60" t="str">
        <f>IFERROR(__xludf.DUMMYFUNCTION("if(regexmatch(B288,""e(.*)$""),regexextract(B288,""e(.*)$""),"""")"),"-26")</f>
        <v>-26</v>
      </c>
    </row>
    <row r="289">
      <c r="A289" s="80" t="s">
        <v>4638</v>
      </c>
      <c r="B289" s="80" t="s">
        <v>5353</v>
      </c>
      <c r="C289" s="80"/>
      <c r="D289" s="18" t="str">
        <f t="shared" si="1"/>
        <v/>
      </c>
      <c r="E289" s="60" t="str">
        <f>VLOOKUP($A289,nist_names_ids!A:B,2,false)</f>
        <v>muppsmub</v>
      </c>
      <c r="F289" s="61">
        <f>countif(Constants!A:A,E289)</f>
        <v>1</v>
      </c>
      <c r="G289" s="60" t="str">
        <f>IFERROR(__xludf.DUMMYFUNCTION("REGEXREPLACE(substitute(substitute(B289,"" "",""""),""..."",""""),""\(.*\)"","""")"),"1.520993128e-3")</f>
        <v>1.520993128e-3</v>
      </c>
      <c r="H289" s="62">
        <f t="shared" si="2"/>
        <v>0.001520993128</v>
      </c>
      <c r="I289" s="60" t="str">
        <f>IFERROR(__xludf.DUMMYFUNCTION("if(regexmatch($B289,""\(""),CONCATENATE(regexreplace(REGEXREPLACE(substitute(left($B289,find(""("",$B289)-1),"" "",""""),""\d"",""0""),""[-0]*\."",""0.""), REGEXEXTRACT($B289,""\((.*)\)""),TRIM(REGEXEXTRACT($B289,""\)(.*)""))),"""")"),"0.00000000017e-3")</f>
        <v>0.00000000017e-3</v>
      </c>
      <c r="J289" s="62">
        <f t="shared" si="3"/>
        <v>0</v>
      </c>
      <c r="K289" s="62" t="b">
        <f t="shared" si="4"/>
        <v>0</v>
      </c>
      <c r="L289" s="62" t="b">
        <f t="shared" si="5"/>
        <v>0</v>
      </c>
      <c r="M289" s="60" t="str">
        <f>IFERROR(__xludf.DUMMYFUNCTION("if(regexmatch(B289,""e(.*)$""),regexextract(B289,""e(.*)$""),"""")"),"-3")</f>
        <v>-3</v>
      </c>
    </row>
    <row r="290">
      <c r="A290" s="80" t="s">
        <v>4647</v>
      </c>
      <c r="B290" s="80" t="s">
        <v>5355</v>
      </c>
      <c r="C290" s="80"/>
      <c r="D290" s="18" t="str">
        <f t="shared" si="1"/>
        <v/>
      </c>
      <c r="E290" s="60" t="str">
        <f>VLOOKUP($A290,nist_names_ids!A:B,2,false)</f>
        <v>muppsmun</v>
      </c>
      <c r="F290" s="61">
        <f>countif(Constants!A:A,E290)</f>
        <v>1</v>
      </c>
      <c r="G290" s="60" t="str">
        <f>IFERROR(__xludf.DUMMYFUNCTION("REGEXREPLACE(substitute(substitute(B290,"" "",""""),""..."",""""),""\(.*\)"","""")"),"2.792775598")</f>
        <v>2.792775598</v>
      </c>
      <c r="H290" s="62">
        <f t="shared" si="2"/>
        <v>2.792775598</v>
      </c>
      <c r="I290" s="60" t="str">
        <f>IFERROR(__xludf.DUMMYFUNCTION("if(regexmatch($B290,""\(""),CONCATENATE(regexreplace(REGEXREPLACE(substitute(left($B290,find(""("",$B290)-1),"" "",""""),""\d"",""0""),""[-0]*\."",""0.""), REGEXEXTRACT($B290,""\((.*)\)""),TRIM(REGEXEXTRACT($B290,""\)(.*)""))),"""")"),"0.00000000030")</f>
        <v>0.00000000030</v>
      </c>
      <c r="J290" s="62">
        <f t="shared" si="3"/>
        <v>0.0000000003</v>
      </c>
      <c r="K290" s="62" t="b">
        <f t="shared" si="4"/>
        <v>0</v>
      </c>
      <c r="L290" s="62" t="b">
        <f t="shared" si="5"/>
        <v>0</v>
      </c>
      <c r="M290" s="60" t="str">
        <f>IFERROR(__xludf.DUMMYFUNCTION("if(regexmatch(B290,""e(.*)$""),regexextract(B290,""e(.*)$""),"""")"),"")</f>
        <v/>
      </c>
    </row>
    <row r="291">
      <c r="A291" s="80" t="s">
        <v>2877</v>
      </c>
      <c r="B291" s="80" t="s">
        <v>2145</v>
      </c>
      <c r="C291" s="80" t="s">
        <v>4447</v>
      </c>
      <c r="D291" s="18" t="str">
        <f t="shared" si="1"/>
        <v>m s^-1</v>
      </c>
      <c r="E291" s="60" t="str">
        <f>VLOOKUP($A291,nist_names_ids!A:B,2,false)</f>
        <v>c</v>
      </c>
      <c r="F291" s="61">
        <f>countif(Constants!A:A,E291)</f>
        <v>1</v>
      </c>
      <c r="G291" s="60" t="str">
        <f>IFERROR(__xludf.DUMMYFUNCTION("REGEXREPLACE(substitute(substitute(B291,"" "",""""),""..."",""""),""\(.*\)"","""")"),"299792458")</f>
        <v>299792458</v>
      </c>
      <c r="H291" s="62">
        <f t="shared" si="2"/>
        <v>299792458</v>
      </c>
      <c r="I291" s="60" t="str">
        <f>IFERROR(__xludf.DUMMYFUNCTION("if(regexmatch($B291,""\(""),CONCATENATE(regexreplace(REGEXREPLACE(substitute(left($B291,find(""("",$B291)-1),"" "",""""),""\d"",""0""),""[-0]*\."",""0.""), REGEXEXTRACT($B291,""\((.*)\)""),TRIM(REGEXEXTRACT($B291,""\)(.*)""))),"""")"),"")</f>
        <v/>
      </c>
      <c r="J291" s="62" t="str">
        <f t="shared" si="3"/>
        <v/>
      </c>
      <c r="K291" s="62" t="b">
        <f t="shared" si="4"/>
        <v>0</v>
      </c>
      <c r="L291" s="62" t="b">
        <f t="shared" si="5"/>
        <v>0</v>
      </c>
      <c r="M291" s="60" t="str">
        <f>IFERROR(__xludf.DUMMYFUNCTION("if(regexmatch(B291,""e(.*)$""),regexextract(B291,""e(.*)$""),"""")"),"")</f>
        <v/>
      </c>
    </row>
    <row r="292">
      <c r="A292" s="80" t="s">
        <v>2880</v>
      </c>
      <c r="B292" s="80" t="s">
        <v>2881</v>
      </c>
      <c r="C292" s="80" t="s">
        <v>5358</v>
      </c>
      <c r="D292" s="18" t="str">
        <f t="shared" si="1"/>
        <v>m s^-2</v>
      </c>
      <c r="E292" s="60" t="str">
        <f>VLOOKUP($A292,nist_names_ids!A:B,2,false)</f>
        <v>gn</v>
      </c>
      <c r="F292" s="61">
        <f>countif(Constants!A:A,E292)</f>
        <v>1</v>
      </c>
      <c r="G292" s="60" t="str">
        <f>IFERROR(__xludf.DUMMYFUNCTION("REGEXREPLACE(substitute(substitute(B292,"" "",""""),""..."",""""),""\(.*\)"","""")"),"9.80665")</f>
        <v>9.80665</v>
      </c>
      <c r="H292" s="62">
        <f t="shared" si="2"/>
        <v>9.80665</v>
      </c>
      <c r="I292" s="60" t="str">
        <f>IFERROR(__xludf.DUMMYFUNCTION("if(regexmatch($B292,""\(""),CONCATENATE(regexreplace(REGEXREPLACE(substitute(left($B292,find(""("",$B292)-1),"" "",""""),""\d"",""0""),""[-0]*\."",""0.""), REGEXEXTRACT($B292,""\((.*)\)""),TRIM(REGEXEXTRACT($B292,""\)(.*)""))),"""")"),"")</f>
        <v/>
      </c>
      <c r="J292" s="62" t="str">
        <f t="shared" si="3"/>
        <v/>
      </c>
      <c r="K292" s="62" t="b">
        <f t="shared" si="4"/>
        <v>0</v>
      </c>
      <c r="L292" s="62" t="b">
        <f t="shared" si="5"/>
        <v>0</v>
      </c>
      <c r="M292" s="60" t="str">
        <f>IFERROR(__xludf.DUMMYFUNCTION("if(regexmatch(B292,""e(.*)$""),regexextract(B292,""e(.*)$""),"""")"),"")</f>
        <v/>
      </c>
    </row>
    <row r="293">
      <c r="A293" s="80" t="s">
        <v>2886</v>
      </c>
      <c r="B293" s="80" t="s">
        <v>2887</v>
      </c>
      <c r="C293" s="80" t="s">
        <v>512</v>
      </c>
      <c r="D293" s="18" t="str">
        <f t="shared" si="1"/>
        <v>Pa</v>
      </c>
      <c r="E293" s="60" t="str">
        <f>VLOOKUP($A293,nist_names_ids!A:B,2,false)</f>
        <v>stdatm</v>
      </c>
      <c r="F293" s="61">
        <f>countif(Constants!A:A,E293)</f>
        <v>1</v>
      </c>
      <c r="G293" s="60" t="str">
        <f>IFERROR(__xludf.DUMMYFUNCTION("REGEXREPLACE(substitute(substitute(B293,"" "",""""),""..."",""""),""\(.*\)"","""")"),"101325")</f>
        <v>101325</v>
      </c>
      <c r="H293" s="62">
        <f t="shared" si="2"/>
        <v>101325</v>
      </c>
      <c r="I293" s="60" t="str">
        <f>IFERROR(__xludf.DUMMYFUNCTION("if(regexmatch($B293,""\(""),CONCATENATE(regexreplace(REGEXREPLACE(substitute(left($B293,find(""("",$B293)-1),"" "",""""),""\d"",""0""),""[-0]*\."",""0.""), REGEXEXTRACT($B293,""\((.*)\)""),TRIM(REGEXEXTRACT($B293,""\)(.*)""))),"""")"),"")</f>
        <v/>
      </c>
      <c r="J293" s="62" t="str">
        <f t="shared" si="3"/>
        <v/>
      </c>
      <c r="K293" s="62" t="b">
        <f t="shared" si="4"/>
        <v>0</v>
      </c>
      <c r="L293" s="62" t="b">
        <f t="shared" si="5"/>
        <v>0</v>
      </c>
      <c r="M293" s="60" t="str">
        <f>IFERROR(__xludf.DUMMYFUNCTION("if(regexmatch(B293,""e(.*)$""),regexextract(B293,""e(.*)$""),"""")"),"")</f>
        <v/>
      </c>
    </row>
    <row r="294">
      <c r="A294" s="80" t="s">
        <v>2890</v>
      </c>
      <c r="B294" s="80" t="s">
        <v>5359</v>
      </c>
      <c r="C294" s="80" t="s">
        <v>5360</v>
      </c>
      <c r="D294" s="18" t="str">
        <f t="shared" si="1"/>
        <v>W m^-2 K^-4</v>
      </c>
      <c r="E294" s="60" t="str">
        <f>VLOOKUP($A294,nist_names_ids!A:B,2,false)</f>
        <v>sigma</v>
      </c>
      <c r="F294" s="61">
        <f>countif(Constants!A:A,E294)</f>
        <v>1</v>
      </c>
      <c r="G294" s="60" t="str">
        <f>IFERROR(__xludf.DUMMYFUNCTION("REGEXREPLACE(substitute(substitute(B294,"" "",""""),""..."",""""),""\(.*\)"","""")"),"5.670400e-8")</f>
        <v>5.670400e-8</v>
      </c>
      <c r="H294" s="62">
        <f t="shared" si="2"/>
        <v>0.000000056704</v>
      </c>
      <c r="I294" s="60" t="str">
        <f>IFERROR(__xludf.DUMMYFUNCTION("if(regexmatch($B294,""\(""),CONCATENATE(regexreplace(REGEXREPLACE(substitute(left($B294,find(""("",$B294)-1),"" "",""""),""\d"",""0""),""[-0]*\."",""0.""), REGEXEXTRACT($B294,""\((.*)\)""),TRIM(REGEXEXTRACT($B294,""\)(.*)""))),"""")"),"0.00000040e-8")</f>
        <v>0.00000040e-8</v>
      </c>
      <c r="J294" s="62">
        <f t="shared" si="3"/>
        <v>0</v>
      </c>
      <c r="K294" s="62" t="b">
        <f t="shared" si="4"/>
        <v>0</v>
      </c>
      <c r="L294" s="62" t="b">
        <f t="shared" si="5"/>
        <v>0</v>
      </c>
      <c r="M294" s="60" t="str">
        <f>IFERROR(__xludf.DUMMYFUNCTION("if(regexmatch(B294,""e(.*)$""),regexextract(B294,""e(.*)$""),"""")"),"-8")</f>
        <v>-8</v>
      </c>
    </row>
    <row r="295">
      <c r="A295" s="80" t="s">
        <v>2896</v>
      </c>
      <c r="B295" s="80" t="s">
        <v>5362</v>
      </c>
      <c r="C295" s="80" t="s">
        <v>381</v>
      </c>
      <c r="D295" s="18" t="str">
        <f t="shared" si="1"/>
        <v>m</v>
      </c>
      <c r="E295" s="60" t="str">
        <f>VLOOKUP($A295,nist_names_ids!A:B,2,false)</f>
        <v>tcomwl</v>
      </c>
      <c r="F295" s="61">
        <f>countif(Constants!A:A,E295)</f>
        <v>1</v>
      </c>
      <c r="G295" s="60" t="str">
        <f>IFERROR(__xludf.DUMMYFUNCTION("REGEXREPLACE(substitute(substitute(B295,"" "",""""),""..."",""""),""\(.*\)"","""")"),"0.69772e-15")</f>
        <v>0.69772e-15</v>
      </c>
      <c r="H295" s="62">
        <f t="shared" si="2"/>
        <v>0</v>
      </c>
      <c r="I295" s="60" t="str">
        <f>IFERROR(__xludf.DUMMYFUNCTION("if(regexmatch($B295,""\(""),CONCATENATE(regexreplace(REGEXREPLACE(substitute(left($B295,find(""("",$B295)-1),"" "",""""),""\d"",""0""),""[-0]*\."",""0.""), REGEXEXTRACT($B295,""\((.*)\)""),TRIM(REGEXEXTRACT($B295,""\)(.*)""))),"""")"),"0.0000011e-15")</f>
        <v>0.0000011e-15</v>
      </c>
      <c r="J295" s="62">
        <f t="shared" si="3"/>
        <v>0</v>
      </c>
      <c r="K295" s="62" t="b">
        <f t="shared" si="4"/>
        <v>0</v>
      </c>
      <c r="L295" s="62" t="b">
        <f t="shared" si="5"/>
        <v>0</v>
      </c>
      <c r="M295" s="60" t="str">
        <f>IFERROR(__xludf.DUMMYFUNCTION("if(regexmatch(B295,""e(.*)$""),regexextract(B295,""e(.*)$""),"""")"),"-15")</f>
        <v>-15</v>
      </c>
    </row>
    <row r="296">
      <c r="A296" s="80" t="s">
        <v>4186</v>
      </c>
      <c r="B296" s="80" t="s">
        <v>5365</v>
      </c>
      <c r="C296" s="80" t="s">
        <v>381</v>
      </c>
      <c r="D296" s="18" t="str">
        <f t="shared" si="1"/>
        <v>m</v>
      </c>
      <c r="E296" s="60" t="str">
        <f>VLOOKUP($A296,nist_names_ids!A:B,2,false)</f>
        <v>tcomwlbar</v>
      </c>
      <c r="F296" s="61">
        <f>countif(Constants!A:A,E296)</f>
        <v>1</v>
      </c>
      <c r="G296" s="60" t="str">
        <f>IFERROR(__xludf.DUMMYFUNCTION("REGEXREPLACE(substitute(substitute(B296,"" "",""""),""..."",""""),""\(.*\)"","""")"),"0.111046e-15")</f>
        <v>0.111046e-15</v>
      </c>
      <c r="H296" s="62">
        <f t="shared" si="2"/>
        <v>0</v>
      </c>
      <c r="I296" s="60" t="str">
        <f>IFERROR(__xludf.DUMMYFUNCTION("if(regexmatch($B296,""\(""),CONCATENATE(regexreplace(REGEXREPLACE(substitute(left($B296,find(""("",$B296)-1),"" "",""""),""\d"",""0""),""[-0]*\."",""0.""), REGEXEXTRACT($B296,""\((.*)\)""),TRIM(REGEXEXTRACT($B296,""\)(.*)""))),"""")"),"0.00000018e-15")</f>
        <v>0.00000018e-15</v>
      </c>
      <c r="J296" s="62">
        <f t="shared" si="3"/>
        <v>0</v>
      </c>
      <c r="K296" s="62" t="b">
        <f t="shared" si="4"/>
        <v>0</v>
      </c>
      <c r="L296" s="62" t="b">
        <f t="shared" si="5"/>
        <v>0</v>
      </c>
      <c r="M296" s="60" t="str">
        <f>IFERROR(__xludf.DUMMYFUNCTION("if(regexmatch(B296,""e(.*)$""),regexextract(B296,""e(.*)$""),"""")"),"-15")</f>
        <v>-15</v>
      </c>
    </row>
    <row r="297">
      <c r="A297" s="80" t="s">
        <v>2906</v>
      </c>
      <c r="B297" s="80" t="s">
        <v>5368</v>
      </c>
      <c r="C297" s="80" t="s">
        <v>224</v>
      </c>
      <c r="D297" s="18" t="str">
        <f t="shared" si="1"/>
        <v>MeV</v>
      </c>
      <c r="E297" s="60" t="str">
        <f>VLOOKUP($A297,nist_names_ids!A:B,2,false)</f>
        <v>mtauc2mev</v>
      </c>
      <c r="F297" s="61">
        <f>countif(Constants!A:A,E297)</f>
        <v>1</v>
      </c>
      <c r="G297" s="60" t="str">
        <f>IFERROR(__xludf.DUMMYFUNCTION("REGEXREPLACE(substitute(substitute(B297,"" "",""""),""..."",""""),""\(.*\)"","""")"),"1776.99")</f>
        <v>1776.99</v>
      </c>
      <c r="H297" s="62">
        <f t="shared" si="2"/>
        <v>1776.99</v>
      </c>
      <c r="I297" s="60" t="str">
        <f>IFERROR(__xludf.DUMMYFUNCTION("if(regexmatch($B297,""\(""),CONCATENATE(regexreplace(REGEXREPLACE(substitute(left($B297,find(""("",$B297)-1),"" "",""""),""\d"",""0""),""[-0]*\."",""0.""), REGEXEXTRACT($B297,""\((.*)\)""),TRIM(REGEXEXTRACT($B297,""\)(.*)""))),"""")"),"0.0029")</f>
        <v>0.0029</v>
      </c>
      <c r="J297" s="62">
        <f t="shared" si="3"/>
        <v>0.0029</v>
      </c>
      <c r="K297" s="62" t="b">
        <f t="shared" si="4"/>
        <v>0</v>
      </c>
      <c r="L297" s="62" t="b">
        <f t="shared" si="5"/>
        <v>0</v>
      </c>
      <c r="M297" s="60" t="str">
        <f>IFERROR(__xludf.DUMMYFUNCTION("if(regexmatch(B297,""e(.*)$""),regexextract(B297,""e(.*)$""),"""")"),"")</f>
        <v/>
      </c>
    </row>
    <row r="298">
      <c r="A298" s="80" t="s">
        <v>2910</v>
      </c>
      <c r="B298" s="80" t="s">
        <v>5371</v>
      </c>
      <c r="C298" s="80" t="s">
        <v>98</v>
      </c>
      <c r="D298" s="18" t="str">
        <f t="shared" si="1"/>
        <v>kg</v>
      </c>
      <c r="E298" s="60" t="str">
        <f>VLOOKUP($A298,nist_names_ids!A:B,2,false)</f>
        <v>mtau</v>
      </c>
      <c r="F298" s="61">
        <f>countif(Constants!A:A,E298)</f>
        <v>1</v>
      </c>
      <c r="G298" s="60" t="str">
        <f>IFERROR(__xludf.DUMMYFUNCTION("REGEXREPLACE(substitute(substitute(B298,"" "",""""),""..."",""""),""\(.*\)"","""")"),"3.16777e-27")</f>
        <v>3.16777e-27</v>
      </c>
      <c r="H298" s="62">
        <f t="shared" si="2"/>
        <v>0</v>
      </c>
      <c r="I298" s="60" t="str">
        <f>IFERROR(__xludf.DUMMYFUNCTION("if(regexmatch($B298,""\(""),CONCATENATE(regexreplace(REGEXREPLACE(substitute(left($B298,find(""("",$B298)-1),"" "",""""),""\d"",""0""),""[-0]*\."",""0.""), REGEXEXTRACT($B298,""\((.*)\)""),TRIM(REGEXEXTRACT($B298,""\)(.*)""))),"""")"),"0.0000052e-27")</f>
        <v>0.0000052e-27</v>
      </c>
      <c r="J298" s="62">
        <f t="shared" si="3"/>
        <v>0</v>
      </c>
      <c r="K298" s="62" t="b">
        <f t="shared" si="4"/>
        <v>0</v>
      </c>
      <c r="L298" s="62" t="b">
        <f t="shared" si="5"/>
        <v>0</v>
      </c>
      <c r="M298" s="60" t="str">
        <f>IFERROR(__xludf.DUMMYFUNCTION("if(regexmatch(B298,""e(.*)$""),regexextract(B298,""e(.*)$""),"""")"),"-27")</f>
        <v>-27</v>
      </c>
    </row>
    <row r="299">
      <c r="A299" s="80" t="s">
        <v>2915</v>
      </c>
      <c r="B299" s="80" t="s">
        <v>5374</v>
      </c>
      <c r="C299" s="80" t="s">
        <v>173</v>
      </c>
      <c r="D299" s="18" t="str">
        <f t="shared" si="1"/>
        <v>J</v>
      </c>
      <c r="E299" s="60" t="str">
        <f>VLOOKUP($A299,nist_names_ids!A:B,2,false)</f>
        <v>mtauc2</v>
      </c>
      <c r="F299" s="61">
        <f>countif(Constants!A:A,E299)</f>
        <v>1</v>
      </c>
      <c r="G299" s="60" t="str">
        <f>IFERROR(__xludf.DUMMYFUNCTION("REGEXREPLACE(substitute(substitute(B299,"" "",""""),""..."",""""),""\(.*\)"","""")"),"2.84705e-10")</f>
        <v>2.84705e-10</v>
      </c>
      <c r="H299" s="62">
        <f t="shared" si="2"/>
        <v>0.000000000284705</v>
      </c>
      <c r="I299" s="60" t="str">
        <f>IFERROR(__xludf.DUMMYFUNCTION("if(regexmatch($B299,""\(""),CONCATENATE(regexreplace(REGEXREPLACE(substitute(left($B299,find(""("",$B299)-1),"" "",""""),""\d"",""0""),""[-0]*\."",""0.""), REGEXEXTRACT($B299,""\((.*)\)""),TRIM(REGEXEXTRACT($B299,""\)(.*)""))),"""")"),"0.0000046e-10")</f>
        <v>0.0000046e-10</v>
      </c>
      <c r="J299" s="62">
        <f t="shared" si="3"/>
        <v>0</v>
      </c>
      <c r="K299" s="62" t="b">
        <f t="shared" si="4"/>
        <v>0</v>
      </c>
      <c r="L299" s="62" t="b">
        <f t="shared" si="5"/>
        <v>0</v>
      </c>
      <c r="M299" s="60" t="str">
        <f>IFERROR(__xludf.DUMMYFUNCTION("if(regexmatch(B299,""e(.*)$""),regexextract(B299,""e(.*)$""),"""")"),"-10")</f>
        <v>-10</v>
      </c>
    </row>
    <row r="300">
      <c r="A300" s="80" t="s">
        <v>2920</v>
      </c>
      <c r="B300" s="80" t="s">
        <v>5377</v>
      </c>
      <c r="C300" s="80" t="s">
        <v>249</v>
      </c>
      <c r="D300" s="18" t="str">
        <f t="shared" si="1"/>
        <v>u</v>
      </c>
      <c r="E300" s="60" t="str">
        <f>VLOOKUP($A300,nist_names_ids!A:B,2,false)</f>
        <v>mtauu</v>
      </c>
      <c r="F300" s="61">
        <f>countif(Constants!A:A,E300)</f>
        <v>1</v>
      </c>
      <c r="G300" s="60" t="str">
        <f>IFERROR(__xludf.DUMMYFUNCTION("REGEXREPLACE(substitute(substitute(B300,"" "",""""),""..."",""""),""\(.*\)"","""")"),"1.90768")</f>
        <v>1.90768</v>
      </c>
      <c r="H300" s="62">
        <f t="shared" si="2"/>
        <v>1.90768</v>
      </c>
      <c r="I300" s="60" t="str">
        <f>IFERROR(__xludf.DUMMYFUNCTION("if(regexmatch($B300,""\(""),CONCATENATE(regexreplace(REGEXREPLACE(substitute(left($B300,find(""("",$B300)-1),"" "",""""),""\d"",""0""),""[-0]*\."",""0.""), REGEXEXTRACT($B300,""\((.*)\)""),TRIM(REGEXEXTRACT($B300,""\)(.*)""))),"""")"),"0.0000031")</f>
        <v>0.0000031</v>
      </c>
      <c r="J300" s="62">
        <f t="shared" si="3"/>
        <v>0.0000031</v>
      </c>
      <c r="K300" s="62" t="b">
        <f t="shared" si="4"/>
        <v>0</v>
      </c>
      <c r="L300" s="62" t="b">
        <f t="shared" si="5"/>
        <v>0</v>
      </c>
      <c r="M300" s="60" t="str">
        <f>IFERROR(__xludf.DUMMYFUNCTION("if(regexmatch(B300,""e(.*)$""),regexextract(B300,""e(.*)$""),"""")"),"")</f>
        <v/>
      </c>
    </row>
    <row r="301">
      <c r="A301" s="80" t="s">
        <v>2928</v>
      </c>
      <c r="B301" s="80" t="s">
        <v>5379</v>
      </c>
      <c r="C301" s="80" t="s">
        <v>4309</v>
      </c>
      <c r="D301" s="18" t="str">
        <f t="shared" si="1"/>
        <v>kg mol^-1</v>
      </c>
      <c r="E301" s="60" t="str">
        <f>VLOOKUP($A301,nist_names_ids!A:B,2,false)</f>
        <v>mmtau</v>
      </c>
      <c r="F301" s="61">
        <f>countif(Constants!A:A,E301)</f>
        <v>1</v>
      </c>
      <c r="G301" s="60" t="str">
        <f>IFERROR(__xludf.DUMMYFUNCTION("REGEXREPLACE(substitute(substitute(B301,"" "",""""),""..."",""""),""\(.*\)"","""")"),"1.90768e-3")</f>
        <v>1.90768e-3</v>
      </c>
      <c r="H301" s="62">
        <f t="shared" si="2"/>
        <v>0.00190768</v>
      </c>
      <c r="I301" s="60" t="str">
        <f>IFERROR(__xludf.DUMMYFUNCTION("if(regexmatch($B301,""\(""),CONCATENATE(regexreplace(REGEXREPLACE(substitute(left($B301,find(""("",$B301)-1),"" "",""""),""\d"",""0""),""[-0]*\."",""0.""), REGEXEXTRACT($B301,""\((.*)\)""),TRIM(REGEXEXTRACT($B301,""\)(.*)""))),"""")"),"0.0000031e-3")</f>
        <v>0.0000031e-3</v>
      </c>
      <c r="J301" s="62">
        <f t="shared" si="3"/>
        <v>0.0000000031</v>
      </c>
      <c r="K301" s="62" t="b">
        <f t="shared" si="4"/>
        <v>0</v>
      </c>
      <c r="L301" s="62" t="b">
        <f t="shared" si="5"/>
        <v>0</v>
      </c>
      <c r="M301" s="60" t="str">
        <f>IFERROR(__xludf.DUMMYFUNCTION("if(regexmatch(B301,""e(.*)$""),regexextract(B301,""e(.*)$""),"""")"),"-3")</f>
        <v>-3</v>
      </c>
    </row>
    <row r="302">
      <c r="A302" s="80" t="s">
        <v>2901</v>
      </c>
      <c r="B302" s="80" t="s">
        <v>5382</v>
      </c>
      <c r="C302" s="80"/>
      <c r="D302" s="18" t="str">
        <f t="shared" si="1"/>
        <v/>
      </c>
      <c r="E302" s="60" t="str">
        <f>VLOOKUP($A302,nist_names_ids!A:B,2,false)</f>
        <v>mtausme</v>
      </c>
      <c r="F302" s="61">
        <f>countif(Constants!A:A,E302)</f>
        <v>1</v>
      </c>
      <c r="G302" s="60" t="str">
        <f>IFERROR(__xludf.DUMMYFUNCTION("REGEXREPLACE(substitute(substitute(B302,"" "",""""),""..."",""""),""\(.*\)"","""")"),"3477.48")</f>
        <v>3477.48</v>
      </c>
      <c r="H302" s="62">
        <f t="shared" si="2"/>
        <v>3477.48</v>
      </c>
      <c r="I302" s="60" t="str">
        <f>IFERROR(__xludf.DUMMYFUNCTION("if(regexmatch($B302,""\(""),CONCATENATE(regexreplace(REGEXREPLACE(substitute(left($B302,find(""("",$B302)-1),"" "",""""),""\d"",""0""),""[-0]*\."",""0.""), REGEXEXTRACT($B302,""\((.*)\)""),TRIM(REGEXEXTRACT($B302,""\)(.*)""))),"""")"),"0.0057")</f>
        <v>0.0057</v>
      </c>
      <c r="J302" s="62">
        <f t="shared" si="3"/>
        <v>0.0057</v>
      </c>
      <c r="K302" s="62" t="b">
        <f t="shared" si="4"/>
        <v>0</v>
      </c>
      <c r="L302" s="62" t="b">
        <f t="shared" si="5"/>
        <v>0</v>
      </c>
      <c r="M302" s="60" t="str">
        <f>IFERROR(__xludf.DUMMYFUNCTION("if(regexmatch(B302,""e(.*)$""),regexextract(B302,""e(.*)$""),"""")"),"")</f>
        <v/>
      </c>
    </row>
    <row r="303">
      <c r="A303" s="80" t="s">
        <v>2931</v>
      </c>
      <c r="B303" s="80" t="s">
        <v>5387</v>
      </c>
      <c r="C303" s="80"/>
      <c r="D303" s="18" t="str">
        <f t="shared" si="1"/>
        <v/>
      </c>
      <c r="E303" s="60" t="str">
        <f>VLOOKUP($A303,nist_names_ids!A:B,2,false)</f>
        <v>mtausmmu</v>
      </c>
      <c r="F303" s="61">
        <f>countif(Constants!A:A,E303)</f>
        <v>1</v>
      </c>
      <c r="G303" s="60" t="str">
        <f>IFERROR(__xludf.DUMMYFUNCTION("REGEXREPLACE(substitute(substitute(B303,"" "",""""),""..."",""""),""\(.*\)"","""")"),"16.8183")</f>
        <v>16.8183</v>
      </c>
      <c r="H303" s="62">
        <f t="shared" si="2"/>
        <v>16.8183</v>
      </c>
      <c r="I303" s="60" t="str">
        <f>IFERROR(__xludf.DUMMYFUNCTION("if(regexmatch($B303,""\(""),CONCATENATE(regexreplace(REGEXREPLACE(substitute(left($B303,find(""("",$B303)-1),"" "",""""),""\d"",""0""),""[-0]*\."",""0.""), REGEXEXTRACT($B303,""\((.*)\)""),TRIM(REGEXEXTRACT($B303,""\)(.*)""))),"""")"),"0.000027")</f>
        <v>0.000027</v>
      </c>
      <c r="J303" s="62">
        <f t="shared" si="3"/>
        <v>0.000027</v>
      </c>
      <c r="K303" s="62" t="b">
        <f t="shared" si="4"/>
        <v>0</v>
      </c>
      <c r="L303" s="62" t="b">
        <f t="shared" si="5"/>
        <v>0</v>
      </c>
      <c r="M303" s="60" t="str">
        <f>IFERROR(__xludf.DUMMYFUNCTION("if(regexmatch(B303,""e(.*)$""),regexextract(B303,""e(.*)$""),"""")"),"")</f>
        <v/>
      </c>
    </row>
    <row r="304">
      <c r="A304" s="80" t="s">
        <v>2935</v>
      </c>
      <c r="B304" s="80" t="s">
        <v>5389</v>
      </c>
      <c r="C304" s="80"/>
      <c r="D304" s="18" t="str">
        <f t="shared" si="1"/>
        <v/>
      </c>
      <c r="E304" s="60" t="str">
        <f>VLOOKUP($A304,nist_names_ids!A:B,2,false)</f>
        <v>mtausmn</v>
      </c>
      <c r="F304" s="61">
        <f>countif(Constants!A:A,E304)</f>
        <v>1</v>
      </c>
      <c r="G304" s="60" t="str">
        <f>IFERROR(__xludf.DUMMYFUNCTION("REGEXREPLACE(substitute(substitute(B304,"" "",""""),""..."",""""),""\(.*\)"","""")"),"1.89129")</f>
        <v>1.89129</v>
      </c>
      <c r="H304" s="62">
        <f t="shared" si="2"/>
        <v>1.89129</v>
      </c>
      <c r="I304" s="60" t="str">
        <f>IFERROR(__xludf.DUMMYFUNCTION("if(regexmatch($B304,""\(""),CONCATENATE(regexreplace(REGEXREPLACE(substitute(left($B304,find(""("",$B304)-1),"" "",""""),""\d"",""0""),""[-0]*\."",""0.""), REGEXEXTRACT($B304,""\((.*)\)""),TRIM(REGEXEXTRACT($B304,""\)(.*)""))),"""")"),"0.0000031")</f>
        <v>0.0000031</v>
      </c>
      <c r="J304" s="62">
        <f t="shared" si="3"/>
        <v>0.0000031</v>
      </c>
      <c r="K304" s="62" t="b">
        <f t="shared" si="4"/>
        <v>0</v>
      </c>
      <c r="L304" s="62" t="b">
        <f t="shared" si="5"/>
        <v>0</v>
      </c>
      <c r="M304" s="60" t="str">
        <f>IFERROR(__xludf.DUMMYFUNCTION("if(regexmatch(B304,""e(.*)$""),regexextract(B304,""e(.*)$""),"""")"),"")</f>
        <v/>
      </c>
    </row>
    <row r="305">
      <c r="A305" s="80" t="s">
        <v>2941</v>
      </c>
      <c r="B305" s="80" t="s">
        <v>5392</v>
      </c>
      <c r="C305" s="80"/>
      <c r="D305" s="18" t="str">
        <f t="shared" si="1"/>
        <v/>
      </c>
      <c r="E305" s="60" t="str">
        <f>VLOOKUP($A305,nist_names_ids!A:B,2,false)</f>
        <v>mtausmp</v>
      </c>
      <c r="F305" s="61">
        <f>countif(Constants!A:A,E305)</f>
        <v>1</v>
      </c>
      <c r="G305" s="60" t="str">
        <f>IFERROR(__xludf.DUMMYFUNCTION("REGEXREPLACE(substitute(substitute(B305,"" "",""""),""..."",""""),""\(.*\)"","""")"),"1.89390")</f>
        <v>1.89390</v>
      </c>
      <c r="H305" s="62">
        <f t="shared" si="2"/>
        <v>1.8939</v>
      </c>
      <c r="I305" s="60" t="str">
        <f>IFERROR(__xludf.DUMMYFUNCTION("if(regexmatch($B305,""\(""),CONCATENATE(regexreplace(REGEXREPLACE(substitute(left($B305,find(""("",$B305)-1),"" "",""""),""\d"",""0""),""[-0]*\."",""0.""), REGEXEXTRACT($B305,""\((.*)\)""),TRIM(REGEXEXTRACT($B305,""\)(.*)""))),"""")"),"0.0000031")</f>
        <v>0.0000031</v>
      </c>
      <c r="J305" s="62">
        <f t="shared" si="3"/>
        <v>0.0000031</v>
      </c>
      <c r="K305" s="62" t="b">
        <f t="shared" si="4"/>
        <v>0</v>
      </c>
      <c r="L305" s="62" t="b">
        <f t="shared" si="5"/>
        <v>0</v>
      </c>
      <c r="M305" s="60" t="str">
        <f>IFERROR(__xludf.DUMMYFUNCTION("if(regexmatch(B305,""e(.*)$""),regexextract(B305,""e(.*)$""),"""")"),"")</f>
        <v/>
      </c>
    </row>
    <row r="306">
      <c r="A306" s="80" t="s">
        <v>2943</v>
      </c>
      <c r="B306" s="80" t="s">
        <v>5393</v>
      </c>
      <c r="C306" s="80" t="s">
        <v>2946</v>
      </c>
      <c r="D306" s="18" t="str">
        <f t="shared" si="1"/>
        <v>m^2</v>
      </c>
      <c r="E306" s="60" t="str">
        <f>VLOOKUP($A306,nist_names_ids!A:B,2,false)</f>
        <v>sigmae</v>
      </c>
      <c r="F306" s="61">
        <f>countif(Constants!A:A,E306)</f>
        <v>1</v>
      </c>
      <c r="G306" s="60" t="str">
        <f>IFERROR(__xludf.DUMMYFUNCTION("REGEXREPLACE(substitute(substitute(B306,"" "",""""),""..."",""""),""\(.*\)"","""")"),"0.6652458558e-28")</f>
        <v>0.6652458558e-28</v>
      </c>
      <c r="H306" s="62">
        <f t="shared" si="2"/>
        <v>0</v>
      </c>
      <c r="I306" s="60" t="str">
        <f>IFERROR(__xludf.DUMMYFUNCTION("if(regexmatch($B306,""\(""),CONCATENATE(regexreplace(REGEXREPLACE(substitute(left($B306,find(""("",$B306)-1),"" "",""""),""\d"",""0""),""[-0]*\."",""0.""), REGEXEXTRACT($B306,""\((.*)\)""),TRIM(REGEXEXTRACT($B306,""\)(.*)""))),"""")"),"0.000000000027e-28")</f>
        <v>0.000000000027e-28</v>
      </c>
      <c r="J306" s="62">
        <f t="shared" si="3"/>
        <v>0</v>
      </c>
      <c r="K306" s="62" t="b">
        <f t="shared" si="4"/>
        <v>0</v>
      </c>
      <c r="L306" s="62" t="b">
        <f t="shared" si="5"/>
        <v>0</v>
      </c>
      <c r="M306" s="60" t="str">
        <f>IFERROR(__xludf.DUMMYFUNCTION("if(regexmatch(B306,""e(.*)$""),regexextract(B306,""e(.*)$""),"""")"),"-28")</f>
        <v>-28</v>
      </c>
    </row>
    <row r="307">
      <c r="A307" s="80" t="s">
        <v>2955</v>
      </c>
      <c r="B307" s="80" t="s">
        <v>5395</v>
      </c>
      <c r="C307" s="80"/>
      <c r="D307" s="18" t="str">
        <f t="shared" si="1"/>
        <v/>
      </c>
      <c r="E307" s="60" t="str">
        <f>VLOOKUP($A307,nist_names_ids!A:B,2,false)</f>
        <v>gtn</v>
      </c>
      <c r="F307" s="61">
        <f>countif(Constants!A:A,E307)</f>
        <v>1</v>
      </c>
      <c r="G307" s="60" t="str">
        <f>IFERROR(__xludf.DUMMYFUNCTION("REGEXREPLACE(substitute(substitute(B307,"" "",""""),""..."",""""),""\(.*\)"","""")"),"5.957924896")</f>
        <v>5.957924896</v>
      </c>
      <c r="H307" s="62">
        <f t="shared" si="2"/>
        <v>5.957924896</v>
      </c>
      <c r="I307" s="60" t="str">
        <f>IFERROR(__xludf.DUMMYFUNCTION("if(regexmatch($B307,""\(""),CONCATENATE(regexreplace(REGEXREPLACE(substitute(left($B307,find(""("",$B307)-1),"" "",""""),""\d"",""0""),""[-0]*\."",""0.""), REGEXEXTRACT($B307,""\((.*)\)""),TRIM(REGEXEXTRACT($B307,""\)(.*)""))),"""")"),"0.00000000076")</f>
        <v>0.00000000076</v>
      </c>
      <c r="J307" s="62">
        <f t="shared" si="3"/>
        <v>0.00000000076</v>
      </c>
      <c r="K307" s="62" t="b">
        <f t="shared" si="4"/>
        <v>0</v>
      </c>
      <c r="L307" s="62" t="b">
        <f t="shared" si="5"/>
        <v>0</v>
      </c>
      <c r="M307" s="60" t="str">
        <f>IFERROR(__xludf.DUMMYFUNCTION("if(regexmatch(B307,""e(.*)$""),regexextract(B307,""e(.*)$""),"""")"),"")</f>
        <v/>
      </c>
    </row>
    <row r="308">
      <c r="A308" s="80" t="s">
        <v>4773</v>
      </c>
      <c r="B308" s="80" t="s">
        <v>5398</v>
      </c>
      <c r="C308" s="80" t="s">
        <v>4421</v>
      </c>
      <c r="D308" s="18" t="str">
        <f t="shared" si="1"/>
        <v>J T^-1</v>
      </c>
      <c r="E308" s="60" t="str">
        <f>VLOOKUP($A308,nist_names_ids!A:B,2,false)</f>
        <v>mut</v>
      </c>
      <c r="F308" s="61">
        <f>countif(Constants!A:A,E308)</f>
        <v>1</v>
      </c>
      <c r="G308" s="60" t="str">
        <f>IFERROR(__xludf.DUMMYFUNCTION("REGEXREPLACE(substitute(substitute(B308,"" "",""""),""..."",""""),""\(.*\)"","""")"),"1.504609361e-26")</f>
        <v>1.504609361e-26</v>
      </c>
      <c r="H308" s="62">
        <f t="shared" si="2"/>
        <v>0</v>
      </c>
      <c r="I308" s="60" t="str">
        <f>IFERROR(__xludf.DUMMYFUNCTION("if(regexmatch($B308,""\(""),CONCATENATE(regexreplace(REGEXREPLACE(substitute(left($B308,find(""("",$B308)-1),"" "",""""),""\d"",""0""),""[-0]*\."",""0.""), REGEXEXTRACT($B308,""\((.*)\)""),TRIM(REGEXEXTRACT($B308,""\)(.*)""))),"""")"),"0.00000000042e-26")</f>
        <v>0.00000000042e-26</v>
      </c>
      <c r="J308" s="62">
        <f t="shared" si="3"/>
        <v>0</v>
      </c>
      <c r="K308" s="62" t="b">
        <f t="shared" si="4"/>
        <v>0</v>
      </c>
      <c r="L308" s="62" t="b">
        <f t="shared" si="5"/>
        <v>0</v>
      </c>
      <c r="M308" s="60" t="str">
        <f>IFERROR(__xludf.DUMMYFUNCTION("if(regexmatch(B308,""e(.*)$""),regexextract(B308,""e(.*)$""),"""")"),"-26")</f>
        <v>-26</v>
      </c>
    </row>
    <row r="309">
      <c r="A309" s="80" t="s">
        <v>4780</v>
      </c>
      <c r="B309" s="80" t="s">
        <v>5400</v>
      </c>
      <c r="C309" s="80"/>
      <c r="D309" s="18" t="str">
        <f t="shared" si="1"/>
        <v/>
      </c>
      <c r="E309" s="60" t="str">
        <f>VLOOKUP($A309,nist_names_ids!A:B,2,false)</f>
        <v>mutsmub</v>
      </c>
      <c r="F309" s="61">
        <f>countif(Constants!A:A,E309)</f>
        <v>1</v>
      </c>
      <c r="G309" s="60" t="str">
        <f>IFERROR(__xludf.DUMMYFUNCTION("REGEXREPLACE(substitute(substitute(B309,"" "",""""),""..."",""""),""\(.*\)"","""")"),"1.622393657e-3")</f>
        <v>1.622393657e-3</v>
      </c>
      <c r="H309" s="62">
        <f t="shared" si="2"/>
        <v>0.001622393657</v>
      </c>
      <c r="I309" s="60" t="str">
        <f>IFERROR(__xludf.DUMMYFUNCTION("if(regexmatch($B309,""\(""),CONCATENATE(regexreplace(REGEXREPLACE(substitute(left($B309,find(""("",$B309)-1),"" "",""""),""\d"",""0""),""[-0]*\."",""0.""), REGEXEXTRACT($B309,""\((.*)\)""),TRIM(REGEXEXTRACT($B309,""\)(.*)""))),"""")"),"0.00000000021e-3")</f>
        <v>0.00000000021e-3</v>
      </c>
      <c r="J309" s="62">
        <f t="shared" si="3"/>
        <v>0</v>
      </c>
      <c r="K309" s="62" t="b">
        <f t="shared" si="4"/>
        <v>0</v>
      </c>
      <c r="L309" s="62" t="b">
        <f t="shared" si="5"/>
        <v>0</v>
      </c>
      <c r="M309" s="60" t="str">
        <f>IFERROR(__xludf.DUMMYFUNCTION("if(regexmatch(B309,""e(.*)$""),regexextract(B309,""e(.*)$""),"""")"),"-3")</f>
        <v>-3</v>
      </c>
    </row>
    <row r="310">
      <c r="A310" s="80" t="s">
        <v>4786</v>
      </c>
      <c r="B310" s="80" t="s">
        <v>5402</v>
      </c>
      <c r="C310" s="80"/>
      <c r="D310" s="18" t="str">
        <f t="shared" si="1"/>
        <v/>
      </c>
      <c r="E310" s="60" t="str">
        <f>VLOOKUP($A310,nist_names_ids!A:B,2,false)</f>
        <v>mutsmun</v>
      </c>
      <c r="F310" s="61">
        <f>countif(Constants!A:A,E310)</f>
        <v>1</v>
      </c>
      <c r="G310" s="60" t="str">
        <f>IFERROR(__xludf.DUMMYFUNCTION("REGEXREPLACE(substitute(substitute(B310,"" "",""""),""..."",""""),""\(.*\)"","""")"),"2.978962448")</f>
        <v>2.978962448</v>
      </c>
      <c r="H310" s="62">
        <f t="shared" si="2"/>
        <v>2.978962448</v>
      </c>
      <c r="I310" s="60" t="str">
        <f>IFERROR(__xludf.DUMMYFUNCTION("if(regexmatch($B310,""\(""),CONCATENATE(regexreplace(REGEXREPLACE(substitute(left($B310,find(""("",$B310)-1),"" "",""""),""\d"",""0""),""[-0]*\."",""0.""), REGEXEXTRACT($B310,""\((.*)\)""),TRIM(REGEXEXTRACT($B310,""\)(.*)""))),"""")"),"0.00000000038")</f>
        <v>0.00000000038</v>
      </c>
      <c r="J310" s="62">
        <f t="shared" si="3"/>
        <v>0.00000000038</v>
      </c>
      <c r="K310" s="62" t="b">
        <f t="shared" si="4"/>
        <v>0</v>
      </c>
      <c r="L310" s="62" t="b">
        <f t="shared" si="5"/>
        <v>0</v>
      </c>
      <c r="M310" s="60" t="str">
        <f>IFERROR(__xludf.DUMMYFUNCTION("if(regexmatch(B310,""e(.*)$""),regexextract(B310,""e(.*)$""),"""")"),"")</f>
        <v/>
      </c>
    </row>
    <row r="311">
      <c r="A311" s="80" t="s">
        <v>2972</v>
      </c>
      <c r="B311" s="80" t="s">
        <v>5405</v>
      </c>
      <c r="C311" s="80" t="s">
        <v>98</v>
      </c>
      <c r="D311" s="18" t="str">
        <f t="shared" si="1"/>
        <v>kg</v>
      </c>
      <c r="E311" s="60" t="str">
        <f>VLOOKUP($A311,nist_names_ids!A:B,2,false)</f>
        <v>mt</v>
      </c>
      <c r="F311" s="61">
        <f>countif(Constants!A:A,E311)</f>
        <v>1</v>
      </c>
      <c r="G311" s="60" t="str">
        <f>IFERROR(__xludf.DUMMYFUNCTION("REGEXREPLACE(substitute(substitute(B311,"" "",""""),""..."",""""),""\(.*\)"","""")"),"5.00735588e-27")</f>
        <v>5.00735588e-27</v>
      </c>
      <c r="H311" s="62">
        <f t="shared" si="2"/>
        <v>0</v>
      </c>
      <c r="I311" s="60" t="str">
        <f>IFERROR(__xludf.DUMMYFUNCTION("if(regexmatch($B311,""\(""),CONCATENATE(regexreplace(REGEXREPLACE(substitute(left($B311,find(""("",$B311)-1),"" "",""""),""\d"",""0""),""[-0]*\."",""0.""), REGEXEXTRACT($B311,""\((.*)\)""),TRIM(REGEXEXTRACT($B311,""\)(.*)""))),"""")"),"0.0000000025e-27")</f>
        <v>0.0000000025e-27</v>
      </c>
      <c r="J311" s="62">
        <f t="shared" si="3"/>
        <v>0</v>
      </c>
      <c r="K311" s="62" t="b">
        <f t="shared" si="4"/>
        <v>0</v>
      </c>
      <c r="L311" s="62" t="b">
        <f t="shared" si="5"/>
        <v>0</v>
      </c>
      <c r="M311" s="60" t="str">
        <f>IFERROR(__xludf.DUMMYFUNCTION("if(regexmatch(B311,""e(.*)$""),regexextract(B311,""e(.*)$""),"""")"),"-27")</f>
        <v>-27</v>
      </c>
    </row>
    <row r="312">
      <c r="A312" s="80" t="s">
        <v>2977</v>
      </c>
      <c r="B312" s="80" t="s">
        <v>5408</v>
      </c>
      <c r="C312" s="80" t="s">
        <v>173</v>
      </c>
      <c r="D312" s="18" t="str">
        <f t="shared" si="1"/>
        <v>J</v>
      </c>
      <c r="E312" s="60" t="str">
        <f>VLOOKUP($A312,nist_names_ids!A:B,2,false)</f>
        <v>mtc2</v>
      </c>
      <c r="F312" s="61">
        <f>countif(Constants!A:A,E312)</f>
        <v>1</v>
      </c>
      <c r="G312" s="60" t="str">
        <f>IFERROR(__xludf.DUMMYFUNCTION("REGEXREPLACE(substitute(substitute(B312,"" "",""""),""..."",""""),""\(.*\)"","""")"),"4.50038703e-10")</f>
        <v>4.50038703e-10</v>
      </c>
      <c r="H312" s="62">
        <f t="shared" si="2"/>
        <v>0.000000000450038703</v>
      </c>
      <c r="I312" s="60" t="str">
        <f>IFERROR(__xludf.DUMMYFUNCTION("if(regexmatch($B312,""\(""),CONCATENATE(regexreplace(REGEXREPLACE(substitute(left($B312,find(""("",$B312)-1),"" "",""""),""\d"",""0""),""[-0]*\."",""0.""), REGEXEXTRACT($B312,""\((.*)\)""),TRIM(REGEXEXTRACT($B312,""\)(.*)""))),"""")"),"0.0000000022e-10")</f>
        <v>0.0000000022e-10</v>
      </c>
      <c r="J312" s="62">
        <f t="shared" si="3"/>
        <v>0</v>
      </c>
      <c r="K312" s="62" t="b">
        <f t="shared" si="4"/>
        <v>0</v>
      </c>
      <c r="L312" s="62" t="b">
        <f t="shared" si="5"/>
        <v>0</v>
      </c>
      <c r="M312" s="60" t="str">
        <f>IFERROR(__xludf.DUMMYFUNCTION("if(regexmatch(B312,""e(.*)$""),regexextract(B312,""e(.*)$""),"""")"),"-10")</f>
        <v>-10</v>
      </c>
    </row>
    <row r="313">
      <c r="A313" s="80" t="s">
        <v>2980</v>
      </c>
      <c r="B313" s="80" t="s">
        <v>5410</v>
      </c>
      <c r="C313" s="80" t="s">
        <v>224</v>
      </c>
      <c r="D313" s="18" t="str">
        <f t="shared" si="1"/>
        <v>MeV</v>
      </c>
      <c r="E313" s="60" t="str">
        <f>VLOOKUP($A313,nist_names_ids!A:B,2,false)</f>
        <v>mtc2mev</v>
      </c>
      <c r="F313" s="61">
        <f>countif(Constants!A:A,E313)</f>
        <v>1</v>
      </c>
      <c r="G313" s="60" t="str">
        <f>IFERROR(__xludf.DUMMYFUNCTION("REGEXREPLACE(substitute(substitute(B313,"" "",""""),""..."",""""),""\(.*\)"","""")"),"2808.920906")</f>
        <v>2808.920906</v>
      </c>
      <c r="H313" s="62">
        <f t="shared" si="2"/>
        <v>2808.920906</v>
      </c>
      <c r="I313" s="60" t="str">
        <f>IFERROR(__xludf.DUMMYFUNCTION("if(regexmatch($B313,""\(""),CONCATENATE(regexreplace(REGEXREPLACE(substitute(left($B313,find(""("",$B313)-1),"" "",""""),""\d"",""0""),""[-0]*\."",""0.""), REGEXEXTRACT($B313,""\((.*)\)""),TRIM(REGEXEXTRACT($B313,""\)(.*)""))),"""")"),"0.00000070")</f>
        <v>0.00000070</v>
      </c>
      <c r="J313" s="62">
        <f t="shared" si="3"/>
        <v>0.0000007</v>
      </c>
      <c r="K313" s="62" t="b">
        <f t="shared" si="4"/>
        <v>0</v>
      </c>
      <c r="L313" s="62" t="b">
        <f t="shared" si="5"/>
        <v>0</v>
      </c>
      <c r="M313" s="60" t="str">
        <f>IFERROR(__xludf.DUMMYFUNCTION("if(regexmatch(B313,""e(.*)$""),regexextract(B313,""e(.*)$""),"""")"),"")</f>
        <v/>
      </c>
    </row>
    <row r="314">
      <c r="A314" s="80" t="s">
        <v>2983</v>
      </c>
      <c r="B314" s="80" t="s">
        <v>5413</v>
      </c>
      <c r="C314" s="80" t="s">
        <v>249</v>
      </c>
      <c r="D314" s="18" t="str">
        <f t="shared" si="1"/>
        <v>u</v>
      </c>
      <c r="E314" s="60" t="str">
        <f>VLOOKUP($A314,nist_names_ids!A:B,2,false)</f>
        <v>mtu</v>
      </c>
      <c r="F314" s="61">
        <f>countif(Constants!A:A,E314)</f>
        <v>1</v>
      </c>
      <c r="G314" s="60" t="str">
        <f>IFERROR(__xludf.DUMMYFUNCTION("REGEXREPLACE(substitute(substitute(B314,"" "",""""),""..."",""""),""\(.*\)"","""")"),"3.0155007134")</f>
        <v>3.0155007134</v>
      </c>
      <c r="H314" s="62">
        <f t="shared" si="2"/>
        <v>3.015500713</v>
      </c>
      <c r="I314" s="60" t="str">
        <f>IFERROR(__xludf.DUMMYFUNCTION("if(regexmatch($B314,""\(""),CONCATENATE(regexreplace(REGEXREPLACE(substitute(left($B314,find(""("",$B314)-1),"" "",""""),""\d"",""0""),""[-0]*\."",""0.""), REGEXEXTRACT($B314,""\((.*)\)""),TRIM(REGEXEXTRACT($B314,""\)(.*)""))),"""")"),"0.000000000025")</f>
        <v>0.000000000025</v>
      </c>
      <c r="J314" s="62">
        <f t="shared" si="3"/>
        <v>0</v>
      </c>
      <c r="K314" s="62" t="b">
        <f t="shared" si="4"/>
        <v>0</v>
      </c>
      <c r="L314" s="62" t="b">
        <f t="shared" si="5"/>
        <v>0</v>
      </c>
      <c r="M314" s="60" t="str">
        <f>IFERROR(__xludf.DUMMYFUNCTION("if(regexmatch(B314,""e(.*)$""),regexextract(B314,""e(.*)$""),"""")"),"")</f>
        <v/>
      </c>
    </row>
    <row r="315">
      <c r="A315" s="80" t="s">
        <v>2989</v>
      </c>
      <c r="B315" s="80" t="s">
        <v>5414</v>
      </c>
      <c r="C315" s="80" t="s">
        <v>4309</v>
      </c>
      <c r="D315" s="18" t="str">
        <f t="shared" si="1"/>
        <v>kg mol^-1</v>
      </c>
      <c r="E315" s="60" t="str">
        <f>VLOOKUP($A315,nist_names_ids!A:B,2,false)</f>
        <v>mmt</v>
      </c>
      <c r="F315" s="61">
        <f>countif(Constants!A:A,E315)</f>
        <v>1</v>
      </c>
      <c r="G315" s="60" t="str">
        <f>IFERROR(__xludf.DUMMYFUNCTION("REGEXREPLACE(substitute(substitute(B315,"" "",""""),""..."",""""),""\(.*\)"","""")"),"3.0155007134e-3")</f>
        <v>3.0155007134e-3</v>
      </c>
      <c r="H315" s="62">
        <f t="shared" si="2"/>
        <v>0.003015500713</v>
      </c>
      <c r="I315" s="60" t="str">
        <f>IFERROR(__xludf.DUMMYFUNCTION("if(regexmatch($B315,""\(""),CONCATENATE(regexreplace(REGEXREPLACE(substitute(left($B315,find(""("",$B315)-1),"" "",""""),""\d"",""0""),""[-0]*\."",""0.""), REGEXEXTRACT($B315,""\((.*)\)""),TRIM(REGEXEXTRACT($B315,""\)(.*)""))),"""")"),"0.000000000025e-3")</f>
        <v>0.000000000025e-3</v>
      </c>
      <c r="J315" s="62">
        <f t="shared" si="3"/>
        <v>0</v>
      </c>
      <c r="K315" s="62" t="b">
        <f t="shared" si="4"/>
        <v>0</v>
      </c>
      <c r="L315" s="62" t="b">
        <f t="shared" si="5"/>
        <v>0</v>
      </c>
      <c r="M315" s="60" t="str">
        <f>IFERROR(__xludf.DUMMYFUNCTION("if(regexmatch(B315,""e(.*)$""),regexextract(B315,""e(.*)$""),"""")"),"-3")</f>
        <v>-3</v>
      </c>
    </row>
    <row r="316">
      <c r="A316" s="80" t="s">
        <v>4813</v>
      </c>
      <c r="B316" s="80" t="s">
        <v>5416</v>
      </c>
      <c r="C316" s="80"/>
      <c r="D316" s="18" t="str">
        <f t="shared" si="1"/>
        <v/>
      </c>
      <c r="E316" s="60" t="str">
        <f>VLOOKUP($A316,nist_names_ids!A:B,2,false)</f>
        <v>mutsmup</v>
      </c>
      <c r="F316" s="61">
        <f>countif(Constants!A:A,E316)</f>
        <v>1</v>
      </c>
      <c r="G316" s="60" t="str">
        <f>IFERROR(__xludf.DUMMYFUNCTION("REGEXREPLACE(substitute(substitute(B316,"" "",""""),""..."",""""),""\(.*\)"","""")"),"1.066639908")</f>
        <v>1.066639908</v>
      </c>
      <c r="H316" s="62">
        <f t="shared" si="2"/>
        <v>1.066639908</v>
      </c>
      <c r="I316" s="60" t="str">
        <f>IFERROR(__xludf.DUMMYFUNCTION("if(regexmatch($B316,""\(""),CONCATENATE(regexreplace(REGEXREPLACE(substitute(left($B316,find(""("",$B316)-1),"" "",""""),""\d"",""0""),""[-0]*\."",""0.""), REGEXEXTRACT($B316,""\((.*)\)""),TRIM(REGEXEXTRACT($B316,""\)(.*)""))),"""")"),"0.00000000010")</f>
        <v>0.00000000010</v>
      </c>
      <c r="J316" s="62">
        <f t="shared" si="3"/>
        <v>0.0000000001</v>
      </c>
      <c r="K316" s="62" t="b">
        <f t="shared" si="4"/>
        <v>0</v>
      </c>
      <c r="L316" s="62" t="b">
        <f t="shared" si="5"/>
        <v>0</v>
      </c>
      <c r="M316" s="60" t="str">
        <f>IFERROR(__xludf.DUMMYFUNCTION("if(regexmatch(B316,""e(.*)$""),regexextract(B316,""e(.*)$""),"""")"),"")</f>
        <v/>
      </c>
    </row>
    <row r="317">
      <c r="A317" s="80" t="s">
        <v>4819</v>
      </c>
      <c r="B317" s="80" t="s">
        <v>5418</v>
      </c>
      <c r="C317" s="80"/>
      <c r="D317" s="18" t="str">
        <f t="shared" si="1"/>
        <v/>
      </c>
      <c r="E317" s="60" t="str">
        <f>VLOOKUP($A317,nist_names_ids!A:B,2,false)</f>
        <v>mutsmuem</v>
      </c>
      <c r="F317" s="61">
        <f>countif(Constants!A:A,E317)</f>
        <v>1</v>
      </c>
      <c r="G317" s="60" t="str">
        <f>IFERROR(__xludf.DUMMYFUNCTION("REGEXREPLACE(substitute(substitute(B317,"" "",""""),""..."",""""),""\(.*\)"","""")"),"-1.620514423e-3")</f>
        <v>-1.620514423e-3</v>
      </c>
      <c r="H317" s="62">
        <f t="shared" si="2"/>
        <v>-0.001620514423</v>
      </c>
      <c r="I317" s="60" t="str">
        <f>IFERROR(__xludf.DUMMYFUNCTION("if(regexmatch($B317,""\(""),CONCATENATE(regexreplace(REGEXREPLACE(substitute(left($B317,find(""("",$B317)-1),"" "",""""),""\d"",""0""),""[-0]*\."",""0.""), REGEXEXTRACT($B317,""\((.*)\)""),TRIM(REGEXEXTRACT($B317,""\)(.*)""))),"""")"),"0.00000000021e-3")</f>
        <v>0.00000000021e-3</v>
      </c>
      <c r="J317" s="62">
        <f t="shared" si="3"/>
        <v>0</v>
      </c>
      <c r="K317" s="62" t="b">
        <f t="shared" si="4"/>
        <v>0</v>
      </c>
      <c r="L317" s="62" t="b">
        <f t="shared" si="5"/>
        <v>0</v>
      </c>
      <c r="M317" s="60" t="str">
        <f>IFERROR(__xludf.DUMMYFUNCTION("if(regexmatch(B317,""e(.*)$""),regexextract(B317,""e(.*)$""),"""")"),"-3")</f>
        <v>-3</v>
      </c>
    </row>
    <row r="318">
      <c r="A318" s="80" t="s">
        <v>2951</v>
      </c>
      <c r="B318" s="80" t="s">
        <v>5420</v>
      </c>
      <c r="C318" s="80"/>
      <c r="D318" s="18" t="str">
        <f t="shared" si="1"/>
        <v/>
      </c>
      <c r="E318" s="60" t="str">
        <f>VLOOKUP($A318,nist_names_ids!A:B,2,false)</f>
        <v>mtsme</v>
      </c>
      <c r="F318" s="61">
        <f>countif(Constants!A:A,E318)</f>
        <v>1</v>
      </c>
      <c r="G318" s="60" t="str">
        <f>IFERROR(__xludf.DUMMYFUNCTION("REGEXREPLACE(substitute(substitute(B318,"" "",""""),""..."",""""),""\(.*\)"","""")"),"5496.9215269")</f>
        <v>5496.9215269</v>
      </c>
      <c r="H318" s="62">
        <f t="shared" si="2"/>
        <v>5496.921527</v>
      </c>
      <c r="I318" s="60" t="str">
        <f>IFERROR(__xludf.DUMMYFUNCTION("if(regexmatch($B318,""\(""),CONCATENATE(regexreplace(REGEXREPLACE(substitute(left($B318,find(""("",$B318)-1),"" "",""""),""\d"",""0""),""[-0]*\."",""0.""), REGEXEXTRACT($B318,""\((.*)\)""),TRIM(REGEXEXTRACT($B318,""\)(.*)""))),"""")"),"0.000000051")</f>
        <v>0.000000051</v>
      </c>
      <c r="J318" s="62">
        <f t="shared" si="3"/>
        <v>0.000000051</v>
      </c>
      <c r="K318" s="62" t="b">
        <f t="shared" si="4"/>
        <v>0</v>
      </c>
      <c r="L318" s="62" t="b">
        <f t="shared" si="5"/>
        <v>0</v>
      </c>
      <c r="M318" s="60" t="str">
        <f>IFERROR(__xludf.DUMMYFUNCTION("if(regexmatch(B318,""e(.*)$""),regexextract(B318,""e(.*)$""),"""")"),"")</f>
        <v/>
      </c>
    </row>
    <row r="319">
      <c r="A319" s="80" t="s">
        <v>4839</v>
      </c>
      <c r="B319" s="80" t="s">
        <v>5423</v>
      </c>
      <c r="C319" s="80"/>
      <c r="D319" s="18" t="str">
        <f t="shared" si="1"/>
        <v/>
      </c>
      <c r="E319" s="60" t="str">
        <f>VLOOKUP($A319,nist_names_ids!A:B,2,false)</f>
        <v>mutsmunn</v>
      </c>
      <c r="F319" s="61">
        <f>countif(Constants!A:A,E319)</f>
        <v>1</v>
      </c>
      <c r="G319" s="60" t="str">
        <f>IFERROR(__xludf.DUMMYFUNCTION("REGEXREPLACE(substitute(substitute(B319,"" "",""""),""..."",""""),""\(.*\)"","""")"),"-1.55718553")</f>
        <v>-1.55718553</v>
      </c>
      <c r="H319" s="62">
        <f t="shared" si="2"/>
        <v>-1.55718553</v>
      </c>
      <c r="I319" s="60" t="str">
        <f>IFERROR(__xludf.DUMMYFUNCTION("if(regexmatch($B319,""\(""),CONCATENATE(regexreplace(REGEXREPLACE(substitute(left($B319,find(""("",$B319)-1),"" "",""""),""\d"",""0""),""[-0]*\."",""0.""), REGEXEXTRACT($B319,""\((.*)\)""),TRIM(REGEXEXTRACT($B319,""\)(.*)""))),"""")"),"0.0000000037")</f>
        <v>0.0000000037</v>
      </c>
      <c r="J319" s="62">
        <f t="shared" si="3"/>
        <v>0.0000000037</v>
      </c>
      <c r="K319" s="62" t="b">
        <f t="shared" si="4"/>
        <v>0</v>
      </c>
      <c r="L319" s="62" t="b">
        <f t="shared" si="5"/>
        <v>0</v>
      </c>
      <c r="M319" s="60" t="str">
        <f>IFERROR(__xludf.DUMMYFUNCTION("if(regexmatch(B319,""e(.*)$""),regexextract(B319,""e(.*)$""),"""")"),"")</f>
        <v/>
      </c>
    </row>
    <row r="320">
      <c r="A320" s="80" t="s">
        <v>2993</v>
      </c>
      <c r="B320" s="80" t="s">
        <v>5425</v>
      </c>
      <c r="C320" s="80"/>
      <c r="D320" s="18" t="str">
        <f t="shared" si="1"/>
        <v/>
      </c>
      <c r="E320" s="60" t="str">
        <f>VLOOKUP($A320,nist_names_ids!A:B,2,false)</f>
        <v>mtsmp</v>
      </c>
      <c r="F320" s="61">
        <f>countif(Constants!A:A,E320)</f>
        <v>1</v>
      </c>
      <c r="G320" s="60" t="str">
        <f>IFERROR(__xludf.DUMMYFUNCTION("REGEXREPLACE(substitute(substitute(B320,"" "",""""),""..."",""""),""\(.*\)"","""")"),"2.9937170309")</f>
        <v>2.9937170309</v>
      </c>
      <c r="H320" s="62">
        <f t="shared" si="2"/>
        <v>2.993717031</v>
      </c>
      <c r="I320" s="60" t="str">
        <f>IFERROR(__xludf.DUMMYFUNCTION("if(regexmatch($B320,""\(""),CONCATENATE(regexreplace(REGEXREPLACE(substitute(left($B320,find(""("",$B320)-1),"" "",""""),""\d"",""0""),""[-0]*\."",""0.""), REGEXEXTRACT($B320,""\((.*)\)""),TRIM(REGEXEXTRACT($B320,""\)(.*)""))),"""")"),"0.000000000025")</f>
        <v>0.000000000025</v>
      </c>
      <c r="J320" s="62">
        <f t="shared" si="3"/>
        <v>0</v>
      </c>
      <c r="K320" s="62" t="b">
        <f t="shared" si="4"/>
        <v>0</v>
      </c>
      <c r="L320" s="62" t="b">
        <f t="shared" si="5"/>
        <v>0</v>
      </c>
      <c r="M320" s="60" t="str">
        <f>IFERROR(__xludf.DUMMYFUNCTION("if(regexmatch(B320,""e(.*)$""),regexextract(B320,""e(.*)$""),"""")"),"")</f>
        <v/>
      </c>
    </row>
    <row r="321">
      <c r="A321" s="80" t="s">
        <v>3004</v>
      </c>
      <c r="B321" s="80" t="s">
        <v>4332</v>
      </c>
      <c r="C321" s="80" t="s">
        <v>98</v>
      </c>
      <c r="D321" s="18" t="str">
        <f t="shared" si="1"/>
        <v>kg</v>
      </c>
      <c r="E321" s="60" t="str">
        <f>VLOOKUP($A321,nist_names_ids!A:B,2,false)</f>
        <v>ukg</v>
      </c>
      <c r="F321" s="61">
        <f>countif(Constants!A:A,E321)</f>
        <v>1</v>
      </c>
      <c r="G321" s="60" t="str">
        <f>IFERROR(__xludf.DUMMYFUNCTION("REGEXREPLACE(substitute(substitute(B321,"" "",""""),""..."",""""),""\(.*\)"","""")"),"1.660538782e-27")</f>
        <v>1.660538782e-27</v>
      </c>
      <c r="H321" s="62">
        <f t="shared" si="2"/>
        <v>0</v>
      </c>
      <c r="I321" s="60" t="str">
        <f>IFERROR(__xludf.DUMMYFUNCTION("if(regexmatch($B321,""\(""),CONCATENATE(regexreplace(REGEXREPLACE(substitute(left($B321,find(""("",$B321)-1),"" "",""""),""\d"",""0""),""[-0]*\."",""0.""), REGEXEXTRACT($B321,""\((.*)\)""),TRIM(REGEXEXTRACT($B321,""\)(.*)""))),"""")"),"0.00000000083e-27")</f>
        <v>0.00000000083e-27</v>
      </c>
      <c r="J321" s="62">
        <f t="shared" si="3"/>
        <v>0</v>
      </c>
      <c r="K321" s="62" t="b">
        <f t="shared" si="4"/>
        <v>0</v>
      </c>
      <c r="L321" s="62" t="b">
        <f t="shared" si="5"/>
        <v>0</v>
      </c>
      <c r="M321" s="60" t="str">
        <f>IFERROR(__xludf.DUMMYFUNCTION("if(regexmatch(B321,""e(.*)$""),regexextract(B321,""e(.*)$""),"""")"),"-27")</f>
        <v>-27</v>
      </c>
    </row>
    <row r="322">
      <c r="A322" s="80" t="s">
        <v>3012</v>
      </c>
      <c r="B322" s="80" t="s">
        <v>5428</v>
      </c>
      <c r="C322" s="80" t="s">
        <v>506</v>
      </c>
      <c r="D322" s="18" t="str">
        <f t="shared" si="1"/>
        <v>Ohm</v>
      </c>
      <c r="E322" s="60" t="str">
        <f>VLOOKUP($A322,nist_names_ids!A:B,2,false)</f>
        <v>rk</v>
      </c>
      <c r="F322" s="61">
        <f>countif(Constants!A:A,E322)</f>
        <v>1</v>
      </c>
      <c r="G322" s="60" t="str">
        <f>IFERROR(__xludf.DUMMYFUNCTION("REGEXREPLACE(substitute(substitute(B322,"" "",""""),""..."",""""),""\(.*\)"","""")"),"25812.807557")</f>
        <v>25812.807557</v>
      </c>
      <c r="H322" s="62">
        <f t="shared" si="2"/>
        <v>25812.80756</v>
      </c>
      <c r="I322" s="60" t="str">
        <f>IFERROR(__xludf.DUMMYFUNCTION("if(regexmatch($B322,""\(""),CONCATENATE(regexreplace(REGEXREPLACE(substitute(left($B322,find(""("",$B322)-1),"" "",""""),""\d"",""0""),""[-0]*\."",""0.""), REGEXEXTRACT($B322,""\((.*)\)""),TRIM(REGEXEXTRACT($B322,""\)(.*)""))),"""")"),"0.00000018")</f>
        <v>0.00000018</v>
      </c>
      <c r="J322" s="62">
        <f t="shared" si="3"/>
        <v>0.00000018</v>
      </c>
      <c r="K322" s="62" t="b">
        <f t="shared" si="4"/>
        <v>0</v>
      </c>
      <c r="L322" s="62" t="b">
        <f t="shared" si="5"/>
        <v>0</v>
      </c>
      <c r="M322" s="60" t="str">
        <f>IFERROR(__xludf.DUMMYFUNCTION("if(regexmatch(B322,""e(.*)$""),regexextract(B322,""e(.*)$""),"""")"),"")</f>
        <v/>
      </c>
    </row>
    <row r="323">
      <c r="A323" s="80" t="s">
        <v>3014</v>
      </c>
      <c r="B323" s="80" t="s">
        <v>5431</v>
      </c>
      <c r="C323" s="80"/>
      <c r="D323" s="18" t="str">
        <f t="shared" si="1"/>
        <v/>
      </c>
      <c r="E323" s="60" t="str">
        <f>VLOOKUP($A323,nist_names_ids!A:B,2,false)</f>
        <v>sin2th</v>
      </c>
      <c r="F323" s="61">
        <f>countif(Constants!A:A,E323)</f>
        <v>1</v>
      </c>
      <c r="G323" s="60" t="str">
        <f>IFERROR(__xludf.DUMMYFUNCTION("REGEXREPLACE(substitute(substitute(B323,"" "",""""),""..."",""""),""\(.*\)"","""")"),"0.22255")</f>
        <v>0.22255</v>
      </c>
      <c r="H323" s="62">
        <f t="shared" si="2"/>
        <v>0.22255</v>
      </c>
      <c r="I323" s="60" t="str">
        <f>IFERROR(__xludf.DUMMYFUNCTION("if(regexmatch($B323,""\(""),CONCATENATE(regexreplace(REGEXREPLACE(substitute(left($B323,find(""("",$B323)-1),"" "",""""),""\d"",""0""),""[-0]*\."",""0.""), REGEXEXTRACT($B323,""\((.*)\)""),TRIM(REGEXEXTRACT($B323,""\)(.*)""))),"""")"),"0.0000056")</f>
        <v>0.0000056</v>
      </c>
      <c r="J323" s="62">
        <f t="shared" si="3"/>
        <v>0.0000056</v>
      </c>
      <c r="K323" s="62" t="b">
        <f t="shared" si="4"/>
        <v>0</v>
      </c>
      <c r="L323" s="62" t="b">
        <f t="shared" si="5"/>
        <v>0</v>
      </c>
      <c r="M323" s="60" t="str">
        <f>IFERROR(__xludf.DUMMYFUNCTION("if(regexmatch(B323,""e(.*)$""),regexextract(B323,""e(.*)$""),"""")"),"")</f>
        <v/>
      </c>
    </row>
    <row r="324">
      <c r="A324" s="80" t="s">
        <v>3018</v>
      </c>
      <c r="B324" s="80" t="s">
        <v>5434</v>
      </c>
      <c r="C324" s="80" t="s">
        <v>4487</v>
      </c>
      <c r="D324" s="18" t="str">
        <f t="shared" si="1"/>
        <v>Hz K^-1</v>
      </c>
      <c r="E324" s="60" t="str">
        <f>VLOOKUP($A324,nist_names_ids!A:B,2,false)</f>
        <v>bpwien</v>
      </c>
      <c r="F324" s="61">
        <f>countif(Constants!A:A,E324)</f>
        <v>1</v>
      </c>
      <c r="G324" s="60" t="str">
        <f>IFERROR(__xludf.DUMMYFUNCTION("REGEXREPLACE(substitute(substitute(B324,"" "",""""),""..."",""""),""\(.*\)"","""")"),"5.878933e10")</f>
        <v>5.878933e10</v>
      </c>
      <c r="H324" s="62">
        <f t="shared" si="2"/>
        <v>58789330000</v>
      </c>
      <c r="I324" s="60" t="str">
        <f>IFERROR(__xludf.DUMMYFUNCTION("if(regexmatch($B324,""\(""),CONCATENATE(regexreplace(REGEXREPLACE(substitute(left($B324,find(""("",$B324)-1),"" "",""""),""\d"",""0""),""[-0]*\."",""0.""), REGEXEXTRACT($B324,""\((.*)\)""),TRIM(REGEXEXTRACT($B324,""\)(.*)""))),"""")"),"0.00000010e10")</f>
        <v>0.00000010e10</v>
      </c>
      <c r="J324" s="62">
        <f t="shared" si="3"/>
        <v>1000</v>
      </c>
      <c r="K324" s="62" t="b">
        <f t="shared" si="4"/>
        <v>0</v>
      </c>
      <c r="L324" s="62" t="b">
        <f t="shared" si="5"/>
        <v>0</v>
      </c>
      <c r="M324" s="60" t="str">
        <f>IFERROR(__xludf.DUMMYFUNCTION("if(regexmatch(B324,""e(.*)$""),regexextract(B324,""e(.*)$""),"""")"),"10")</f>
        <v>10</v>
      </c>
    </row>
    <row r="325">
      <c r="A325" s="80" t="s">
        <v>3022</v>
      </c>
      <c r="B325" s="80" t="s">
        <v>5436</v>
      </c>
      <c r="C325" s="80" t="s">
        <v>2800</v>
      </c>
      <c r="D325" s="18" t="str">
        <f t="shared" si="1"/>
        <v>m K</v>
      </c>
      <c r="E325" s="60" t="str">
        <f>VLOOKUP($A325,nist_names_ids!A:B,2,false)</f>
        <v>bwien</v>
      </c>
      <c r="F325" s="61">
        <f>countif(Constants!A:A,E325)</f>
        <v>1</v>
      </c>
      <c r="G325" s="60" t="str">
        <f>IFERROR(__xludf.DUMMYFUNCTION("REGEXREPLACE(substitute(substitute(B325,"" "",""""),""..."",""""),""\(.*\)"","""")"),"2.8977685e-3")</f>
        <v>2.8977685e-3</v>
      </c>
      <c r="H325" s="62">
        <f t="shared" si="2"/>
        <v>0.0028977685</v>
      </c>
      <c r="I325" s="60" t="str">
        <f>IFERROR(__xludf.DUMMYFUNCTION("if(regexmatch($B325,""\(""),CONCATENATE(regexreplace(REGEXREPLACE(substitute(left($B325,find(""("",$B325)-1),"" "",""""),""\d"",""0""),""[-0]*\."",""0.""), REGEXEXTRACT($B325,""\((.*)\)""),TRIM(REGEXEXTRACT($B325,""\)(.*)""))),"""")"),"0.000000051e-3")</f>
        <v>0.000000051e-3</v>
      </c>
      <c r="J325" s="62">
        <f t="shared" si="3"/>
        <v>0</v>
      </c>
      <c r="K325" s="62" t="b">
        <f t="shared" si="4"/>
        <v>0</v>
      </c>
      <c r="L325" s="62" t="b">
        <f t="shared" si="5"/>
        <v>0</v>
      </c>
      <c r="M325" s="60" t="str">
        <f>IFERROR(__xludf.DUMMYFUNCTION("if(regexmatch(B325,""e(.*)$""),regexextract(B325,""e(.*)$""),"""")"),"-3")</f>
        <v>-3</v>
      </c>
    </row>
  </sheetData>
  <conditionalFormatting sqref="F1:F325">
    <cfRule type="cellIs" dxfId="3" priority="1" operator="equal">
      <formula>0</formula>
    </cfRule>
  </conditionalFormatting>
  <conditionalFormatting sqref="E1:E325">
    <cfRule type="expression" dxfId="0" priority="2">
      <formula>iserror(E1)</formula>
    </cfRule>
  </conditionalFormatting>
  <conditionalFormatting sqref="E1:E325">
    <cfRule type="expression" dxfId="0" priority="3">
      <formula>countif(E:E,E1)&gt;1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5"/>
    <col customWidth="1" min="2" max="2" width="21.63"/>
    <col customWidth="1" min="3" max="3" width="14.38"/>
    <col customWidth="1" min="5" max="5" width="12.5"/>
    <col customWidth="1" min="6" max="6" width="8.88"/>
    <col customWidth="1" min="7" max="7" width="16.88"/>
    <col customWidth="1" min="8" max="8" width="18.0"/>
    <col customWidth="1" min="9" max="9" width="18.75"/>
    <col customWidth="1" min="10" max="10" width="17.5"/>
    <col customWidth="1" min="11" max="11" width="7.63"/>
    <col customWidth="1" min="12" max="12" width="10.88"/>
    <col customWidth="1" min="13" max="13" width="8.38"/>
  </cols>
  <sheetData>
    <row r="1">
      <c r="A1" s="79" t="s">
        <v>1</v>
      </c>
      <c r="B1" s="79" t="s">
        <v>1406</v>
      </c>
      <c r="C1" s="79" t="s">
        <v>21</v>
      </c>
      <c r="D1" s="7" t="s">
        <v>1408</v>
      </c>
      <c r="E1" s="58" t="s">
        <v>0</v>
      </c>
      <c r="F1" s="10" t="s">
        <v>1409</v>
      </c>
      <c r="G1" s="58" t="s">
        <v>1410</v>
      </c>
      <c r="H1" s="58" t="s">
        <v>1412</v>
      </c>
      <c r="I1" s="58" t="s">
        <v>1413</v>
      </c>
      <c r="J1" s="58" t="s">
        <v>1414</v>
      </c>
      <c r="K1" s="58" t="s">
        <v>1415</v>
      </c>
      <c r="L1" s="58" t="s">
        <v>1416</v>
      </c>
      <c r="M1" s="58" t="s">
        <v>1417</v>
      </c>
    </row>
    <row r="2">
      <c r="A2" s="80" t="s">
        <v>96</v>
      </c>
      <c r="B2" s="80" t="s">
        <v>4875</v>
      </c>
      <c r="C2" s="80" t="s">
        <v>98</v>
      </c>
      <c r="D2" s="18" t="str">
        <f t="shared" ref="D2:D308" si="1">SUBSTITUTE(SUBSTITUTE(C2,"{",""),"}","")</f>
        <v>kg</v>
      </c>
      <c r="E2" s="60" t="str">
        <f>VLOOKUP($A2,nist_names_ids!A:B,2,false)</f>
        <v>mal</v>
      </c>
      <c r="F2" s="61">
        <f>countif(Constants!A:A,E2)</f>
        <v>1</v>
      </c>
      <c r="G2" s="60" t="str">
        <f>IFERROR(__xludf.DUMMYFUNCTION("REGEXREPLACE(substitute(substitute(B2,"" "",""""),""..."",""""),""\(.*\)"","""")"),"6.6446565e-27")</f>
        <v>6.6446565e-27</v>
      </c>
      <c r="H2" s="62">
        <f t="shared" ref="H2:H308" si="2">value(G2)</f>
        <v>0</v>
      </c>
      <c r="I2" s="60" t="str">
        <f>IFERROR(__xludf.DUMMYFUNCTION("if(regexmatch($B2,""\(""),CONCATENATE(regexreplace(REGEXREPLACE(substitute(left($B2,find(""("",$B2)-1),"" "",""""),""\d"",""0""),""[-0]*\."",""0.""), REGEXEXTRACT($B2,""\((.*)\)""),TRIM(REGEXEXTRACT($B2,""\)(.*)""))),"""")"),"0.000000011e-27")</f>
        <v>0.000000011e-27</v>
      </c>
      <c r="J2" s="62">
        <f t="shared" ref="J2:J308" si="3">if(LEN(I2),value(I2),"")</f>
        <v>0</v>
      </c>
      <c r="K2" s="62" t="b">
        <f t="shared" ref="K2:K308" si="4">if(I2="(exact)", TRUE,FALSE)</f>
        <v>0</v>
      </c>
      <c r="L2" s="62" t="b">
        <f t="shared" ref="L2:L308" si="5">ISNUMBER(search("...",B2))</f>
        <v>0</v>
      </c>
      <c r="M2" s="60" t="str">
        <f>IFERROR(__xludf.DUMMYFUNCTION("if(regexmatch(B2,""e(.*)$""),regexextract(B2,""e(.*)$""),"""")"),"-27")</f>
        <v>-27</v>
      </c>
    </row>
    <row r="3">
      <c r="A3" s="80" t="s">
        <v>176</v>
      </c>
      <c r="B3" s="80" t="s">
        <v>4877</v>
      </c>
      <c r="C3" s="80" t="s">
        <v>173</v>
      </c>
      <c r="D3" s="18" t="str">
        <f t="shared" si="1"/>
        <v>J</v>
      </c>
      <c r="E3" s="60" t="str">
        <f>VLOOKUP($A3,nist_names_ids!A:B,2,false)</f>
        <v>malc2</v>
      </c>
      <c r="F3" s="61">
        <f>countif(Constants!A:A,E3)</f>
        <v>1</v>
      </c>
      <c r="G3" s="60" t="str">
        <f>IFERROR(__xludf.DUMMYFUNCTION("REGEXREPLACE(substitute(substitute(B3,"" "",""""),""..."",""""),""\(.*\)"","""")"),"5.9719194e-10")</f>
        <v>5.9719194e-10</v>
      </c>
      <c r="H3" s="62">
        <f t="shared" si="2"/>
        <v>0.00000000059719194</v>
      </c>
      <c r="I3" s="60" t="str">
        <f>IFERROR(__xludf.DUMMYFUNCTION("if(regexmatch($B3,""\(""),CONCATENATE(regexreplace(REGEXREPLACE(substitute(left($B3,find(""("",$B3)-1),"" "",""""),""\d"",""0""),""[-0]*\."",""0.""), REGEXEXTRACT($B3,""\((.*)\)""),TRIM(REGEXEXTRACT($B3,""\)(.*)""))),"""")"),"0.000000010e-10")</f>
        <v>0.000000010e-10</v>
      </c>
      <c r="J3" s="62">
        <f t="shared" si="3"/>
        <v>0</v>
      </c>
      <c r="K3" s="62" t="b">
        <f t="shared" si="4"/>
        <v>0</v>
      </c>
      <c r="L3" s="62" t="b">
        <f t="shared" si="5"/>
        <v>0</v>
      </c>
      <c r="M3" s="60" t="str">
        <f>IFERROR(__xludf.DUMMYFUNCTION("if(regexmatch(B3,""e(.*)$""),regexextract(B3,""e(.*)$""),"""")"),"-10")</f>
        <v>-10</v>
      </c>
    </row>
    <row r="4">
      <c r="A4" s="80" t="s">
        <v>222</v>
      </c>
      <c r="B4" s="80" t="s">
        <v>4880</v>
      </c>
      <c r="C4" s="80" t="s">
        <v>224</v>
      </c>
      <c r="D4" s="18" t="str">
        <f t="shared" si="1"/>
        <v>MeV</v>
      </c>
      <c r="E4" s="60" t="str">
        <f>VLOOKUP($A4,nist_names_ids!A:B,2,false)</f>
        <v>malc2mev</v>
      </c>
      <c r="F4" s="61">
        <f>countif(Constants!A:A,E4)</f>
        <v>1</v>
      </c>
      <c r="G4" s="60" t="str">
        <f>IFERROR(__xludf.DUMMYFUNCTION("REGEXREPLACE(substitute(substitute(B4,"" "",""""),""..."",""""),""\(.*\)"","""")"),"3727.37917")</f>
        <v>3727.37917</v>
      </c>
      <c r="H4" s="62">
        <f t="shared" si="2"/>
        <v>3727.37917</v>
      </c>
      <c r="I4" s="60" t="str">
        <f>IFERROR(__xludf.DUMMYFUNCTION("if(regexmatch($B4,""\(""),CONCATENATE(regexreplace(REGEXREPLACE(substitute(left($B4,find(""("",$B4)-1),"" "",""""),""\d"",""0""),""[-0]*\."",""0.""), REGEXEXTRACT($B4,""\((.*)\)""),TRIM(REGEXEXTRACT($B4,""\)(.*)""))),"""")"),"0.0000032")</f>
        <v>0.0000032</v>
      </c>
      <c r="J4" s="62">
        <f t="shared" si="3"/>
        <v>0.0000032</v>
      </c>
      <c r="K4" s="62" t="b">
        <f t="shared" si="4"/>
        <v>0</v>
      </c>
      <c r="L4" s="62" t="b">
        <f t="shared" si="5"/>
        <v>0</v>
      </c>
      <c r="M4" s="60" t="str">
        <f>IFERROR(__xludf.DUMMYFUNCTION("if(regexmatch(B4,""e(.*)$""),regexextract(B4,""e(.*)$""),"""")"),"")</f>
        <v/>
      </c>
    </row>
    <row r="5">
      <c r="A5" s="80" t="s">
        <v>245</v>
      </c>
      <c r="B5" s="80" t="s">
        <v>4882</v>
      </c>
      <c r="C5" s="80" t="s">
        <v>249</v>
      </c>
      <c r="D5" s="18" t="str">
        <f t="shared" si="1"/>
        <v>u</v>
      </c>
      <c r="E5" s="60" t="str">
        <f>VLOOKUP($A5,nist_names_ids!A:B,2,false)</f>
        <v>malu</v>
      </c>
      <c r="F5" s="61">
        <f>countif(Constants!A:A,E5)</f>
        <v>1</v>
      </c>
      <c r="G5" s="60" t="str">
        <f>IFERROR(__xludf.DUMMYFUNCTION("REGEXREPLACE(substitute(substitute(B5,"" "",""""),""..."",""""),""\(.*\)"","""")"),"4.001506179149")</f>
        <v>4.001506179149</v>
      </c>
      <c r="H5" s="62">
        <f t="shared" si="2"/>
        <v>4.001506179</v>
      </c>
      <c r="I5" s="60" t="str">
        <f>IFERROR(__xludf.DUMMYFUNCTION("if(regexmatch($B5,""\(""),CONCATENATE(regexreplace(REGEXREPLACE(substitute(left($B5,find(""("",$B5)-1),"" "",""""),""\d"",""0""),""[-0]*\."",""0.""), REGEXEXTRACT($B5,""\((.*)\)""),TRIM(REGEXEXTRACT($B5,""\)(.*)""))),"""")"),"0.00000000000056")</f>
        <v>0.00000000000056</v>
      </c>
      <c r="J5" s="62">
        <f t="shared" si="3"/>
        <v>0</v>
      </c>
      <c r="K5" s="62" t="b">
        <f t="shared" si="4"/>
        <v>0</v>
      </c>
      <c r="L5" s="62" t="b">
        <f t="shared" si="5"/>
        <v>0</v>
      </c>
      <c r="M5" s="60" t="str">
        <f>IFERROR(__xludf.DUMMYFUNCTION("if(regexmatch(B5,""e(.*)$""),regexextract(B5,""e(.*)$""),"""")"),"")</f>
        <v/>
      </c>
    </row>
    <row r="6">
      <c r="A6" s="80" t="s">
        <v>284</v>
      </c>
      <c r="B6" s="80" t="s">
        <v>4886</v>
      </c>
      <c r="C6" s="80" t="s">
        <v>4309</v>
      </c>
      <c r="D6" s="18" t="str">
        <f t="shared" si="1"/>
        <v>kg mol^-1</v>
      </c>
      <c r="E6" s="60" t="str">
        <f>VLOOKUP($A6,nist_names_ids!A:B,2,false)</f>
        <v>mmal</v>
      </c>
      <c r="F6" s="61">
        <f>countif(Constants!A:A,E6)</f>
        <v>1</v>
      </c>
      <c r="G6" s="60" t="str">
        <f>IFERROR(__xludf.DUMMYFUNCTION("REGEXREPLACE(substitute(substitute(B6,"" "",""""),""..."",""""),""\(.*\)"","""")"),"4.001506179149e-3")</f>
        <v>4.001506179149e-3</v>
      </c>
      <c r="H6" s="62">
        <f t="shared" si="2"/>
        <v>0.004001506179</v>
      </c>
      <c r="I6" s="60" t="str">
        <f>IFERROR(__xludf.DUMMYFUNCTION("if(regexmatch($B6,""\(""),CONCATENATE(regexreplace(REGEXREPLACE(substitute(left($B6,find(""("",$B6)-1),"" "",""""),""\d"",""0""),""[-0]*\."",""0.""), REGEXEXTRACT($B6,""\((.*)\)""),TRIM(REGEXEXTRACT($B6,""\)(.*)""))),"""")"),"0.00000000000056e-3")</f>
        <v>0.00000000000056e-3</v>
      </c>
      <c r="J6" s="62">
        <f t="shared" si="3"/>
        <v>0</v>
      </c>
      <c r="K6" s="62" t="b">
        <f t="shared" si="4"/>
        <v>0</v>
      </c>
      <c r="L6" s="62" t="b">
        <f t="shared" si="5"/>
        <v>0</v>
      </c>
      <c r="M6" s="60" t="str">
        <f>IFERROR(__xludf.DUMMYFUNCTION("if(regexmatch(B6,""e(.*)$""),regexextract(B6,""e(.*)$""),"""")"),"-3")</f>
        <v>-3</v>
      </c>
    </row>
    <row r="7">
      <c r="A7" s="80" t="s">
        <v>1153</v>
      </c>
      <c r="B7" s="80" t="s">
        <v>4887</v>
      </c>
      <c r="C7" s="80"/>
      <c r="D7" s="18" t="str">
        <f t="shared" si="1"/>
        <v/>
      </c>
      <c r="E7" s="60" t="str">
        <f>VLOOKUP($A7,nist_names_ids!A:B,2,false)</f>
        <v>malsme</v>
      </c>
      <c r="F7" s="61">
        <f>countif(Constants!A:A,E7)</f>
        <v>1</v>
      </c>
      <c r="G7" s="60" t="str">
        <f>IFERROR(__xludf.DUMMYFUNCTION("REGEXREPLACE(substitute(substitute(B7,"" "",""""),""..."",""""),""\(.*\)"","""")"),"7294.2995363")</f>
        <v>7294.2995363</v>
      </c>
      <c r="H7" s="62">
        <f t="shared" si="2"/>
        <v>7294.299536</v>
      </c>
      <c r="I7" s="60" t="str">
        <f>IFERROR(__xludf.DUMMYFUNCTION("if(regexmatch($B7,""\(""),CONCATENATE(regexreplace(REGEXREPLACE(substitute(left($B7,find(""("",$B7)-1),"" "",""""),""\d"",""0""),""[-0]*\."",""0.""), REGEXEXTRACT($B7,""\((.*)\)""),TRIM(REGEXEXTRACT($B7,""\)(.*)""))),"""")"),"0.000000032")</f>
        <v>0.000000032</v>
      </c>
      <c r="J7" s="62">
        <f t="shared" si="3"/>
        <v>0.000000032</v>
      </c>
      <c r="K7" s="62" t="b">
        <f t="shared" si="4"/>
        <v>0</v>
      </c>
      <c r="L7" s="62" t="b">
        <f t="shared" si="5"/>
        <v>0</v>
      </c>
      <c r="M7" s="60" t="str">
        <f>IFERROR(__xludf.DUMMYFUNCTION("if(regexmatch(B7,""e(.*)$""),regexextract(B7,""e(.*)$""),"""")"),"")</f>
        <v/>
      </c>
    </row>
    <row r="8">
      <c r="A8" s="80" t="s">
        <v>1171</v>
      </c>
      <c r="B8" s="80" t="s">
        <v>4888</v>
      </c>
      <c r="C8" s="80"/>
      <c r="D8" s="18" t="str">
        <f t="shared" si="1"/>
        <v/>
      </c>
      <c r="E8" s="60" t="str">
        <f>VLOOKUP($A8,nist_names_ids!A:B,2,false)</f>
        <v>malsmp</v>
      </c>
      <c r="F8" s="61">
        <f>countif(Constants!A:A,E8)</f>
        <v>1</v>
      </c>
      <c r="G8" s="60" t="str">
        <f>IFERROR(__xludf.DUMMYFUNCTION("REGEXREPLACE(substitute(substitute(B8,"" "",""""),""..."",""""),""\(.*\)"","""")"),"3.97259968907")</f>
        <v>3.97259968907</v>
      </c>
      <c r="H8" s="62">
        <f t="shared" si="2"/>
        <v>3.972599689</v>
      </c>
      <c r="I8" s="60" t="str">
        <f>IFERROR(__xludf.DUMMYFUNCTION("if(regexmatch($B8,""\(""),CONCATENATE(regexreplace(REGEXREPLACE(substitute(left($B8,find(""("",$B8)-1),"" "",""""),""\d"",""0""),""[-0]*\."",""0.""), REGEXEXTRACT($B8,""\((.*)\)""),TRIM(REGEXEXTRACT($B8,""\)(.*)""))),"""")"),"0.0000000000052")</f>
        <v>0.0000000000052</v>
      </c>
      <c r="J8" s="62">
        <f t="shared" si="3"/>
        <v>0</v>
      </c>
      <c r="K8" s="62" t="b">
        <f t="shared" si="4"/>
        <v>0</v>
      </c>
      <c r="L8" s="62" t="b">
        <f t="shared" si="5"/>
        <v>0</v>
      </c>
      <c r="M8" s="60" t="str">
        <f>IFERROR(__xludf.DUMMYFUNCTION("if(regexmatch(B8,""e(.*)$""),regexextract(B8,""e(.*)$""),"""")"),"")</f>
        <v/>
      </c>
    </row>
    <row r="9">
      <c r="A9" s="80" t="s">
        <v>399</v>
      </c>
      <c r="B9" s="80" t="s">
        <v>4890</v>
      </c>
      <c r="C9" s="80" t="s">
        <v>381</v>
      </c>
      <c r="D9" s="18" t="str">
        <f t="shared" si="1"/>
        <v>m</v>
      </c>
      <c r="E9" s="60" t="str">
        <f>VLOOKUP($A9,nist_names_ids!A:B,2,false)</f>
        <v>angstar</v>
      </c>
      <c r="F9" s="61">
        <f>countif(Constants!A:A,E9)</f>
        <v>1</v>
      </c>
      <c r="G9" s="60" t="str">
        <f>IFERROR(__xludf.DUMMYFUNCTION("REGEXREPLACE(substitute(substitute(B9,"" "",""""),""..."",""""),""\(.*\)"","""")"),"1.00001509e-10")</f>
        <v>1.00001509e-10</v>
      </c>
      <c r="H9" s="62">
        <f t="shared" si="2"/>
        <v>0.000000000100001509</v>
      </c>
      <c r="I9" s="60" t="str">
        <f>IFERROR(__xludf.DUMMYFUNCTION("if(regexmatch($B9,""\(""),CONCATENATE(regexreplace(REGEXREPLACE(substitute(left($B9,find(""("",$B9)-1),"" "",""""),""\d"",""0""),""[-0]*\."",""0.""), REGEXEXTRACT($B9,""\((.*)\)""),TRIM(REGEXEXTRACT($B9,""\)(.*)""))),"""")"),"0.0000000090e-10")</f>
        <v>0.0000000090e-10</v>
      </c>
      <c r="J9" s="62">
        <f t="shared" si="3"/>
        <v>0</v>
      </c>
      <c r="K9" s="62" t="b">
        <f t="shared" si="4"/>
        <v>0</v>
      </c>
      <c r="L9" s="62" t="b">
        <f t="shared" si="5"/>
        <v>0</v>
      </c>
      <c r="M9" s="60" t="str">
        <f>IFERROR(__xludf.DUMMYFUNCTION("if(regexmatch(B9,""e(.*)$""),regexextract(B9,""e(.*)$""),"""")"),"-10")</f>
        <v>-10</v>
      </c>
    </row>
    <row r="10">
      <c r="A10" s="80" t="s">
        <v>431</v>
      </c>
      <c r="B10" s="80" t="s">
        <v>4891</v>
      </c>
      <c r="C10" s="80" t="s">
        <v>98</v>
      </c>
      <c r="D10" s="18" t="str">
        <f t="shared" si="1"/>
        <v>kg</v>
      </c>
      <c r="E10" s="60" t="str">
        <f>VLOOKUP($A10,nist_names_ids!A:B,2,false)</f>
        <v>u</v>
      </c>
      <c r="F10" s="61">
        <f>countif(Constants!A:A,E10)</f>
        <v>1</v>
      </c>
      <c r="G10" s="60" t="str">
        <f>IFERROR(__xludf.DUMMYFUNCTION("REGEXREPLACE(substitute(substitute(B10,"" "",""""),""..."",""""),""\(.*\)"","""")"),"1.66053886e-27")</f>
        <v>1.66053886e-27</v>
      </c>
      <c r="H10" s="62">
        <f t="shared" si="2"/>
        <v>0</v>
      </c>
      <c r="I10" s="60" t="str">
        <f>IFERROR(__xludf.DUMMYFUNCTION("if(regexmatch($B10,""\(""),CONCATENATE(regexreplace(REGEXREPLACE(substitute(left($B10,find(""("",$B10)-1),"" "",""""),""\d"",""0""),""[-0]*\."",""0.""), REGEXEXTRACT($B10,""\((.*)\)""),TRIM(REGEXEXTRACT($B10,""\)(.*)""))),"""")"),"0.0000000028e-27")</f>
        <v>0.0000000028e-27</v>
      </c>
      <c r="J10" s="62">
        <f t="shared" si="3"/>
        <v>0</v>
      </c>
      <c r="K10" s="62" t="b">
        <f t="shared" si="4"/>
        <v>0</v>
      </c>
      <c r="L10" s="62" t="b">
        <f t="shared" si="5"/>
        <v>0</v>
      </c>
      <c r="M10" s="60" t="str">
        <f>IFERROR(__xludf.DUMMYFUNCTION("if(regexmatch(B10,""e(.*)$""),regexextract(B10,""e(.*)$""),"""")"),"-27")</f>
        <v>-27</v>
      </c>
    </row>
    <row r="11">
      <c r="A11" s="80" t="s">
        <v>619</v>
      </c>
      <c r="B11" s="80" t="s">
        <v>4892</v>
      </c>
      <c r="C11" s="80" t="s">
        <v>173</v>
      </c>
      <c r="D11" s="18" t="str">
        <f t="shared" si="1"/>
        <v>J</v>
      </c>
      <c r="E11" s="60" t="str">
        <f>VLOOKUP($A11,nist_names_ids!A:B,2,false)</f>
        <v>uj</v>
      </c>
      <c r="F11" s="61">
        <f>countif(Constants!A:A,E11)</f>
        <v>1</v>
      </c>
      <c r="G11" s="60" t="str">
        <f>IFERROR(__xludf.DUMMYFUNCTION("REGEXREPLACE(substitute(substitute(B11,"" "",""""),""..."",""""),""\(.*\)"","""")"),"1.49241790e-10")</f>
        <v>1.49241790e-10</v>
      </c>
      <c r="H11" s="62">
        <f t="shared" si="2"/>
        <v>0.00000000014924179</v>
      </c>
      <c r="I11" s="60" t="str">
        <f>IFERROR(__xludf.DUMMYFUNCTION("if(regexmatch($B11,""\(""),CONCATENATE(regexreplace(REGEXREPLACE(substitute(left($B11,find(""("",$B11)-1),"" "",""""),""\d"",""0""),""[-0]*\."",""0.""), REGEXEXTRACT($B11,""\((.*)\)""),TRIM(REGEXEXTRACT($B11,""\)(.*)""))),"""")"),"0.0000000026e-10")</f>
        <v>0.0000000026e-10</v>
      </c>
      <c r="J11" s="62">
        <f t="shared" si="3"/>
        <v>0</v>
      </c>
      <c r="K11" s="62" t="b">
        <f t="shared" si="4"/>
        <v>0</v>
      </c>
      <c r="L11" s="62" t="b">
        <f t="shared" si="5"/>
        <v>0</v>
      </c>
      <c r="M11" s="60" t="str">
        <f>IFERROR(__xludf.DUMMYFUNCTION("if(regexmatch(B11,""e(.*)$""),regexextract(B11,""e(.*)$""),"""")"),"-10")</f>
        <v>-10</v>
      </c>
    </row>
    <row r="12">
      <c r="A12" s="80" t="s">
        <v>453</v>
      </c>
      <c r="B12" s="80" t="s">
        <v>4895</v>
      </c>
      <c r="C12" s="80" t="s">
        <v>224</v>
      </c>
      <c r="D12" s="18" t="str">
        <f t="shared" si="1"/>
        <v>MeV</v>
      </c>
      <c r="E12" s="60" t="str">
        <f>VLOOKUP($A12,nist_names_ids!A:B,2,false)</f>
        <v>muc2mev</v>
      </c>
      <c r="F12" s="61">
        <f>countif(Constants!A:A,E12)</f>
        <v>1</v>
      </c>
      <c r="G12" s="60" t="str">
        <f>IFERROR(__xludf.DUMMYFUNCTION("REGEXREPLACE(substitute(substitute(B12,"" "",""""),""..."",""""),""\(.*\)"","""")"),"931.494043")</f>
        <v>931.494043</v>
      </c>
      <c r="H12" s="62">
        <f t="shared" si="2"/>
        <v>931.494043</v>
      </c>
      <c r="I12" s="60" t="str">
        <f>IFERROR(__xludf.DUMMYFUNCTION("if(regexmatch($B12,""\(""),CONCATENATE(regexreplace(REGEXREPLACE(substitute(left($B12,find(""("",$B12)-1),"" "",""""),""\d"",""0""),""[-0]*\."",""0.""), REGEXEXTRACT($B12,""\((.*)\)""),TRIM(REGEXEXTRACT($B12,""\)(.*)""))),"""")"),"0.00000080")</f>
        <v>0.00000080</v>
      </c>
      <c r="J12" s="62">
        <f t="shared" si="3"/>
        <v>0.0000008</v>
      </c>
      <c r="K12" s="62" t="b">
        <f t="shared" si="4"/>
        <v>0</v>
      </c>
      <c r="L12" s="62" t="b">
        <f t="shared" si="5"/>
        <v>0</v>
      </c>
      <c r="M12" s="60" t="str">
        <f>IFERROR(__xludf.DUMMYFUNCTION("if(regexmatch(B12,""e(.*)$""),regexextract(B12,""e(.*)$""),"""")"),"")</f>
        <v/>
      </c>
    </row>
    <row r="13">
      <c r="A13" s="80" t="s">
        <v>1242</v>
      </c>
      <c r="B13" s="80" t="s">
        <v>4896</v>
      </c>
      <c r="C13" s="80" t="s">
        <v>181</v>
      </c>
      <c r="D13" s="18" t="str">
        <f t="shared" si="1"/>
        <v>eV</v>
      </c>
      <c r="E13" s="60" t="str">
        <f>VLOOKUP($A13,nist_names_ids!A:B,2,false)</f>
        <v>uev</v>
      </c>
      <c r="F13" s="61">
        <f>countif(Constants!A:A,E13)</f>
        <v>1</v>
      </c>
      <c r="G13" s="60" t="str">
        <f>IFERROR(__xludf.DUMMYFUNCTION("REGEXREPLACE(substitute(substitute(B13,"" "",""""),""..."",""""),""\(.*\)"","""")"),"931.494043e6")</f>
        <v>931.494043e6</v>
      </c>
      <c r="H13" s="62">
        <f t="shared" si="2"/>
        <v>931494043</v>
      </c>
      <c r="I13" s="60" t="str">
        <f>IFERROR(__xludf.DUMMYFUNCTION("if(regexmatch($B13,""\(""),CONCATENATE(regexreplace(REGEXREPLACE(substitute(left($B13,find(""("",$B13)-1),"" "",""""),""\d"",""0""),""[-0]*\."",""0.""), REGEXEXTRACT($B13,""\((.*)\)""),TRIM(REGEXEXTRACT($B13,""\)(.*)""))),"""")"),"0.00000080e6")</f>
        <v>0.00000080e6</v>
      </c>
      <c r="J13" s="62">
        <f t="shared" si="3"/>
        <v>0.8</v>
      </c>
      <c r="K13" s="62" t="b">
        <f t="shared" si="4"/>
        <v>0</v>
      </c>
      <c r="L13" s="62" t="b">
        <f t="shared" si="5"/>
        <v>0</v>
      </c>
      <c r="M13" s="60" t="str">
        <f>IFERROR(__xludf.DUMMYFUNCTION("if(regexmatch(B13,""e(.*)$""),regexextract(B13,""e(.*)$""),"""")"),"6")</f>
        <v>6</v>
      </c>
    </row>
    <row r="14">
      <c r="A14" s="80" t="s">
        <v>1272</v>
      </c>
      <c r="B14" s="80" t="s">
        <v>4898</v>
      </c>
      <c r="C14" s="80" t="s">
        <v>170</v>
      </c>
      <c r="D14" s="18" t="str">
        <f t="shared" si="1"/>
        <v>E_h</v>
      </c>
      <c r="E14" s="60" t="str">
        <f>VLOOKUP($A14,nist_names_ids!A:B,2,false)</f>
        <v>uhr</v>
      </c>
      <c r="F14" s="61">
        <f>countif(Constants!A:A,E14)</f>
        <v>1</v>
      </c>
      <c r="G14" s="60" t="str">
        <f>IFERROR(__xludf.DUMMYFUNCTION("REGEXREPLACE(substitute(substitute(B14,"" "",""""),""..."",""""),""\(.*\)"","""")"),"3.423177686e7")</f>
        <v>3.423177686e7</v>
      </c>
      <c r="H14" s="62">
        <f t="shared" si="2"/>
        <v>34231776.86</v>
      </c>
      <c r="I14" s="60" t="str">
        <f>IFERROR(__xludf.DUMMYFUNCTION("if(regexmatch($B14,""\(""),CONCATENATE(regexreplace(REGEXREPLACE(substitute(left($B14,find(""("",$B14)-1),"" "",""""),""\d"",""0""),""[-0]*\."",""0.""), REGEXEXTRACT($B14,""\((.*)\)""),TRIM(REGEXEXTRACT($B14,""\)(.*)""))),"""")"),"0.00000000023e7")</f>
        <v>0.00000000023e7</v>
      </c>
      <c r="J14" s="62">
        <f t="shared" si="3"/>
        <v>0.0023</v>
      </c>
      <c r="K14" s="62" t="b">
        <f t="shared" si="4"/>
        <v>0</v>
      </c>
      <c r="L14" s="62" t="b">
        <f t="shared" si="5"/>
        <v>0</v>
      </c>
      <c r="M14" s="60" t="str">
        <f>IFERROR(__xludf.DUMMYFUNCTION("if(regexmatch(B14,""e(.*)$""),regexextract(B14,""e(.*)$""),"""")"),"7")</f>
        <v>7</v>
      </c>
    </row>
    <row r="15">
      <c r="A15" s="80" t="s">
        <v>1288</v>
      </c>
      <c r="B15" s="80" t="s">
        <v>4904</v>
      </c>
      <c r="C15" s="80" t="s">
        <v>257</v>
      </c>
      <c r="D15" s="18" t="str">
        <f t="shared" si="1"/>
        <v>Hz</v>
      </c>
      <c r="E15" s="60" t="str">
        <f>VLOOKUP($A15,nist_names_ids!A:B,2,false)</f>
        <v>uhz</v>
      </c>
      <c r="F15" s="61">
        <f>countif(Constants!A:A,E15)</f>
        <v>1</v>
      </c>
      <c r="G15" s="60" t="str">
        <f>IFERROR(__xludf.DUMMYFUNCTION("REGEXREPLACE(substitute(substitute(B15,"" "",""""),""..."",""""),""\(.*\)"","""")"),"2.252342718e23")</f>
        <v>2.252342718e23</v>
      </c>
      <c r="H15" s="62">
        <f t="shared" si="2"/>
        <v>2.25234E+23</v>
      </c>
      <c r="I15" s="60" t="str">
        <f>IFERROR(__xludf.DUMMYFUNCTION("if(regexmatch($B15,""\(""),CONCATENATE(regexreplace(REGEXREPLACE(substitute(left($B15,find(""("",$B15)-1),"" "",""""),""\d"",""0""),""[-0]*\."",""0.""), REGEXEXTRACT($B15,""\((.*)\)""),TRIM(REGEXEXTRACT($B15,""\)(.*)""))),"""")"),"0.00000000015e23")</f>
        <v>0.00000000015e23</v>
      </c>
      <c r="J15" s="62">
        <f t="shared" si="3"/>
        <v>15000000000000</v>
      </c>
      <c r="K15" s="62" t="b">
        <f t="shared" si="4"/>
        <v>0</v>
      </c>
      <c r="L15" s="62" t="b">
        <f t="shared" si="5"/>
        <v>0</v>
      </c>
      <c r="M15" s="60" t="str">
        <f>IFERROR(__xludf.DUMMYFUNCTION("if(regexmatch(B15,""e(.*)$""),regexextract(B15,""e(.*)$""),"""")"),"23")</f>
        <v>23</v>
      </c>
    </row>
    <row r="16">
      <c r="A16" s="80" t="s">
        <v>1312</v>
      </c>
      <c r="B16" s="80" t="s">
        <v>4907</v>
      </c>
      <c r="C16" s="80" t="s">
        <v>4359</v>
      </c>
      <c r="D16" s="18" t="str">
        <f t="shared" si="1"/>
        <v>m^-1</v>
      </c>
      <c r="E16" s="60" t="str">
        <f>VLOOKUP($A16,nist_names_ids!A:B,2,false)</f>
        <v>uminv</v>
      </c>
      <c r="F16" s="61">
        <f>countif(Constants!A:A,E16)</f>
        <v>1</v>
      </c>
      <c r="G16" s="60" t="str">
        <f>IFERROR(__xludf.DUMMYFUNCTION("REGEXREPLACE(substitute(substitute(B16,"" "",""""),""..."",""""),""\(.*\)"","""")"),"7.513006608e14")</f>
        <v>7.513006608e14</v>
      </c>
      <c r="H16" s="62">
        <f t="shared" si="2"/>
        <v>751300660800000</v>
      </c>
      <c r="I16" s="60" t="str">
        <f>IFERROR(__xludf.DUMMYFUNCTION("if(regexmatch($B16,""\(""),CONCATENATE(regexreplace(REGEXREPLACE(substitute(left($B16,find(""("",$B16)-1),"" "",""""),""\d"",""0""),""[-0]*\."",""0.""), REGEXEXTRACT($B16,""\((.*)\)""),TRIM(REGEXEXTRACT($B16,""\)(.*)""))),"""")"),"0.00000000050e14")</f>
        <v>0.00000000050e14</v>
      </c>
      <c r="J16" s="62">
        <f t="shared" si="3"/>
        <v>50000</v>
      </c>
      <c r="K16" s="62" t="b">
        <f t="shared" si="4"/>
        <v>0</v>
      </c>
      <c r="L16" s="62" t="b">
        <f t="shared" si="5"/>
        <v>0</v>
      </c>
      <c r="M16" s="60" t="str">
        <f>IFERROR(__xludf.DUMMYFUNCTION("if(regexmatch(B16,""e(.*)$""),regexextract(B16,""e(.*)$""),"""")"),"14")</f>
        <v>14</v>
      </c>
    </row>
    <row r="17">
      <c r="A17" s="80" t="s">
        <v>1324</v>
      </c>
      <c r="B17" s="80" t="s">
        <v>4892</v>
      </c>
      <c r="C17" s="80" t="s">
        <v>173</v>
      </c>
      <c r="D17" s="18" t="str">
        <f t="shared" si="1"/>
        <v>J</v>
      </c>
      <c r="E17" s="60" t="str">
        <f>VLOOKUP($A17,nist_names_ids!A:B,2,false)</f>
        <v>Ruj</v>
      </c>
      <c r="F17" s="61">
        <f>countif(Constants!A:A,E17)</f>
        <v>1</v>
      </c>
      <c r="G17" s="60" t="str">
        <f>IFERROR(__xludf.DUMMYFUNCTION("REGEXREPLACE(substitute(substitute(B17,"" "",""""),""..."",""""),""\(.*\)"","""")"),"1.49241790e-10")</f>
        <v>1.49241790e-10</v>
      </c>
      <c r="H17" s="62">
        <f t="shared" si="2"/>
        <v>0.00000000014924179</v>
      </c>
      <c r="I17" s="60" t="str">
        <f>IFERROR(__xludf.DUMMYFUNCTION("if(regexmatch($B17,""\(""),CONCATENATE(regexreplace(REGEXREPLACE(substitute(left($B17,find(""("",$B17)-1),"" "",""""),""\d"",""0""),""[-0]*\."",""0.""), REGEXEXTRACT($B17,""\((.*)\)""),TRIM(REGEXEXTRACT($B17,""\)(.*)""))),"""")"),"0.0000000026e-10")</f>
        <v>0.0000000026e-10</v>
      </c>
      <c r="J17" s="62">
        <f t="shared" si="3"/>
        <v>0</v>
      </c>
      <c r="K17" s="62" t="b">
        <f t="shared" si="4"/>
        <v>0</v>
      </c>
      <c r="L17" s="62" t="b">
        <f t="shared" si="5"/>
        <v>0</v>
      </c>
      <c r="M17" s="60" t="str">
        <f>IFERROR(__xludf.DUMMYFUNCTION("if(regexmatch(B17,""e(.*)$""),regexextract(B17,""e(.*)$""),"""")"),"-10")</f>
        <v>-10</v>
      </c>
    </row>
    <row r="18">
      <c r="A18" s="80" t="s">
        <v>1338</v>
      </c>
      <c r="B18" s="80" t="s">
        <v>4367</v>
      </c>
      <c r="C18" s="80" t="s">
        <v>345</v>
      </c>
      <c r="D18" s="18" t="str">
        <f t="shared" si="1"/>
        <v>K</v>
      </c>
      <c r="E18" s="60" t="str">
        <f>VLOOKUP($A18,nist_names_ids!A:B,2,false)</f>
        <v>uk</v>
      </c>
      <c r="F18" s="61">
        <f>countif(Constants!A:A,E18)</f>
        <v>1</v>
      </c>
      <c r="G18" s="60" t="str">
        <f>IFERROR(__xludf.DUMMYFUNCTION("REGEXREPLACE(substitute(substitute(B18,"" "",""""),""..."",""""),""\(.*\)"","""")"),"1.0809527e13")</f>
        <v>1.0809527e13</v>
      </c>
      <c r="H18" s="62">
        <f t="shared" si="2"/>
        <v>10809527000000</v>
      </c>
      <c r="I18" s="60" t="str">
        <f>IFERROR(__xludf.DUMMYFUNCTION("if(regexmatch($B18,""\(""),CONCATENATE(regexreplace(REGEXREPLACE(substitute(left($B18,find(""("",$B18)-1),"" "",""""),""\d"",""0""),""[-0]*\."",""0.""), REGEXEXTRACT($B18,""\((.*)\)""),TRIM(REGEXEXTRACT($B18,""\)(.*)""))),"""")"),"0.000000019e13")</f>
        <v>0.000000019e13</v>
      </c>
      <c r="J18" s="62">
        <f t="shared" si="3"/>
        <v>190000</v>
      </c>
      <c r="K18" s="62" t="b">
        <f t="shared" si="4"/>
        <v>0</v>
      </c>
      <c r="L18" s="62" t="b">
        <f t="shared" si="5"/>
        <v>0</v>
      </c>
      <c r="M18" s="60" t="str">
        <f>IFERROR(__xludf.DUMMYFUNCTION("if(regexmatch(B18,""e(.*)$""),regexextract(B18,""e(.*)$""),"""")"),"13")</f>
        <v>13</v>
      </c>
    </row>
    <row r="19">
      <c r="A19" s="80" t="s">
        <v>1349</v>
      </c>
      <c r="B19" s="80" t="s">
        <v>4891</v>
      </c>
      <c r="C19" s="80" t="s">
        <v>98</v>
      </c>
      <c r="D19" s="18" t="str">
        <f t="shared" si="1"/>
        <v>kg</v>
      </c>
      <c r="E19" s="60" t="str">
        <f>VLOOKUP($A19,nist_names_ids!A:B,2,false)</f>
        <v>Rukg</v>
      </c>
      <c r="F19" s="61">
        <f>countif(Constants!A:A,E19)</f>
        <v>1</v>
      </c>
      <c r="G19" s="60" t="str">
        <f>IFERROR(__xludf.DUMMYFUNCTION("REGEXREPLACE(substitute(substitute(B19,"" "",""""),""..."",""""),""\(.*\)"","""")"),"1.66053886e-27")</f>
        <v>1.66053886e-27</v>
      </c>
      <c r="H19" s="62">
        <f t="shared" si="2"/>
        <v>0</v>
      </c>
      <c r="I19" s="60" t="str">
        <f>IFERROR(__xludf.DUMMYFUNCTION("if(regexmatch($B19,""\(""),CONCATENATE(regexreplace(REGEXREPLACE(substitute(left($B19,find(""("",$B19)-1),"" "",""""),""\d"",""0""),""[-0]*\."",""0.""), REGEXEXTRACT($B19,""\((.*)\)""),TRIM(REGEXEXTRACT($B19,""\)(.*)""))),"""")"),"0.0000000028e-27")</f>
        <v>0.0000000028e-27</v>
      </c>
      <c r="J19" s="62">
        <f t="shared" si="3"/>
        <v>0</v>
      </c>
      <c r="K19" s="62" t="b">
        <f t="shared" si="4"/>
        <v>0</v>
      </c>
      <c r="L19" s="62" t="b">
        <f t="shared" si="5"/>
        <v>0</v>
      </c>
      <c r="M19" s="60" t="str">
        <f>IFERROR(__xludf.DUMMYFUNCTION("if(regexmatch(B19,""e(.*)$""),regexextract(B19,""e(.*)$""),"""")"),"-27")</f>
        <v>-27</v>
      </c>
    </row>
    <row r="20">
      <c r="A20" s="80" t="s">
        <v>1364</v>
      </c>
      <c r="B20" s="80" t="s">
        <v>4919</v>
      </c>
      <c r="C20" s="80" t="s">
        <v>4376</v>
      </c>
      <c r="D20" s="18" t="str">
        <f t="shared" si="1"/>
        <v>C^3 m^3 J^-2</v>
      </c>
      <c r="E20" s="60" t="str">
        <f>VLOOKUP($A20,nist_names_ids!A:B,2,false)</f>
        <v>auhypol</v>
      </c>
      <c r="F20" s="61">
        <f>countif(Constants!A:A,E20)</f>
        <v>1</v>
      </c>
      <c r="G20" s="60" t="str">
        <f>IFERROR(__xludf.DUMMYFUNCTION("REGEXREPLACE(substitute(substitute(B20,"" "",""""),""..."",""""),""\(.*\)"","""")"),"3.20636151e-53")</f>
        <v>3.20636151e-53</v>
      </c>
      <c r="H20" s="62">
        <f t="shared" si="2"/>
        <v>0</v>
      </c>
      <c r="I20" s="60" t="str">
        <f>IFERROR(__xludf.DUMMYFUNCTION("if(regexmatch($B20,""\(""),CONCATENATE(regexreplace(REGEXREPLACE(substitute(left($B20,find(""("",$B20)-1),"" "",""""),""\d"",""0""),""[-0]*\."",""0.""), REGEXEXTRACT($B20,""\((.*)\)""),TRIM(REGEXEXTRACT($B20,""\)(.*)""))),"""")"),"0.0000000028e-53")</f>
        <v>0.0000000028e-53</v>
      </c>
      <c r="J20" s="62">
        <f t="shared" si="3"/>
        <v>0</v>
      </c>
      <c r="K20" s="62" t="b">
        <f t="shared" si="4"/>
        <v>0</v>
      </c>
      <c r="L20" s="62" t="b">
        <f t="shared" si="5"/>
        <v>0</v>
      </c>
      <c r="M20" s="60" t="str">
        <f>IFERROR(__xludf.DUMMYFUNCTION("if(regexmatch(B20,""e(.*)$""),regexextract(B20,""e(.*)$""),"""")"),"-53")</f>
        <v>-53</v>
      </c>
    </row>
    <row r="21">
      <c r="A21" s="80" t="s">
        <v>1378</v>
      </c>
      <c r="B21" s="80" t="s">
        <v>4920</v>
      </c>
      <c r="C21" s="80" t="s">
        <v>4380</v>
      </c>
      <c r="D21" s="18" t="str">
        <f t="shared" si="1"/>
        <v>C^4 m^4 J^-3</v>
      </c>
      <c r="E21" s="60" t="str">
        <f>VLOOKUP($A21,nist_names_ids!A:B,2,false)</f>
        <v>au2hypol</v>
      </c>
      <c r="F21" s="61">
        <f>countif(Constants!A:A,E21)</f>
        <v>1</v>
      </c>
      <c r="G21" s="60" t="str">
        <f>IFERROR(__xludf.DUMMYFUNCTION("REGEXREPLACE(substitute(substitute(B21,"" "",""""),""..."",""""),""\(.*\)"","""")"),"6.2353808e-65")</f>
        <v>6.2353808e-65</v>
      </c>
      <c r="H21" s="62">
        <f t="shared" si="2"/>
        <v>0</v>
      </c>
      <c r="I21" s="60" t="str">
        <f>IFERROR(__xludf.DUMMYFUNCTION("if(regexmatch($B21,""\(""),CONCATENATE(regexreplace(REGEXREPLACE(substitute(left($B21,find(""("",$B21)-1),"" "",""""),""\d"",""0""),""[-0]*\."",""0.""), REGEXEXTRACT($B21,""\((.*)\)""),TRIM(REGEXEXTRACT($B21,""\)(.*)""))),"""")"),"0.000000011e-65")</f>
        <v>0.000000011e-65</v>
      </c>
      <c r="J21" s="62">
        <f t="shared" si="3"/>
        <v>0</v>
      </c>
      <c r="K21" s="62" t="b">
        <f t="shared" si="4"/>
        <v>0</v>
      </c>
      <c r="L21" s="62" t="b">
        <f t="shared" si="5"/>
        <v>0</v>
      </c>
      <c r="M21" s="60" t="str">
        <f>IFERROR(__xludf.DUMMYFUNCTION("if(regexmatch(B21,""e(.*)$""),regexextract(B21,""e(.*)$""),"""")"),"-65")</f>
        <v>-65</v>
      </c>
    </row>
    <row r="22">
      <c r="A22" s="80" t="s">
        <v>712</v>
      </c>
      <c r="B22" s="80" t="s">
        <v>4924</v>
      </c>
      <c r="C22" s="80" t="s">
        <v>714</v>
      </c>
      <c r="D22" s="18" t="str">
        <f t="shared" si="1"/>
        <v>J s</v>
      </c>
      <c r="E22" s="60" t="str">
        <f>VLOOKUP($A22,nist_names_ids!A:B,2,false)</f>
        <v>tthbar</v>
      </c>
      <c r="F22" s="61">
        <f>countif(Constants!A:A,E22)</f>
        <v>1</v>
      </c>
      <c r="G22" s="60" t="str">
        <f>IFERROR(__xludf.DUMMYFUNCTION("REGEXREPLACE(substitute(substitute(B22,"" "",""""),""..."",""""),""\(.*\)"","""")"),"1.05457168e-34")</f>
        <v>1.05457168e-34</v>
      </c>
      <c r="H22" s="62">
        <f t="shared" si="2"/>
        <v>0</v>
      </c>
      <c r="I22" s="60" t="str">
        <f>IFERROR(__xludf.DUMMYFUNCTION("if(regexmatch($B22,""\(""),CONCATENATE(regexreplace(REGEXREPLACE(substitute(left($B22,find(""("",$B22)-1),"" "",""""),""\d"",""0""),""[-0]*\."",""0.""), REGEXEXTRACT($B22,""\((.*)\)""),TRIM(REGEXEXTRACT($B22,""\)(.*)""))),"""")"),"0.0000000018e-34")</f>
        <v>0.0000000018e-34</v>
      </c>
      <c r="J22" s="62">
        <f t="shared" si="3"/>
        <v>0</v>
      </c>
      <c r="K22" s="62" t="b">
        <f t="shared" si="4"/>
        <v>0</v>
      </c>
      <c r="L22" s="62" t="b">
        <f t="shared" si="5"/>
        <v>0</v>
      </c>
      <c r="M22" s="60" t="str">
        <f>IFERROR(__xludf.DUMMYFUNCTION("if(regexmatch(B22,""e(.*)$""),regexextract(B22,""e(.*)$""),"""")"),"-34")</f>
        <v>-34</v>
      </c>
    </row>
    <row r="23">
      <c r="A23" s="80" t="s">
        <v>742</v>
      </c>
      <c r="B23" s="80" t="s">
        <v>4926</v>
      </c>
      <c r="C23" s="80" t="s">
        <v>4386</v>
      </c>
      <c r="D23" s="18" t="str">
        <f t="shared" si="1"/>
        <v>C m^-3</v>
      </c>
      <c r="E23" s="60" t="str">
        <f>VLOOKUP($A23,nist_names_ids!A:B,2,false)</f>
        <v>aucd</v>
      </c>
      <c r="F23" s="61">
        <f>countif(Constants!A:A,E23)</f>
        <v>1</v>
      </c>
      <c r="G23" s="60" t="str">
        <f>IFERROR(__xludf.DUMMYFUNCTION("REGEXREPLACE(substitute(substitute(B23,"" "",""""),""..."",""""),""\(.*\)"","""")"),"1.081202317e12")</f>
        <v>1.081202317e12</v>
      </c>
      <c r="H23" s="62">
        <f t="shared" si="2"/>
        <v>1081202317000</v>
      </c>
      <c r="I23" s="60" t="str">
        <f>IFERROR(__xludf.DUMMYFUNCTION("if(regexmatch($B23,""\(""),CONCATENATE(regexreplace(REGEXREPLACE(substitute(left($B23,find(""("",$B23)-1),"" "",""""),""\d"",""0""),""[-0]*\."",""0.""), REGEXEXTRACT($B23,""\((.*)\)""),TRIM(REGEXEXTRACT($B23,""\)(.*)""))),"""")"),"0.00000000093e12")</f>
        <v>0.00000000093e12</v>
      </c>
      <c r="J23" s="62">
        <f t="shared" si="3"/>
        <v>930</v>
      </c>
      <c r="K23" s="62" t="b">
        <f t="shared" si="4"/>
        <v>0</v>
      </c>
      <c r="L23" s="62" t="b">
        <f t="shared" si="5"/>
        <v>0</v>
      </c>
      <c r="M23" s="60" t="str">
        <f>IFERROR(__xludf.DUMMYFUNCTION("if(regexmatch(B23,""e(.*)$""),regexextract(B23,""e(.*)$""),"""")"),"12")</f>
        <v>12</v>
      </c>
    </row>
    <row r="24">
      <c r="A24" s="80" t="s">
        <v>756</v>
      </c>
      <c r="B24" s="80" t="s">
        <v>4929</v>
      </c>
      <c r="C24" s="80" t="s">
        <v>55</v>
      </c>
      <c r="D24" s="18" t="str">
        <f t="shared" si="1"/>
        <v>A</v>
      </c>
      <c r="E24" s="60" t="str">
        <f>VLOOKUP($A24,nist_names_ids!A:B,2,false)</f>
        <v>aucur</v>
      </c>
      <c r="F24" s="61">
        <f>countif(Constants!A:A,E24)</f>
        <v>1</v>
      </c>
      <c r="G24" s="60" t="str">
        <f>IFERROR(__xludf.DUMMYFUNCTION("REGEXREPLACE(substitute(substitute(B24,"" "",""""),""..."",""""),""\(.*\)"","""")"),"6.62361782e-3")</f>
        <v>6.62361782e-3</v>
      </c>
      <c r="H24" s="62">
        <f t="shared" si="2"/>
        <v>0.00662361782</v>
      </c>
      <c r="I24" s="60" t="str">
        <f>IFERROR(__xludf.DUMMYFUNCTION("if(regexmatch($B24,""\(""),CONCATENATE(regexreplace(REGEXREPLACE(substitute(left($B24,find(""("",$B24)-1),"" "",""""),""\d"",""0""),""[-0]*\."",""0.""), REGEXEXTRACT($B24,""\((.*)\)""),TRIM(REGEXEXTRACT($B24,""\)(.*)""))),"""")"),"0.0000000057e-3")</f>
        <v>0.0000000057e-3</v>
      </c>
      <c r="J24" s="62">
        <f t="shared" si="3"/>
        <v>0</v>
      </c>
      <c r="K24" s="62" t="b">
        <f t="shared" si="4"/>
        <v>0</v>
      </c>
      <c r="L24" s="62" t="b">
        <f t="shared" si="5"/>
        <v>0</v>
      </c>
      <c r="M24" s="60" t="str">
        <f>IFERROR(__xludf.DUMMYFUNCTION("if(regexmatch(B24,""e(.*)$""),regexextract(B24,""e(.*)$""),"""")"),"-3")</f>
        <v>-3</v>
      </c>
    </row>
    <row r="25">
      <c r="A25" s="80" t="s">
        <v>770</v>
      </c>
      <c r="B25" s="80" t="s">
        <v>4933</v>
      </c>
      <c r="C25" s="80" t="s">
        <v>772</v>
      </c>
      <c r="D25" s="18" t="str">
        <f t="shared" si="1"/>
        <v>C m</v>
      </c>
      <c r="E25" s="60" t="str">
        <f>VLOOKUP($A25,nist_names_ids!A:B,2,false)</f>
        <v>auedm</v>
      </c>
      <c r="F25" s="61">
        <f>countif(Constants!A:A,E25)</f>
        <v>1</v>
      </c>
      <c r="G25" s="60" t="str">
        <f>IFERROR(__xludf.DUMMYFUNCTION("REGEXREPLACE(substitute(substitute(B25,"" "",""""),""..."",""""),""\(.*\)"","""")"),"8.47835309e-30")</f>
        <v>8.47835309e-30</v>
      </c>
      <c r="H25" s="62">
        <f t="shared" si="2"/>
        <v>0</v>
      </c>
      <c r="I25" s="60" t="str">
        <f>IFERROR(__xludf.DUMMYFUNCTION("if(regexmatch($B25,""\(""),CONCATENATE(regexreplace(REGEXREPLACE(substitute(left($B25,find(""("",$B25)-1),"" "",""""),""\d"",""0""),""[-0]*\."",""0.""), REGEXEXTRACT($B25,""\((.*)\)""),TRIM(REGEXEXTRACT($B25,""\)(.*)""))),"""")"),"0.0000000073e-30")</f>
        <v>0.0000000073e-30</v>
      </c>
      <c r="J25" s="62">
        <f t="shared" si="3"/>
        <v>0</v>
      </c>
      <c r="K25" s="62" t="b">
        <f t="shared" si="4"/>
        <v>0</v>
      </c>
      <c r="L25" s="62" t="b">
        <f t="shared" si="5"/>
        <v>0</v>
      </c>
      <c r="M25" s="60" t="str">
        <f>IFERROR(__xludf.DUMMYFUNCTION("if(regexmatch(B25,""e(.*)$""),regexextract(B25,""e(.*)$""),"""")"),"-30")</f>
        <v>-30</v>
      </c>
    </row>
    <row r="26">
      <c r="A26" s="80" t="s">
        <v>787</v>
      </c>
      <c r="B26" s="80" t="s">
        <v>4935</v>
      </c>
      <c r="C26" s="80" t="s">
        <v>4394</v>
      </c>
      <c r="D26" s="18" t="str">
        <f t="shared" si="1"/>
        <v>V m^-1</v>
      </c>
      <c r="E26" s="60" t="str">
        <f>VLOOKUP($A26,nist_names_ids!A:B,2,false)</f>
        <v>auefld</v>
      </c>
      <c r="F26" s="61">
        <f>countif(Constants!A:A,E26)</f>
        <v>1</v>
      </c>
      <c r="G26" s="60" t="str">
        <f>IFERROR(__xludf.DUMMYFUNCTION("REGEXREPLACE(substitute(substitute(B26,"" "",""""),""..."",""""),""\(.*\)"","""")"),"5.14220642e11")</f>
        <v>5.14220642e11</v>
      </c>
      <c r="H26" s="62">
        <f t="shared" si="2"/>
        <v>514220642000</v>
      </c>
      <c r="I26" s="60" t="str">
        <f>IFERROR(__xludf.DUMMYFUNCTION("if(regexmatch($B26,""\(""),CONCATENATE(regexreplace(REGEXREPLACE(substitute(left($B26,find(""("",$B26)-1),"" "",""""),""\d"",""0""),""[-0]*\."",""0.""), REGEXEXTRACT($B26,""\((.*)\)""),TRIM(REGEXEXTRACT($B26,""\)(.*)""))),"""")"),"0.0000000044e11")</f>
        <v>0.0000000044e11</v>
      </c>
      <c r="J26" s="62">
        <f t="shared" si="3"/>
        <v>440</v>
      </c>
      <c r="K26" s="62" t="b">
        <f t="shared" si="4"/>
        <v>0</v>
      </c>
      <c r="L26" s="62" t="b">
        <f t="shared" si="5"/>
        <v>0</v>
      </c>
      <c r="M26" s="60" t="str">
        <f>IFERROR(__xludf.DUMMYFUNCTION("if(regexmatch(B26,""e(.*)$""),regexextract(B26,""e(.*)$""),"""")"),"11")</f>
        <v>11</v>
      </c>
    </row>
    <row r="27">
      <c r="A27" s="80" t="s">
        <v>810</v>
      </c>
      <c r="B27" s="80" t="s">
        <v>4938</v>
      </c>
      <c r="C27" s="80" t="s">
        <v>4396</v>
      </c>
      <c r="D27" s="18" t="str">
        <f t="shared" si="1"/>
        <v>V m^-2</v>
      </c>
      <c r="E27" s="60" t="str">
        <f>VLOOKUP($A27,nist_names_ids!A:B,2,false)</f>
        <v>auefg</v>
      </c>
      <c r="F27" s="61">
        <f>countif(Constants!A:A,E27)</f>
        <v>1</v>
      </c>
      <c r="G27" s="60" t="str">
        <f>IFERROR(__xludf.DUMMYFUNCTION("REGEXREPLACE(substitute(substitute(B27,"" "",""""),""..."",""""),""\(.*\)"","""")"),"9.71736182e21")</f>
        <v>9.71736182e21</v>
      </c>
      <c r="H27" s="62">
        <f t="shared" si="2"/>
        <v>9.71736E+21</v>
      </c>
      <c r="I27" s="60" t="str">
        <f>IFERROR(__xludf.DUMMYFUNCTION("if(regexmatch($B27,""\(""),CONCATENATE(regexreplace(REGEXREPLACE(substitute(left($B27,find(""("",$B27)-1),"" "",""""),""\d"",""0""),""[-0]*\."",""0.""), REGEXEXTRACT($B27,""\((.*)\)""),TRIM(REGEXEXTRACT($B27,""\)(.*)""))),"""")"),"0.0000000083e21")</f>
        <v>0.0000000083e21</v>
      </c>
      <c r="J27" s="62">
        <f t="shared" si="3"/>
        <v>8300000000000</v>
      </c>
      <c r="K27" s="62" t="b">
        <f t="shared" si="4"/>
        <v>0</v>
      </c>
      <c r="L27" s="62" t="b">
        <f t="shared" si="5"/>
        <v>0</v>
      </c>
      <c r="M27" s="60" t="str">
        <f>IFERROR(__xludf.DUMMYFUNCTION("if(regexmatch(B27,""e(.*)$""),regexextract(B27,""e(.*)$""),"""")"),"21")</f>
        <v>21</v>
      </c>
    </row>
    <row r="28">
      <c r="A28" s="80" t="s">
        <v>833</v>
      </c>
      <c r="B28" s="80" t="s">
        <v>4940</v>
      </c>
      <c r="C28" s="80" t="s">
        <v>4400</v>
      </c>
      <c r="D28" s="18" t="str">
        <f t="shared" si="1"/>
        <v>C^2 m^2 J^-1</v>
      </c>
      <c r="E28" s="60" t="str">
        <f>VLOOKUP($A28,nist_names_ids!A:B,2,false)</f>
        <v>auepol</v>
      </c>
      <c r="F28" s="61">
        <f>countif(Constants!A:A,E28)</f>
        <v>1</v>
      </c>
      <c r="G28" s="60" t="str">
        <f>IFERROR(__xludf.DUMMYFUNCTION("REGEXREPLACE(substitute(substitute(B28,"" "",""""),""..."",""""),""\(.*\)"","""")"),"1.648777274e-41")</f>
        <v>1.648777274e-41</v>
      </c>
      <c r="H28" s="62">
        <f t="shared" si="2"/>
        <v>0</v>
      </c>
      <c r="I28" s="60" t="str">
        <f>IFERROR(__xludf.DUMMYFUNCTION("if(regexmatch($B28,""\(""),CONCATENATE(regexreplace(REGEXREPLACE(substitute(left($B28,find(""("",$B28)-1),"" "",""""),""\d"",""0""),""[-0]*\."",""0.""), REGEXEXTRACT($B28,""\((.*)\)""),TRIM(REGEXEXTRACT($B28,""\)(.*)""))),"""")"),"0.00000000016e-41")</f>
        <v>0.00000000016e-41</v>
      </c>
      <c r="J28" s="62">
        <f t="shared" si="3"/>
        <v>0</v>
      </c>
      <c r="K28" s="62" t="b">
        <f t="shared" si="4"/>
        <v>0</v>
      </c>
      <c r="L28" s="62" t="b">
        <f t="shared" si="5"/>
        <v>0</v>
      </c>
      <c r="M28" s="60" t="str">
        <f>IFERROR(__xludf.DUMMYFUNCTION("if(regexmatch(B28,""e(.*)$""),regexextract(B28,""e(.*)$""),"""")"),"-41")</f>
        <v>-41</v>
      </c>
    </row>
    <row r="29">
      <c r="A29" s="80" t="s">
        <v>858</v>
      </c>
      <c r="B29" s="80" t="s">
        <v>4944</v>
      </c>
      <c r="C29" s="80" t="s">
        <v>546</v>
      </c>
      <c r="D29" s="18" t="str">
        <f t="shared" si="1"/>
        <v>V</v>
      </c>
      <c r="E29" s="60" t="str">
        <f>VLOOKUP($A29,nist_names_ids!A:B,2,false)</f>
        <v>auep</v>
      </c>
      <c r="F29" s="61">
        <f>countif(Constants!A:A,E29)</f>
        <v>1</v>
      </c>
      <c r="G29" s="60" t="str">
        <f>IFERROR(__xludf.DUMMYFUNCTION("REGEXREPLACE(substitute(substitute(B29,"" "",""""),""..."",""""),""\(.*\)"","""")"),"27.2113845")</f>
        <v>27.2113845</v>
      </c>
      <c r="H29" s="62">
        <f t="shared" si="2"/>
        <v>27.2113845</v>
      </c>
      <c r="I29" s="60" t="str">
        <f>IFERROR(__xludf.DUMMYFUNCTION("if(regexmatch($B29,""\(""),CONCATENATE(regexreplace(REGEXREPLACE(substitute(left($B29,find(""("",$B29)-1),"" "",""""),""\d"",""0""),""[-0]*\."",""0.""), REGEXEXTRACT($B29,""\((.*)\)""),TRIM(REGEXEXTRACT($B29,""\)(.*)""))),"""")"),"0.000000023")</f>
        <v>0.000000023</v>
      </c>
      <c r="J29" s="62">
        <f t="shared" si="3"/>
        <v>0.000000023</v>
      </c>
      <c r="K29" s="62" t="b">
        <f t="shared" si="4"/>
        <v>0</v>
      </c>
      <c r="L29" s="62" t="b">
        <f t="shared" si="5"/>
        <v>0</v>
      </c>
      <c r="M29" s="60" t="str">
        <f>IFERROR(__xludf.DUMMYFUNCTION("if(regexmatch(B29,""e(.*)$""),regexextract(B29,""e(.*)$""),"""")"),"")</f>
        <v/>
      </c>
    </row>
    <row r="30">
      <c r="A30" s="80" t="s">
        <v>882</v>
      </c>
      <c r="B30" s="80" t="s">
        <v>4945</v>
      </c>
      <c r="C30" s="80" t="s">
        <v>884</v>
      </c>
      <c r="D30" s="18" t="str">
        <f t="shared" si="1"/>
        <v>C m^2</v>
      </c>
      <c r="E30" s="60" t="str">
        <f>VLOOKUP($A30,nist_names_ids!A:B,2,false)</f>
        <v>aueqm</v>
      </c>
      <c r="F30" s="61">
        <f>countif(Constants!A:A,E30)</f>
        <v>1</v>
      </c>
      <c r="G30" s="60" t="str">
        <f>IFERROR(__xludf.DUMMYFUNCTION("REGEXREPLACE(substitute(substitute(B30,"" "",""""),""..."",""""),""\(.*\)"","""")"),"4.48655124e-40")</f>
        <v>4.48655124e-40</v>
      </c>
      <c r="H30" s="62">
        <f t="shared" si="2"/>
        <v>0</v>
      </c>
      <c r="I30" s="60" t="str">
        <f>IFERROR(__xludf.DUMMYFUNCTION("if(regexmatch($B30,""\(""),CONCATENATE(regexreplace(REGEXREPLACE(substitute(left($B30,find(""("",$B30)-1),"" "",""""),""\d"",""0""),""[-0]*\."",""0.""), REGEXEXTRACT($B30,""\((.*)\)""),TRIM(REGEXEXTRACT($B30,""\)(.*)""))),"""")"),"0.0000000039e-40")</f>
        <v>0.0000000039e-40</v>
      </c>
      <c r="J30" s="62">
        <f t="shared" si="3"/>
        <v>0</v>
      </c>
      <c r="K30" s="62" t="b">
        <f t="shared" si="4"/>
        <v>0</v>
      </c>
      <c r="L30" s="62" t="b">
        <f t="shared" si="5"/>
        <v>0</v>
      </c>
      <c r="M30" s="60" t="str">
        <f>IFERROR(__xludf.DUMMYFUNCTION("if(regexmatch(B30,""e(.*)$""),regexextract(B30,""e(.*)$""),"""")"),"-40")</f>
        <v>-40</v>
      </c>
    </row>
    <row r="31">
      <c r="A31" s="80" t="s">
        <v>901</v>
      </c>
      <c r="B31" s="80" t="s">
        <v>4949</v>
      </c>
      <c r="C31" s="80" t="s">
        <v>173</v>
      </c>
      <c r="D31" s="18" t="str">
        <f t="shared" si="1"/>
        <v>J</v>
      </c>
      <c r="E31" s="60" t="str">
        <f>VLOOKUP($A31,nist_names_ids!A:B,2,false)</f>
        <v>thr</v>
      </c>
      <c r="F31" s="61">
        <f>countif(Constants!A:A,E31)</f>
        <v>1</v>
      </c>
      <c r="G31" s="60" t="str">
        <f>IFERROR(__xludf.DUMMYFUNCTION("REGEXREPLACE(substitute(substitute(B31,"" "",""""),""..."",""""),""\(.*\)"","""")"),"4.35974417e-18")</f>
        <v>4.35974417e-18</v>
      </c>
      <c r="H31" s="62">
        <f t="shared" si="2"/>
        <v>0</v>
      </c>
      <c r="I31" s="60" t="str">
        <f>IFERROR(__xludf.DUMMYFUNCTION("if(regexmatch($B31,""\(""),CONCATENATE(regexreplace(REGEXREPLACE(substitute(left($B31,find(""("",$B31)-1),"" "",""""),""\d"",""0""),""[-0]*\."",""0.""), REGEXEXTRACT($B31,""\((.*)\)""),TRIM(REGEXEXTRACT($B31,""\)(.*)""))),"""")"),"0.0000000075e-18")</f>
        <v>0.0000000075e-18</v>
      </c>
      <c r="J31" s="62">
        <f t="shared" si="3"/>
        <v>0</v>
      </c>
      <c r="K31" s="62" t="b">
        <f t="shared" si="4"/>
        <v>0</v>
      </c>
      <c r="L31" s="62" t="b">
        <f t="shared" si="5"/>
        <v>0</v>
      </c>
      <c r="M31" s="60" t="str">
        <f>IFERROR(__xludf.DUMMYFUNCTION("if(regexmatch(B31,""e(.*)$""),regexextract(B31,""e(.*)$""),"""")"),"-18")</f>
        <v>-18</v>
      </c>
    </row>
    <row r="32">
      <c r="A32" s="80" t="s">
        <v>921</v>
      </c>
      <c r="B32" s="80" t="s">
        <v>4963</v>
      </c>
      <c r="C32" s="80" t="s">
        <v>486</v>
      </c>
      <c r="D32" s="18" t="str">
        <f t="shared" si="1"/>
        <v>N</v>
      </c>
      <c r="E32" s="60" t="str">
        <f>VLOOKUP($A32,nist_names_ids!A:B,2,false)</f>
        <v>auforce</v>
      </c>
      <c r="F32" s="61">
        <f>countif(Constants!A:A,E32)</f>
        <v>1</v>
      </c>
      <c r="G32" s="60" t="str">
        <f>IFERROR(__xludf.DUMMYFUNCTION("REGEXREPLACE(substitute(substitute(B32,"" "",""""),""..."",""""),""\(.*\)"","""")"),"8.2387225e-8")</f>
        <v>8.2387225e-8</v>
      </c>
      <c r="H32" s="62">
        <f t="shared" si="2"/>
        <v>0.000000082387225</v>
      </c>
      <c r="I32" s="60" t="str">
        <f>IFERROR(__xludf.DUMMYFUNCTION("if(regexmatch($B32,""\(""),CONCATENATE(regexreplace(REGEXREPLACE(substitute(left($B32,find(""("",$B32)-1),"" "",""""),""\d"",""0""),""[-0]*\."",""0.""), REGEXEXTRACT($B32,""\((.*)\)""),TRIM(REGEXEXTRACT($B32,""\)(.*)""))),"""")"),"0.000000014e-8")</f>
        <v>0.000000014e-8</v>
      </c>
      <c r="J32" s="62">
        <f t="shared" si="3"/>
        <v>0</v>
      </c>
      <c r="K32" s="62" t="b">
        <f t="shared" si="4"/>
        <v>0</v>
      </c>
      <c r="L32" s="62" t="b">
        <f t="shared" si="5"/>
        <v>0</v>
      </c>
      <c r="M32" s="60" t="str">
        <f>IFERROR(__xludf.DUMMYFUNCTION("if(regexmatch(B32,""e(.*)$""),regexextract(B32,""e(.*)$""),"""")"),"-8")</f>
        <v>-8</v>
      </c>
    </row>
    <row r="33">
      <c r="A33" s="80" t="s">
        <v>940</v>
      </c>
      <c r="B33" s="80" t="s">
        <v>4967</v>
      </c>
      <c r="C33" s="80" t="s">
        <v>381</v>
      </c>
      <c r="D33" s="18" t="str">
        <f t="shared" si="1"/>
        <v>m</v>
      </c>
      <c r="E33" s="60" t="str">
        <f>VLOOKUP($A33,nist_names_ids!A:B,2,false)</f>
        <v>tbohrrada0</v>
      </c>
      <c r="F33" s="61">
        <f>countif(Constants!A:A,E33)</f>
        <v>1</v>
      </c>
      <c r="G33" s="60" t="str">
        <f>IFERROR(__xludf.DUMMYFUNCTION("REGEXREPLACE(substitute(substitute(B33,"" "",""""),""..."",""""),""\(.*\)"","""")"),"0.5291772108e-10")</f>
        <v>0.5291772108e-10</v>
      </c>
      <c r="H33" s="62">
        <f t="shared" si="2"/>
        <v>0</v>
      </c>
      <c r="I33" s="60" t="str">
        <f>IFERROR(__xludf.DUMMYFUNCTION("if(regexmatch($B33,""\(""),CONCATENATE(regexreplace(REGEXREPLACE(substitute(left($B33,find(""("",$B33)-1),"" "",""""),""\d"",""0""),""[-0]*\."",""0.""), REGEXEXTRACT($B33,""\((.*)\)""),TRIM(REGEXEXTRACT($B33,""\)(.*)""))),"""")"),"0.000000000018e-10")</f>
        <v>0.000000000018e-10</v>
      </c>
      <c r="J33" s="62">
        <f t="shared" si="3"/>
        <v>0</v>
      </c>
      <c r="K33" s="62" t="b">
        <f t="shared" si="4"/>
        <v>0</v>
      </c>
      <c r="L33" s="62" t="b">
        <f t="shared" si="5"/>
        <v>0</v>
      </c>
      <c r="M33" s="60" t="str">
        <f>IFERROR(__xludf.DUMMYFUNCTION("if(regexmatch(B33,""e(.*)$""),regexextract(B33,""e(.*)$""),"""")"),"-10")</f>
        <v>-10</v>
      </c>
    </row>
    <row r="34">
      <c r="A34" s="80" t="s">
        <v>962</v>
      </c>
      <c r="B34" s="80" t="s">
        <v>4971</v>
      </c>
      <c r="C34" s="80" t="s">
        <v>4421</v>
      </c>
      <c r="D34" s="18" t="str">
        <f t="shared" si="1"/>
        <v>J T^-1</v>
      </c>
      <c r="E34" s="60" t="str">
        <f>VLOOKUP($A34,nist_names_ids!A:B,2,false)</f>
        <v>aumdm</v>
      </c>
      <c r="F34" s="61">
        <f>countif(Constants!A:A,E34)</f>
        <v>1</v>
      </c>
      <c r="G34" s="60" t="str">
        <f>IFERROR(__xludf.DUMMYFUNCTION("REGEXREPLACE(substitute(substitute(B34,"" "",""""),""..."",""""),""\(.*\)"","""")"),"1.85480190e-23")</f>
        <v>1.85480190e-23</v>
      </c>
      <c r="H34" s="62">
        <f t="shared" si="2"/>
        <v>0</v>
      </c>
      <c r="I34" s="60" t="str">
        <f>IFERROR(__xludf.DUMMYFUNCTION("if(regexmatch($B34,""\(""),CONCATENATE(regexreplace(REGEXREPLACE(substitute(left($B34,find(""("",$B34)-1),"" "",""""),""\d"",""0""),""[-0]*\."",""0.""), REGEXEXTRACT($B34,""\((.*)\)""),TRIM(REGEXEXTRACT($B34,""\)(.*)""))),"""")"),"0.0000000016e-23")</f>
        <v>0.0000000016e-23</v>
      </c>
      <c r="J34" s="62">
        <f t="shared" si="3"/>
        <v>0</v>
      </c>
      <c r="K34" s="62" t="b">
        <f t="shared" si="4"/>
        <v>0</v>
      </c>
      <c r="L34" s="62" t="b">
        <f t="shared" si="5"/>
        <v>0</v>
      </c>
      <c r="M34" s="60" t="str">
        <f>IFERROR(__xludf.DUMMYFUNCTION("if(regexmatch(B34,""e(.*)$""),regexextract(B34,""e(.*)$""),"""")"),"-23")</f>
        <v>-23</v>
      </c>
    </row>
    <row r="35">
      <c r="A35" s="80" t="s">
        <v>1547</v>
      </c>
      <c r="B35" s="80" t="s">
        <v>4974</v>
      </c>
      <c r="C35" s="80" t="s">
        <v>535</v>
      </c>
      <c r="D35" s="18" t="str">
        <f t="shared" si="1"/>
        <v>T</v>
      </c>
      <c r="E35" s="60" t="str">
        <f>VLOOKUP($A35,nist_names_ids!A:B,2,false)</f>
        <v>aumfd</v>
      </c>
      <c r="F35" s="61">
        <f>countif(Constants!A:A,E35)</f>
        <v>1</v>
      </c>
      <c r="G35" s="60" t="str">
        <f>IFERROR(__xludf.DUMMYFUNCTION("REGEXREPLACE(substitute(substitute(B35,"" "",""""),""..."",""""),""\(.*\)"","""")"),"2.35051742e5")</f>
        <v>2.35051742e5</v>
      </c>
      <c r="H35" s="62">
        <f t="shared" si="2"/>
        <v>235051.742</v>
      </c>
      <c r="I35" s="60" t="str">
        <f>IFERROR(__xludf.DUMMYFUNCTION("if(regexmatch($B35,""\(""),CONCATENATE(regexreplace(REGEXREPLACE(substitute(left($B35,find(""("",$B35)-1),"" "",""""),""\d"",""0""),""[-0]*\."",""0.""), REGEXEXTRACT($B35,""\((.*)\)""),TRIM(REGEXEXTRACT($B35,""\)(.*)""))),"""")"),"0.0000000020e5")</f>
        <v>0.0000000020e5</v>
      </c>
      <c r="J35" s="62">
        <f t="shared" si="3"/>
        <v>0.0002</v>
      </c>
      <c r="K35" s="62" t="b">
        <f t="shared" si="4"/>
        <v>0</v>
      </c>
      <c r="L35" s="62" t="b">
        <f t="shared" si="5"/>
        <v>0</v>
      </c>
      <c r="M35" s="60" t="str">
        <f>IFERROR(__xludf.DUMMYFUNCTION("if(regexmatch(B35,""e(.*)$""),regexextract(B35,""e(.*)$""),"""")"),"5")</f>
        <v>5</v>
      </c>
    </row>
    <row r="36">
      <c r="A36" s="80" t="s">
        <v>997</v>
      </c>
      <c r="B36" s="80" t="s">
        <v>4976</v>
      </c>
      <c r="C36" s="80" t="s">
        <v>4427</v>
      </c>
      <c r="D36" s="18" t="str">
        <f t="shared" si="1"/>
        <v>J T^-2</v>
      </c>
      <c r="E36" s="60" t="str">
        <f>VLOOKUP($A36,nist_names_ids!A:B,2,false)</f>
        <v>aumag</v>
      </c>
      <c r="F36" s="61">
        <f>countif(Constants!A:A,E36)</f>
        <v>1</v>
      </c>
      <c r="G36" s="60" t="str">
        <f>IFERROR(__xludf.DUMMYFUNCTION("REGEXREPLACE(substitute(substitute(B36,"" "",""""),""..."",""""),""\(.*\)"","""")"),"7.89103660e-29")</f>
        <v>7.89103660e-29</v>
      </c>
      <c r="H36" s="62">
        <f t="shared" si="2"/>
        <v>0</v>
      </c>
      <c r="I36" s="60" t="str">
        <f>IFERROR(__xludf.DUMMYFUNCTION("if(regexmatch($B36,""\(""),CONCATENATE(regexreplace(REGEXREPLACE(substitute(left($B36,find(""("",$B36)-1),"" "",""""),""\d"",""0""),""[-0]*\."",""0.""), REGEXEXTRACT($B36,""\((.*)\)""),TRIM(REGEXEXTRACT($B36,""\)(.*)""))),"""")"),"0.0000000013e-29")</f>
        <v>0.0000000013e-29</v>
      </c>
      <c r="J36" s="62">
        <f t="shared" si="3"/>
        <v>0</v>
      </c>
      <c r="K36" s="62" t="b">
        <f t="shared" si="4"/>
        <v>0</v>
      </c>
      <c r="L36" s="62" t="b">
        <f t="shared" si="5"/>
        <v>0</v>
      </c>
      <c r="M36" s="60" t="str">
        <f>IFERROR(__xludf.DUMMYFUNCTION("if(regexmatch(B36,""e(.*)$""),regexextract(B36,""e(.*)$""),"""")"),"-29")</f>
        <v>-29</v>
      </c>
    </row>
    <row r="37">
      <c r="A37" s="80" t="s">
        <v>1015</v>
      </c>
      <c r="B37" s="80" t="s">
        <v>4993</v>
      </c>
      <c r="C37" s="80" t="s">
        <v>98</v>
      </c>
      <c r="D37" s="18" t="str">
        <f t="shared" si="1"/>
        <v>kg</v>
      </c>
      <c r="E37" s="60" t="str">
        <f>VLOOKUP($A37,nist_names_ids!A:B,2,false)</f>
        <v>ttme</v>
      </c>
      <c r="F37" s="61">
        <f>countif(Constants!A:A,E37)</f>
        <v>1</v>
      </c>
      <c r="G37" s="60" t="str">
        <f>IFERROR(__xludf.DUMMYFUNCTION("REGEXREPLACE(substitute(substitute(B37,"" "",""""),""..."",""""),""\(.*\)"","""")"),"9.1093826e-31")</f>
        <v>9.1093826e-31</v>
      </c>
      <c r="H37" s="62">
        <f t="shared" si="2"/>
        <v>0</v>
      </c>
      <c r="I37" s="60" t="str">
        <f>IFERROR(__xludf.DUMMYFUNCTION("if(regexmatch($B37,""\(""),CONCATENATE(regexreplace(REGEXREPLACE(substitute(left($B37,find(""("",$B37)-1),"" "",""""),""\d"",""0""),""[-0]*\."",""0.""), REGEXEXTRACT($B37,""\((.*)\)""),TRIM(REGEXEXTRACT($B37,""\)(.*)""))),"""")"),"0.000000016e-31")</f>
        <v>0.000000016e-31</v>
      </c>
      <c r="J37" s="62">
        <f t="shared" si="3"/>
        <v>0</v>
      </c>
      <c r="K37" s="62" t="b">
        <f t="shared" si="4"/>
        <v>0</v>
      </c>
      <c r="L37" s="62" t="b">
        <f t="shared" si="5"/>
        <v>0</v>
      </c>
      <c r="M37" s="60" t="str">
        <f>IFERROR(__xludf.DUMMYFUNCTION("if(regexmatch(B37,""e(.*)$""),regexextract(B37,""e(.*)$""),"""")"),"-31")</f>
        <v>-31</v>
      </c>
    </row>
    <row r="38">
      <c r="A38" s="80" t="s">
        <v>1053</v>
      </c>
      <c r="B38" s="80" t="s">
        <v>4995</v>
      </c>
      <c r="C38" s="80" t="s">
        <v>4436</v>
      </c>
      <c r="D38" s="18" t="str">
        <f t="shared" si="1"/>
        <v>kg m s^-1</v>
      </c>
      <c r="E38" s="60" t="str">
        <f>VLOOKUP($A38,nist_names_ids!A:B,2,false)</f>
        <v>aumom</v>
      </c>
      <c r="F38" s="61">
        <f>countif(Constants!A:A,E38)</f>
        <v>1</v>
      </c>
      <c r="G38" s="60" t="str">
        <f>IFERROR(__xludf.DUMMYFUNCTION("REGEXREPLACE(substitute(substitute(B38,"" "",""""),""..."",""""),""\(.*\)"","""")"),"1.99285166e-24")</f>
        <v>1.99285166e-24</v>
      </c>
      <c r="H38" s="62">
        <f t="shared" si="2"/>
        <v>0</v>
      </c>
      <c r="I38" s="60" t="str">
        <f>IFERROR(__xludf.DUMMYFUNCTION("if(regexmatch($B38,""\(""),CONCATENATE(regexreplace(REGEXREPLACE(substitute(left($B38,find(""("",$B38)-1),"" "",""""),""\d"",""0""),""[-0]*\."",""0.""), REGEXEXTRACT($B38,""\((.*)\)""),TRIM(REGEXEXTRACT($B38,""\)(.*)""))),"""")"),"0.0000000034e-24")</f>
        <v>0.0000000034e-24</v>
      </c>
      <c r="J38" s="62">
        <f t="shared" si="3"/>
        <v>0</v>
      </c>
      <c r="K38" s="62" t="b">
        <f t="shared" si="4"/>
        <v>0</v>
      </c>
      <c r="L38" s="62" t="b">
        <f t="shared" si="5"/>
        <v>0</v>
      </c>
      <c r="M38" s="60" t="str">
        <f>IFERROR(__xludf.DUMMYFUNCTION("if(regexmatch(B38,""e(.*)$""),regexextract(B38,""e(.*)$""),"""")"),"-24")</f>
        <v>-24</v>
      </c>
    </row>
    <row r="39">
      <c r="A39" s="80" t="s">
        <v>1076</v>
      </c>
      <c r="B39" s="80" t="s">
        <v>4437</v>
      </c>
      <c r="C39" s="80" t="s">
        <v>4438</v>
      </c>
      <c r="D39" s="18" t="str">
        <f t="shared" si="1"/>
        <v>F m^-1</v>
      </c>
      <c r="E39" s="60" t="str">
        <f>VLOOKUP($A39,nist_names_ids!A:B,2,false)</f>
        <v>auperm</v>
      </c>
      <c r="F39" s="61">
        <f>countif(Constants!A:A,E39)</f>
        <v>1</v>
      </c>
      <c r="G39" s="60" t="str">
        <f>IFERROR(__xludf.DUMMYFUNCTION("REGEXREPLACE(substitute(substitute(B39,"" "",""""),""..."",""""),""\(.*\)"","""")"),"1.112650056e-10")</f>
        <v>1.112650056e-10</v>
      </c>
      <c r="H39" s="62">
        <f t="shared" si="2"/>
        <v>0.0000000001112650056</v>
      </c>
      <c r="I39" s="60" t="str">
        <f>IFERROR(__xludf.DUMMYFUNCTION("if(regexmatch($B39,""\(""),CONCATENATE(regexreplace(REGEXREPLACE(substitute(left($B39,find(""("",$B39)-1),"" "",""""),""\d"",""0""),""[-0]*\."",""0.""), REGEXEXTRACT($B39,""\((.*)\)""),TRIM(REGEXEXTRACT($B39,""\)(.*)""))),"""")"),"")</f>
        <v/>
      </c>
      <c r="J39" s="62" t="str">
        <f t="shared" si="3"/>
        <v/>
      </c>
      <c r="K39" s="62" t="b">
        <f t="shared" si="4"/>
        <v>0</v>
      </c>
      <c r="L39" s="62" t="b">
        <f t="shared" si="5"/>
        <v>1</v>
      </c>
      <c r="M39" s="60" t="str">
        <f>IFERROR(__xludf.DUMMYFUNCTION("if(regexmatch(B39,""e(.*)$""),regexextract(B39,""e(.*)$""),"""")"),"-10")</f>
        <v>-10</v>
      </c>
    </row>
    <row r="40">
      <c r="A40" s="80" t="s">
        <v>1090</v>
      </c>
      <c r="B40" s="80" t="s">
        <v>4442</v>
      </c>
      <c r="C40" s="80" t="s">
        <v>520</v>
      </c>
      <c r="D40" s="18" t="str">
        <f t="shared" si="1"/>
        <v>s</v>
      </c>
      <c r="E40" s="60" t="str">
        <f>VLOOKUP($A40,nist_names_ids!A:B,2,false)</f>
        <v>aut</v>
      </c>
      <c r="F40" s="61">
        <f>countif(Constants!A:A,E40)</f>
        <v>1</v>
      </c>
      <c r="G40" s="60" t="str">
        <f>IFERROR(__xludf.DUMMYFUNCTION("REGEXREPLACE(substitute(substitute(B40,"" "",""""),""..."",""""),""\(.*\)"","""")"),"2.418884326505e-17")</f>
        <v>2.418884326505e-17</v>
      </c>
      <c r="H40" s="62">
        <f t="shared" si="2"/>
        <v>0</v>
      </c>
      <c r="I40" s="60" t="str">
        <f>IFERROR(__xludf.DUMMYFUNCTION("if(regexmatch($B40,""\(""),CONCATENATE(regexreplace(REGEXREPLACE(substitute(left($B40,find(""("",$B40)-1),"" "",""""),""\d"",""0""),""[-0]*\."",""0.""), REGEXEXTRACT($B40,""\((.*)\)""),TRIM(REGEXEXTRACT($B40,""\)(.*)""))),"""")"),"0.00000000000016e-17")</f>
        <v>0.00000000000016e-17</v>
      </c>
      <c r="J40" s="62">
        <f t="shared" si="3"/>
        <v>0</v>
      </c>
      <c r="K40" s="62" t="b">
        <f t="shared" si="4"/>
        <v>0</v>
      </c>
      <c r="L40" s="62" t="b">
        <f t="shared" si="5"/>
        <v>0</v>
      </c>
      <c r="M40" s="60" t="str">
        <f>IFERROR(__xludf.DUMMYFUNCTION("if(regexmatch(B40,""e(.*)$""),regexextract(B40,""e(.*)$""),"""")"),"-17")</f>
        <v>-17</v>
      </c>
    </row>
    <row r="41">
      <c r="A41" s="80" t="s">
        <v>1107</v>
      </c>
      <c r="B41" s="80" t="s">
        <v>4999</v>
      </c>
      <c r="C41" s="80" t="s">
        <v>4447</v>
      </c>
      <c r="D41" s="18" t="str">
        <f t="shared" si="1"/>
        <v>m s^-1</v>
      </c>
      <c r="E41" s="60" t="str">
        <f>VLOOKUP($A41,nist_names_ids!A:B,2,false)</f>
        <v>auvel</v>
      </c>
      <c r="F41" s="61">
        <f>countif(Constants!A:A,E41)</f>
        <v>1</v>
      </c>
      <c r="G41" s="60" t="str">
        <f>IFERROR(__xludf.DUMMYFUNCTION("REGEXREPLACE(substitute(substitute(B41,"" "",""""),""..."",""""),""\(.*\)"","""")"),"2.1876912633e6")</f>
        <v>2.1876912633e6</v>
      </c>
      <c r="H41" s="62">
        <f t="shared" si="2"/>
        <v>2187691.263</v>
      </c>
      <c r="I41" s="60" t="str">
        <f>IFERROR(__xludf.DUMMYFUNCTION("if(regexmatch($B41,""\(""),CONCATENATE(regexreplace(REGEXREPLACE(substitute(left($B41,find(""("",$B41)-1),"" "",""""),""\d"",""0""),""[-0]*\."",""0.""), REGEXEXTRACT($B41,""\((.*)\)""),TRIM(REGEXEXTRACT($B41,""\)(.*)""))),"""")"),"0.000000000073e6")</f>
        <v>0.000000000073e6</v>
      </c>
      <c r="J41" s="62">
        <f t="shared" si="3"/>
        <v>0.000073</v>
      </c>
      <c r="K41" s="62" t="b">
        <f t="shared" si="4"/>
        <v>0</v>
      </c>
      <c r="L41" s="62" t="b">
        <f t="shared" si="5"/>
        <v>0</v>
      </c>
      <c r="M41" s="60" t="str">
        <f>IFERROR(__xludf.DUMMYFUNCTION("if(regexmatch(B41,""e(.*)$""),regexextract(B41,""e(.*)$""),"""")"),"6")</f>
        <v>6</v>
      </c>
    </row>
    <row r="42">
      <c r="A42" s="80" t="s">
        <v>1125</v>
      </c>
      <c r="B42" s="80" t="s">
        <v>5002</v>
      </c>
      <c r="C42" s="80" t="s">
        <v>4452</v>
      </c>
      <c r="D42" s="18" t="str">
        <f t="shared" si="1"/>
        <v>mol^-1</v>
      </c>
      <c r="E42" s="60" t="str">
        <f>VLOOKUP($A42,nist_names_ids!A:B,2,false)</f>
        <v>na</v>
      </c>
      <c r="F42" s="61">
        <f>countif(Constants!A:A,E42)</f>
        <v>1</v>
      </c>
      <c r="G42" s="60" t="str">
        <f>IFERROR(__xludf.DUMMYFUNCTION("REGEXREPLACE(substitute(substitute(B42,"" "",""""),""..."",""""),""\(.*\)"","""")"),"6.0221415e23")</f>
        <v>6.0221415e23</v>
      </c>
      <c r="H42" s="62">
        <f t="shared" si="2"/>
        <v>6.02214E+23</v>
      </c>
      <c r="I42" s="60" t="str">
        <f>IFERROR(__xludf.DUMMYFUNCTION("if(regexmatch($B42,""\(""),CONCATENATE(regexreplace(REGEXREPLACE(substitute(left($B42,find(""("",$B42)-1),"" "",""""),""\d"",""0""),""[-0]*\."",""0.""), REGEXEXTRACT($B42,""\((.*)\)""),TRIM(REGEXEXTRACT($B42,""\)(.*)""))),"""")"),"0.000000010e23")</f>
        <v>0.000000010e23</v>
      </c>
      <c r="J42" s="62">
        <f t="shared" si="3"/>
        <v>1E+15</v>
      </c>
      <c r="K42" s="62" t="b">
        <f t="shared" si="4"/>
        <v>0</v>
      </c>
      <c r="L42" s="62" t="b">
        <f t="shared" si="5"/>
        <v>0</v>
      </c>
      <c r="M42" s="60" t="str">
        <f>IFERROR(__xludf.DUMMYFUNCTION("if(regexmatch(B42,""e(.*)$""),regexextract(B42,""e(.*)$""),"""")"),"23")</f>
        <v>23</v>
      </c>
    </row>
    <row r="43">
      <c r="A43" s="80" t="s">
        <v>1146</v>
      </c>
      <c r="B43" s="80" t="s">
        <v>5004</v>
      </c>
      <c r="C43" s="80" t="s">
        <v>4421</v>
      </c>
      <c r="D43" s="18" t="str">
        <f t="shared" si="1"/>
        <v>J T^-1</v>
      </c>
      <c r="E43" s="60" t="str">
        <f>VLOOKUP($A43,nist_names_ids!A:B,2,false)</f>
        <v>mub</v>
      </c>
      <c r="F43" s="61">
        <f>countif(Constants!A:A,E43)</f>
        <v>1</v>
      </c>
      <c r="G43" s="60" t="str">
        <f>IFERROR(__xludf.DUMMYFUNCTION("REGEXREPLACE(substitute(substitute(B43,"" "",""""),""..."",""""),""\(.*\)"","""")"),"927.400949e-26")</f>
        <v>927.400949e-26</v>
      </c>
      <c r="H43" s="62">
        <f t="shared" si="2"/>
        <v>0</v>
      </c>
      <c r="I43" s="60" t="str">
        <f>IFERROR(__xludf.DUMMYFUNCTION("if(regexmatch($B43,""\(""),CONCATENATE(regexreplace(REGEXREPLACE(substitute(left($B43,find(""("",$B43)-1),"" "",""""),""\d"",""0""),""[-0]*\."",""0.""), REGEXEXTRACT($B43,""\((.*)\)""),TRIM(REGEXEXTRACT($B43,""\)(.*)""))),"""")"),"0.00000080e-26")</f>
        <v>0.00000080e-26</v>
      </c>
      <c r="J43" s="62">
        <f t="shared" si="3"/>
        <v>0</v>
      </c>
      <c r="K43" s="62" t="b">
        <f t="shared" si="4"/>
        <v>0</v>
      </c>
      <c r="L43" s="62" t="b">
        <f t="shared" si="5"/>
        <v>0</v>
      </c>
      <c r="M43" s="60" t="str">
        <f>IFERROR(__xludf.DUMMYFUNCTION("if(regexmatch(B43,""e(.*)$""),regexextract(B43,""e(.*)$""),"""")"),"-26")</f>
        <v>-26</v>
      </c>
    </row>
    <row r="44">
      <c r="A44" s="80" t="s">
        <v>1184</v>
      </c>
      <c r="B44" s="80" t="s">
        <v>5007</v>
      </c>
      <c r="C44" s="80" t="s">
        <v>4459</v>
      </c>
      <c r="D44" s="18" t="str">
        <f t="shared" si="1"/>
        <v>Hz T^-1</v>
      </c>
      <c r="E44" s="60" t="str">
        <f>VLOOKUP($A44,nist_names_ids!A:B,2,false)</f>
        <v>mubshhz</v>
      </c>
      <c r="F44" s="61">
        <f>countif(Constants!A:A,E44)</f>
        <v>1</v>
      </c>
      <c r="G44" s="60" t="str">
        <f>IFERROR(__xludf.DUMMYFUNCTION("REGEXREPLACE(substitute(substitute(B44,"" "",""""),""..."",""""),""\(.*\)"","""")"),"13.9962458e9")</f>
        <v>13.9962458e9</v>
      </c>
      <c r="H44" s="62">
        <f t="shared" si="2"/>
        <v>13996245800</v>
      </c>
      <c r="I44" s="60" t="str">
        <f>IFERROR(__xludf.DUMMYFUNCTION("if(regexmatch($B44,""\(""),CONCATENATE(regexreplace(REGEXREPLACE(substitute(left($B44,find(""("",$B44)-1),"" "",""""),""\d"",""0""),""[-0]*\."",""0.""), REGEXEXTRACT($B44,""\((.*)\)""),TRIM(REGEXEXTRACT($B44,""\)(.*)""))),"""")"),"0.000000012e9")</f>
        <v>0.000000012e9</v>
      </c>
      <c r="J44" s="62">
        <f t="shared" si="3"/>
        <v>12</v>
      </c>
      <c r="K44" s="62" t="b">
        <f t="shared" si="4"/>
        <v>0</v>
      </c>
      <c r="L44" s="62" t="b">
        <f t="shared" si="5"/>
        <v>0</v>
      </c>
      <c r="M44" s="60" t="str">
        <f>IFERROR(__xludf.DUMMYFUNCTION("if(regexmatch(B44,""e(.*)$""),regexextract(B44,""e(.*)$""),"""")"),"9")</f>
        <v>9</v>
      </c>
    </row>
    <row r="45">
      <c r="A45" s="80" t="s">
        <v>1224</v>
      </c>
      <c r="B45" s="80" t="s">
        <v>4460</v>
      </c>
      <c r="C45" s="80" t="s">
        <v>4461</v>
      </c>
      <c r="D45" s="18" t="str">
        <f t="shared" si="1"/>
        <v>K T^-1</v>
      </c>
      <c r="E45" s="60" t="str">
        <f>VLOOKUP($A45,nist_names_ids!A:B,2,false)</f>
        <v>mubskk</v>
      </c>
      <c r="F45" s="61">
        <f>countif(Constants!A:A,E45)</f>
        <v>1</v>
      </c>
      <c r="G45" s="60" t="str">
        <f>IFERROR(__xludf.DUMMYFUNCTION("REGEXREPLACE(substitute(substitute(B45,"" "",""""),""..."",""""),""\(.*\)"","""")"),"0.6717131")</f>
        <v>0.6717131</v>
      </c>
      <c r="H45" s="62">
        <f t="shared" si="2"/>
        <v>0.6717131</v>
      </c>
      <c r="I45" s="60" t="str">
        <f>IFERROR(__xludf.DUMMYFUNCTION("if(regexmatch($B45,""\(""),CONCATENATE(regexreplace(REGEXREPLACE(substitute(left($B45,find(""("",$B45)-1),"" "",""""),""\d"",""0""),""[-0]*\."",""0.""), REGEXEXTRACT($B45,""\((.*)\)""),TRIM(REGEXEXTRACT($B45,""\)(.*)""))),"""")"),"0.000000012")</f>
        <v>0.000000012</v>
      </c>
      <c r="J45" s="62">
        <f t="shared" si="3"/>
        <v>0.000000012</v>
      </c>
      <c r="K45" s="62" t="b">
        <f t="shared" si="4"/>
        <v>0</v>
      </c>
      <c r="L45" s="62" t="b">
        <f t="shared" si="5"/>
        <v>0</v>
      </c>
      <c r="M45" s="60" t="str">
        <f>IFERROR(__xludf.DUMMYFUNCTION("if(regexmatch(B45,""e(.*)$""),regexextract(B45,""e(.*)$""),"""")"),"")</f>
        <v/>
      </c>
    </row>
    <row r="46">
      <c r="A46" s="80" t="s">
        <v>1162</v>
      </c>
      <c r="B46" s="80" t="s">
        <v>5012</v>
      </c>
      <c r="C46" s="80" t="s">
        <v>4469</v>
      </c>
      <c r="D46" s="18" t="str">
        <f t="shared" si="1"/>
        <v>eV T^-1</v>
      </c>
      <c r="E46" s="60" t="str">
        <f>VLOOKUP($A46,nist_names_ids!A:B,2,false)</f>
        <v>mubev</v>
      </c>
      <c r="F46" s="61">
        <f>countif(Constants!A:A,E46)</f>
        <v>1</v>
      </c>
      <c r="G46" s="60" t="str">
        <f>IFERROR(__xludf.DUMMYFUNCTION("REGEXREPLACE(substitute(substitute(B46,"" "",""""),""..."",""""),""\(.*\)"","""")"),"5.788381804e-5")</f>
        <v>5.788381804e-5</v>
      </c>
      <c r="H46" s="62">
        <f t="shared" si="2"/>
        <v>0.00005788381804</v>
      </c>
      <c r="I46" s="60" t="str">
        <f>IFERROR(__xludf.DUMMYFUNCTION("if(regexmatch($B46,""\(""),CONCATENATE(regexreplace(REGEXREPLACE(substitute(left($B46,find(""("",$B46)-1),"" "",""""),""\d"",""0""),""[-0]*\."",""0.""), REGEXEXTRACT($B46,""\((.*)\)""),TRIM(REGEXEXTRACT($B46,""\)(.*)""))),"""")"),"0.00000000039e-5")</f>
        <v>0.00000000039e-5</v>
      </c>
      <c r="J46" s="62">
        <f t="shared" si="3"/>
        <v>0</v>
      </c>
      <c r="K46" s="62" t="b">
        <f t="shared" si="4"/>
        <v>0</v>
      </c>
      <c r="L46" s="62" t="b">
        <f t="shared" si="5"/>
        <v>0</v>
      </c>
      <c r="M46" s="60" t="str">
        <f>IFERROR(__xludf.DUMMYFUNCTION("if(regexmatch(B46,""e(.*)$""),regexextract(B46,""e(.*)$""),"""")"),"-5")</f>
        <v>-5</v>
      </c>
    </row>
    <row r="47">
      <c r="A47" s="80" t="s">
        <v>1657</v>
      </c>
      <c r="B47" s="80" t="s">
        <v>5015</v>
      </c>
      <c r="C47" s="80" t="s">
        <v>4474</v>
      </c>
      <c r="D47" s="18" t="str">
        <f t="shared" si="1"/>
        <v>m^-1 T^-1</v>
      </c>
      <c r="E47" s="60" t="str">
        <f>VLOOKUP($A47,nist_names_ids!A:B,2,false)</f>
        <v>mubshcminv</v>
      </c>
      <c r="F47" s="61">
        <f>countif(Constants!A:A,E47)</f>
        <v>1</v>
      </c>
      <c r="G47" s="60" t="str">
        <f>IFERROR(__xludf.DUMMYFUNCTION("REGEXREPLACE(substitute(substitute(B47,"" "",""""),""..."",""""),""\(.*\)"","""")"),"46.6864507")</f>
        <v>46.6864507</v>
      </c>
      <c r="H47" s="62">
        <f t="shared" si="2"/>
        <v>46.6864507</v>
      </c>
      <c r="I47" s="60" t="str">
        <f>IFERROR(__xludf.DUMMYFUNCTION("if(regexmatch($B47,""\(""),CONCATENATE(regexreplace(REGEXREPLACE(substitute(left($B47,find(""("",$B47)-1),"" "",""""),""\d"",""0""),""[-0]*\."",""0.""), REGEXEXTRACT($B47,""\((.*)\)""),TRIM(REGEXEXTRACT($B47,""\)(.*)""))),"""")"),"0.000000040")</f>
        <v>0.000000040</v>
      </c>
      <c r="J47" s="62">
        <f t="shared" si="3"/>
        <v>0.00000004</v>
      </c>
      <c r="K47" s="62" t="b">
        <f t="shared" si="4"/>
        <v>0</v>
      </c>
      <c r="L47" s="62" t="b">
        <f t="shared" si="5"/>
        <v>0</v>
      </c>
      <c r="M47" s="60" t="str">
        <f>IFERROR(__xludf.DUMMYFUNCTION("if(regexmatch(B47,""e(.*)$""),regexextract(B47,""e(.*)$""),"""")"),"")</f>
        <v/>
      </c>
    </row>
    <row r="48">
      <c r="A48" s="80" t="s">
        <v>1240</v>
      </c>
      <c r="B48" s="80" t="s">
        <v>4967</v>
      </c>
      <c r="C48" s="80" t="s">
        <v>381</v>
      </c>
      <c r="D48" s="18" t="str">
        <f t="shared" si="1"/>
        <v>m</v>
      </c>
      <c r="E48" s="60" t="str">
        <f>VLOOKUP($A48,nist_names_ids!A:B,2,false)</f>
        <v>bohrrada0</v>
      </c>
      <c r="F48" s="61">
        <f>countif(Constants!A:A,E48)</f>
        <v>1</v>
      </c>
      <c r="G48" s="60" t="str">
        <f>IFERROR(__xludf.DUMMYFUNCTION("REGEXREPLACE(substitute(substitute(B48,"" "",""""),""..."",""""),""\(.*\)"","""")"),"0.5291772108e-10")</f>
        <v>0.5291772108e-10</v>
      </c>
      <c r="H48" s="62">
        <f t="shared" si="2"/>
        <v>0</v>
      </c>
      <c r="I48" s="60" t="str">
        <f>IFERROR(__xludf.DUMMYFUNCTION("if(regexmatch($B48,""\(""),CONCATENATE(regexreplace(REGEXREPLACE(substitute(left($B48,find(""("",$B48)-1),"" "",""""),""\d"",""0""),""[-0]*\."",""0.""), REGEXEXTRACT($B48,""\((.*)\)""),TRIM(REGEXEXTRACT($B48,""\)(.*)""))),"""")"),"0.000000000018e-10")</f>
        <v>0.000000000018e-10</v>
      </c>
      <c r="J48" s="62">
        <f t="shared" si="3"/>
        <v>0</v>
      </c>
      <c r="K48" s="62" t="b">
        <f t="shared" si="4"/>
        <v>0</v>
      </c>
      <c r="L48" s="62" t="b">
        <f t="shared" si="5"/>
        <v>0</v>
      </c>
      <c r="M48" s="60" t="str">
        <f>IFERROR(__xludf.DUMMYFUNCTION("if(regexmatch(B48,""e(.*)$""),regexextract(B48,""e(.*)$""),"""")"),"-10")</f>
        <v>-10</v>
      </c>
    </row>
    <row r="49">
      <c r="A49" s="80" t="s">
        <v>1258</v>
      </c>
      <c r="B49" s="80" t="s">
        <v>4480</v>
      </c>
      <c r="C49" s="80" t="s">
        <v>4481</v>
      </c>
      <c r="D49" s="18" t="str">
        <f t="shared" si="1"/>
        <v>J K^-1</v>
      </c>
      <c r="E49" s="60" t="str">
        <f>VLOOKUP($A49,nist_names_ids!A:B,2,false)</f>
        <v>k</v>
      </c>
      <c r="F49" s="61">
        <f>countif(Constants!A:A,E49)</f>
        <v>1</v>
      </c>
      <c r="G49" s="60" t="str">
        <f>IFERROR(__xludf.DUMMYFUNCTION("REGEXREPLACE(substitute(substitute(B49,"" "",""""),""..."",""""),""\(.*\)"","""")"),"1.3806504e-23")</f>
        <v>1.3806504e-23</v>
      </c>
      <c r="H49" s="62">
        <f t="shared" si="2"/>
        <v>0</v>
      </c>
      <c r="I49" s="60" t="str">
        <f>IFERROR(__xludf.DUMMYFUNCTION("if(regexmatch($B49,""\(""),CONCATENATE(regexreplace(REGEXREPLACE(substitute(left($B49,find(""("",$B49)-1),"" "",""""),""\d"",""0""),""[-0]*\."",""0.""), REGEXEXTRACT($B49,""\((.*)\)""),TRIM(REGEXEXTRACT($B49,""\)(.*)""))),"""")"),"0.000000024e-23")</f>
        <v>0.000000024e-23</v>
      </c>
      <c r="J49" s="62">
        <f t="shared" si="3"/>
        <v>0</v>
      </c>
      <c r="K49" s="62" t="b">
        <f t="shared" si="4"/>
        <v>0</v>
      </c>
      <c r="L49" s="62" t="b">
        <f t="shared" si="5"/>
        <v>0</v>
      </c>
      <c r="M49" s="60" t="str">
        <f>IFERROR(__xludf.DUMMYFUNCTION("if(regexmatch(B49,""e(.*)$""),regexextract(B49,""e(.*)$""),"""")"),"-23")</f>
        <v>-23</v>
      </c>
    </row>
    <row r="50">
      <c r="A50" s="80" t="s">
        <v>1301</v>
      </c>
      <c r="B50" s="80" t="s">
        <v>4485</v>
      </c>
      <c r="C50" s="80" t="s">
        <v>4487</v>
      </c>
      <c r="D50" s="18" t="str">
        <f t="shared" si="1"/>
        <v>Hz K^-1</v>
      </c>
      <c r="E50" s="60" t="str">
        <f>VLOOKUP($A50,nist_names_ids!A:B,2,false)</f>
        <v>kshhz</v>
      </c>
      <c r="F50" s="61">
        <f>countif(Constants!A:A,E50)</f>
        <v>1</v>
      </c>
      <c r="G50" s="60" t="str">
        <f>IFERROR(__xludf.DUMMYFUNCTION("REGEXREPLACE(substitute(substitute(B50,"" "",""""),""..."",""""),""\(.*\)"","""")"),"2.0836644e10")</f>
        <v>2.0836644e10</v>
      </c>
      <c r="H50" s="62">
        <f t="shared" si="2"/>
        <v>20836644000</v>
      </c>
      <c r="I50" s="60" t="str">
        <f>IFERROR(__xludf.DUMMYFUNCTION("if(regexmatch($B50,""\(""),CONCATENATE(regexreplace(REGEXREPLACE(substitute(left($B50,find(""("",$B50)-1),"" "",""""),""\d"",""0""),""[-0]*\."",""0.""), REGEXEXTRACT($B50,""\((.*)\)""),TRIM(REGEXEXTRACT($B50,""\)(.*)""))),"""")"),"0.000000036e10")</f>
        <v>0.000000036e10</v>
      </c>
      <c r="J50" s="62">
        <f t="shared" si="3"/>
        <v>360</v>
      </c>
      <c r="K50" s="62" t="b">
        <f t="shared" si="4"/>
        <v>0</v>
      </c>
      <c r="L50" s="62" t="b">
        <f t="shared" si="5"/>
        <v>0</v>
      </c>
      <c r="M50" s="60" t="str">
        <f>IFERROR(__xludf.DUMMYFUNCTION("if(regexmatch(B50,""e(.*)$""),regexextract(B50,""e(.*)$""),"""")"),"10")</f>
        <v>10</v>
      </c>
    </row>
    <row r="51">
      <c r="A51" s="80" t="s">
        <v>1279</v>
      </c>
      <c r="B51" s="80" t="s">
        <v>4490</v>
      </c>
      <c r="C51" s="80" t="s">
        <v>4491</v>
      </c>
      <c r="D51" s="18" t="str">
        <f t="shared" si="1"/>
        <v>eV K^-1</v>
      </c>
      <c r="E51" s="60" t="str">
        <f>VLOOKUP($A51,nist_names_ids!A:B,2,false)</f>
        <v>tkev</v>
      </c>
      <c r="F51" s="61">
        <f>countif(Constants!A:A,E51)</f>
        <v>1</v>
      </c>
      <c r="G51" s="60" t="str">
        <f>IFERROR(__xludf.DUMMYFUNCTION("REGEXREPLACE(substitute(substitute(B51,"" "",""""),""..."",""""),""\(.*\)"","""")"),"8.617343e-5")</f>
        <v>8.617343e-5</v>
      </c>
      <c r="H51" s="62">
        <f t="shared" si="2"/>
        <v>0.00008617343</v>
      </c>
      <c r="I51" s="60" t="str">
        <f>IFERROR(__xludf.DUMMYFUNCTION("if(regexmatch($B51,""\(""),CONCATENATE(regexreplace(REGEXREPLACE(substitute(left($B51,find(""("",$B51)-1),"" "",""""),""\d"",""0""),""[-0]*\."",""0.""), REGEXEXTRACT($B51,""\((.*)\)""),TRIM(REGEXEXTRACT($B51,""\)(.*)""))),"""")"),"0.00000015e-5")</f>
        <v>0.00000015e-5</v>
      </c>
      <c r="J51" s="62">
        <f t="shared" si="3"/>
        <v>0</v>
      </c>
      <c r="K51" s="62" t="b">
        <f t="shared" si="4"/>
        <v>0</v>
      </c>
      <c r="L51" s="62" t="b">
        <f t="shared" si="5"/>
        <v>0</v>
      </c>
      <c r="M51" s="60" t="str">
        <f>IFERROR(__xludf.DUMMYFUNCTION("if(regexmatch(B51,""e(.*)$""),regexextract(B51,""e(.*)$""),"""")"),"-5")</f>
        <v>-5</v>
      </c>
    </row>
    <row r="52">
      <c r="A52" s="80" t="s">
        <v>1691</v>
      </c>
      <c r="B52" s="80" t="s">
        <v>4517</v>
      </c>
      <c r="C52" s="80" t="s">
        <v>4518</v>
      </c>
      <c r="D52" s="18" t="str">
        <f t="shared" si="1"/>
        <v>m^-1 K^-1</v>
      </c>
      <c r="E52" s="60" t="str">
        <f>VLOOKUP($A52,nist_names_ids!A:B,2,false)</f>
        <v>kshcminv</v>
      </c>
      <c r="F52" s="61">
        <f>countif(Constants!A:A,E52)</f>
        <v>1</v>
      </c>
      <c r="G52" s="60" t="str">
        <f>IFERROR(__xludf.DUMMYFUNCTION("REGEXREPLACE(substitute(substitute(B52,"" "",""""),""..."",""""),""\(.*\)"","""")"),"69.50356")</f>
        <v>69.50356</v>
      </c>
      <c r="H52" s="62">
        <f t="shared" si="2"/>
        <v>69.50356</v>
      </c>
      <c r="I52" s="60" t="str">
        <f>IFERROR(__xludf.DUMMYFUNCTION("if(regexmatch($B52,""\(""),CONCATENATE(regexreplace(REGEXREPLACE(substitute(left($B52,find(""("",$B52)-1),"" "",""""),""\d"",""0""),""[-0]*\."",""0.""), REGEXEXTRACT($B52,""\((.*)\)""),TRIM(REGEXEXTRACT($B52,""\)(.*)""))),"""")"),"0.0000012")</f>
        <v>0.0000012</v>
      </c>
      <c r="J52" s="62">
        <f t="shared" si="3"/>
        <v>0.0000012</v>
      </c>
      <c r="K52" s="62" t="b">
        <f t="shared" si="4"/>
        <v>0</v>
      </c>
      <c r="L52" s="62" t="b">
        <f t="shared" si="5"/>
        <v>0</v>
      </c>
      <c r="M52" s="60" t="str">
        <f>IFERROR(__xludf.DUMMYFUNCTION("if(regexmatch(B52,""e(.*)$""),regexextract(B52,""e(.*)$""),"""")"),"")</f>
        <v/>
      </c>
    </row>
    <row r="53">
      <c r="A53" s="80" t="s">
        <v>1335</v>
      </c>
      <c r="B53" s="80" t="s">
        <v>4521</v>
      </c>
      <c r="C53" s="80" t="s">
        <v>506</v>
      </c>
      <c r="D53" s="18" t="str">
        <f t="shared" si="1"/>
        <v>Ohm</v>
      </c>
      <c r="E53" s="60" t="str">
        <f>VLOOKUP($A53,nist_names_ids!A:B,2,false)</f>
        <v>z0</v>
      </c>
      <c r="F53" s="61">
        <f>countif(Constants!A:A,E53)</f>
        <v>1</v>
      </c>
      <c r="G53" s="60" t="str">
        <f>IFERROR(__xludf.DUMMYFUNCTION("REGEXREPLACE(substitute(substitute(B53,"" "",""""),""..."",""""),""\(.*\)"","""")"),"376.730313461")</f>
        <v>376.730313461</v>
      </c>
      <c r="H53" s="62">
        <f t="shared" si="2"/>
        <v>376.7303135</v>
      </c>
      <c r="I53" s="60" t="str">
        <f>IFERROR(__xludf.DUMMYFUNCTION("if(regexmatch($B53,""\(""),CONCATENATE(regexreplace(REGEXREPLACE(substitute(left($B53,find(""("",$B53)-1),"" "",""""),""\d"",""0""),""[-0]*\."",""0.""), REGEXEXTRACT($B53,""\((.*)\)""),TRIM(REGEXEXTRACT($B53,""\)(.*)""))),"""")"),"")</f>
        <v/>
      </c>
      <c r="J53" s="62" t="str">
        <f t="shared" si="3"/>
        <v/>
      </c>
      <c r="K53" s="62" t="b">
        <f t="shared" si="4"/>
        <v>0</v>
      </c>
      <c r="L53" s="62" t="b">
        <f t="shared" si="5"/>
        <v>1</v>
      </c>
      <c r="M53" s="60" t="str">
        <f>IFERROR(__xludf.DUMMYFUNCTION("if(regexmatch(B53,""e(.*)$""),regexextract(B53,""e(.*)$""),"""")"),"")</f>
        <v/>
      </c>
    </row>
    <row r="54">
      <c r="A54" s="80" t="s">
        <v>1351</v>
      </c>
      <c r="B54" s="80" t="s">
        <v>5026</v>
      </c>
      <c r="C54" s="80" t="s">
        <v>381</v>
      </c>
      <c r="D54" s="18" t="str">
        <f t="shared" si="1"/>
        <v>m</v>
      </c>
      <c r="E54" s="60" t="str">
        <f>VLOOKUP($A54,nist_names_ids!A:B,2,false)</f>
        <v>re</v>
      </c>
      <c r="F54" s="61">
        <f>countif(Constants!A:A,E54)</f>
        <v>1</v>
      </c>
      <c r="G54" s="60" t="str">
        <f>IFERROR(__xludf.DUMMYFUNCTION("REGEXREPLACE(substitute(substitute(B54,"" "",""""),""..."",""""),""\(.*\)"","""")"),"2.817940325e-15")</f>
        <v>2.817940325e-15</v>
      </c>
      <c r="H54" s="62">
        <f t="shared" si="2"/>
        <v>0</v>
      </c>
      <c r="I54" s="60" t="str">
        <f>IFERROR(__xludf.DUMMYFUNCTION("if(regexmatch($B54,""\(""),CONCATENATE(regexreplace(REGEXREPLACE(substitute(left($B54,find(""("",$B54)-1),"" "",""""),""\d"",""0""),""[-0]*\."",""0.""), REGEXEXTRACT($B54,""\((.*)\)""),TRIM(REGEXEXTRACT($B54,""\)(.*)""))),"""")"),"0.00000000028e-15")</f>
        <v>0.00000000028e-15</v>
      </c>
      <c r="J54" s="62">
        <f t="shared" si="3"/>
        <v>0</v>
      </c>
      <c r="K54" s="62" t="b">
        <f t="shared" si="4"/>
        <v>0</v>
      </c>
      <c r="L54" s="62" t="b">
        <f t="shared" si="5"/>
        <v>0</v>
      </c>
      <c r="M54" s="60" t="str">
        <f>IFERROR(__xludf.DUMMYFUNCTION("if(regexmatch(B54,""e(.*)$""),regexextract(B54,""e(.*)$""),"""")"),"-15")</f>
        <v>-15</v>
      </c>
    </row>
    <row r="55">
      <c r="A55" s="80" t="s">
        <v>1371</v>
      </c>
      <c r="B55" s="80" t="s">
        <v>5027</v>
      </c>
      <c r="C55" s="80" t="s">
        <v>381</v>
      </c>
      <c r="D55" s="18" t="str">
        <f t="shared" si="1"/>
        <v>m</v>
      </c>
      <c r="E55" s="60" t="str">
        <f>VLOOKUP($A55,nist_names_ids!A:B,2,false)</f>
        <v>ecomwl</v>
      </c>
      <c r="F55" s="61">
        <f>countif(Constants!A:A,E55)</f>
        <v>1</v>
      </c>
      <c r="G55" s="60" t="str">
        <f>IFERROR(__xludf.DUMMYFUNCTION("REGEXREPLACE(substitute(substitute(B55,"" "",""""),""..."",""""),""\(.*\)"","""")"),"2.426310238e-12")</f>
        <v>2.426310238e-12</v>
      </c>
      <c r="H55" s="62">
        <f t="shared" si="2"/>
        <v>0</v>
      </c>
      <c r="I55" s="60" t="str">
        <f>IFERROR(__xludf.DUMMYFUNCTION("if(regexmatch($B55,""\(""),CONCATENATE(regexreplace(REGEXREPLACE(substitute(left($B55,find(""("",$B55)-1),"" "",""""),""\d"",""0""),""[-0]*\."",""0.""), REGEXEXTRACT($B55,""\((.*)\)""),TRIM(REGEXEXTRACT($B55,""\)(.*)""))),"""")"),"0.00000000016e-12")</f>
        <v>0.00000000016e-12</v>
      </c>
      <c r="J55" s="62">
        <f t="shared" si="3"/>
        <v>0</v>
      </c>
      <c r="K55" s="62" t="b">
        <f t="shared" si="4"/>
        <v>0</v>
      </c>
      <c r="L55" s="62" t="b">
        <f t="shared" si="5"/>
        <v>0</v>
      </c>
      <c r="M55" s="60" t="str">
        <f>IFERROR(__xludf.DUMMYFUNCTION("if(regexmatch(B55,""e(.*)$""),regexextract(B55,""e(.*)$""),"""")"),"-12")</f>
        <v>-12</v>
      </c>
    </row>
    <row r="56">
      <c r="A56" s="80" t="s">
        <v>1711</v>
      </c>
      <c r="B56" s="80" t="s">
        <v>5028</v>
      </c>
      <c r="C56" s="80" t="s">
        <v>381</v>
      </c>
      <c r="D56" s="18" t="str">
        <f t="shared" si="1"/>
        <v>m</v>
      </c>
      <c r="E56" s="60" t="str">
        <f>VLOOKUP($A56,nist_names_ids!A:B,2,false)</f>
        <v>ecomwlbar</v>
      </c>
      <c r="F56" s="61">
        <f>countif(Constants!A:A,E56)</f>
        <v>1</v>
      </c>
      <c r="G56" s="60" t="str">
        <f>IFERROR(__xludf.DUMMYFUNCTION("REGEXREPLACE(substitute(substitute(B56,"" "",""""),""..."",""""),""\(.*\)"","""")"),"386.1592678e-15")</f>
        <v>386.1592678e-15</v>
      </c>
      <c r="H56" s="62">
        <f t="shared" si="2"/>
        <v>0</v>
      </c>
      <c r="I56" s="60" t="str">
        <f>IFERROR(__xludf.DUMMYFUNCTION("if(regexmatch($B56,""\(""),CONCATENATE(regexreplace(REGEXREPLACE(substitute(left($B56,find(""("",$B56)-1),"" "",""""),""\d"",""0""),""[-0]*\."",""0.""), REGEXEXTRACT($B56,""\((.*)\)""),TRIM(REGEXEXTRACT($B56,""\)(.*)""))),"""")"),"0.000000026e-15")</f>
        <v>0.000000026e-15</v>
      </c>
      <c r="J56" s="62">
        <f t="shared" si="3"/>
        <v>0</v>
      </c>
      <c r="K56" s="62" t="b">
        <f t="shared" si="4"/>
        <v>0</v>
      </c>
      <c r="L56" s="62" t="b">
        <f t="shared" si="5"/>
        <v>0</v>
      </c>
      <c r="M56" s="60" t="str">
        <f>IFERROR(__xludf.DUMMYFUNCTION("if(regexmatch(B56,""e(.*)$""),regexextract(B56,""e(.*)$""),"""")"),"-15")</f>
        <v>-15</v>
      </c>
    </row>
    <row r="57">
      <c r="A57" s="80" t="s">
        <v>1388</v>
      </c>
      <c r="B57" s="80" t="s">
        <v>5030</v>
      </c>
      <c r="C57" s="80" t="s">
        <v>526</v>
      </c>
      <c r="D57" s="18" t="str">
        <f t="shared" si="1"/>
        <v>S</v>
      </c>
      <c r="E57" s="60" t="str">
        <f>VLOOKUP($A57,nist_names_ids!A:B,2,false)</f>
        <v>conqu2e2sh</v>
      </c>
      <c r="F57" s="61">
        <f>countif(Constants!A:A,E57)</f>
        <v>1</v>
      </c>
      <c r="G57" s="60" t="str">
        <f>IFERROR(__xludf.DUMMYFUNCTION("REGEXREPLACE(substitute(substitute(B57,"" "",""""),""..."",""""),""\(.*\)"","""")"),"7.748091733e-5")</f>
        <v>7.748091733e-5</v>
      </c>
      <c r="H57" s="62">
        <f t="shared" si="2"/>
        <v>0.00007748091733</v>
      </c>
      <c r="I57" s="60" t="str">
        <f>IFERROR(__xludf.DUMMYFUNCTION("if(regexmatch($B57,""\(""),CONCATENATE(regexreplace(REGEXREPLACE(substitute(left($B57,find(""("",$B57)-1),"" "",""""),""\d"",""0""),""[-0]*\."",""0.""), REGEXEXTRACT($B57,""\((.*)\)""),TRIM(REGEXEXTRACT($B57,""\)(.*)""))),"""")"),"0.00000000026e-5")</f>
        <v>0.00000000026e-5</v>
      </c>
      <c r="J57" s="62">
        <f t="shared" si="3"/>
        <v>0</v>
      </c>
      <c r="K57" s="62" t="b">
        <f t="shared" si="4"/>
        <v>0</v>
      </c>
      <c r="L57" s="62" t="b">
        <f t="shared" si="5"/>
        <v>0</v>
      </c>
      <c r="M57" s="60" t="str">
        <f>IFERROR(__xludf.DUMMYFUNCTION("if(regexmatch(B57,""e(.*)$""),regexextract(B57,""e(.*)$""),"""")"),"-5")</f>
        <v>-5</v>
      </c>
    </row>
    <row r="58">
      <c r="A58" s="80" t="s">
        <v>1445</v>
      </c>
      <c r="B58" s="80" t="s">
        <v>1718</v>
      </c>
      <c r="C58" s="80" t="s">
        <v>4534</v>
      </c>
      <c r="D58" s="18" t="str">
        <f t="shared" si="1"/>
        <v>Hz V^-1</v>
      </c>
      <c r="E58" s="60" t="str">
        <f>VLOOKUP($A58,nist_names_ids!A:B,2,false)</f>
        <v>kj90</v>
      </c>
      <c r="F58" s="61">
        <f>countif(Constants!A:A,E58)</f>
        <v>1</v>
      </c>
      <c r="G58" s="60" t="str">
        <f>IFERROR(__xludf.DUMMYFUNCTION("REGEXREPLACE(substitute(substitute(B58,"" "",""""),""..."",""""),""\(.*\)"","""")"),"483597.9e9")</f>
        <v>483597.9e9</v>
      </c>
      <c r="H58" s="62">
        <f t="shared" si="2"/>
        <v>483597900000000</v>
      </c>
      <c r="I58" s="60" t="str">
        <f>IFERROR(__xludf.DUMMYFUNCTION("if(regexmatch($B58,""\(""),CONCATENATE(regexreplace(REGEXREPLACE(substitute(left($B58,find(""("",$B58)-1),"" "",""""),""\d"",""0""),""[-0]*\."",""0.""), REGEXEXTRACT($B58,""\((.*)\)""),TRIM(REGEXEXTRACT($B58,""\)(.*)""))),"""")"),"")</f>
        <v/>
      </c>
      <c r="J58" s="62" t="str">
        <f t="shared" si="3"/>
        <v/>
      </c>
      <c r="K58" s="62" t="b">
        <f t="shared" si="4"/>
        <v>0</v>
      </c>
      <c r="L58" s="62" t="b">
        <f t="shared" si="5"/>
        <v>0</v>
      </c>
      <c r="M58" s="60" t="str">
        <f>IFERROR(__xludf.DUMMYFUNCTION("if(regexmatch(B58,""e(.*)$""),regexextract(B58,""e(.*)$""),"""")"),"9")</f>
        <v>9</v>
      </c>
    </row>
    <row r="59">
      <c r="A59" s="80" t="s">
        <v>1722</v>
      </c>
      <c r="B59" s="80" t="s">
        <v>1723</v>
      </c>
      <c r="C59" s="80" t="s">
        <v>506</v>
      </c>
      <c r="D59" s="18" t="str">
        <f t="shared" si="1"/>
        <v>Ohm</v>
      </c>
      <c r="E59" s="60" t="str">
        <f>VLOOKUP($A59,nist_names_ids!A:B,2,false)</f>
        <v>rk90</v>
      </c>
      <c r="F59" s="61">
        <f>countif(Constants!A:A,E59)</f>
        <v>1</v>
      </c>
      <c r="G59" s="60" t="str">
        <f>IFERROR(__xludf.DUMMYFUNCTION("REGEXREPLACE(substitute(substitute(B59,"" "",""""),""..."",""""),""\(.*\)"","""")"),"25812.807")</f>
        <v>25812.807</v>
      </c>
      <c r="H59" s="62">
        <f t="shared" si="2"/>
        <v>25812.807</v>
      </c>
      <c r="I59" s="60" t="str">
        <f>IFERROR(__xludf.DUMMYFUNCTION("if(regexmatch($B59,""\(""),CONCATENATE(regexreplace(REGEXREPLACE(substitute(left($B59,find(""("",$B59)-1),"" "",""""),""\d"",""0""),""[-0]*\."",""0.""), REGEXEXTRACT($B59,""\((.*)\)""),TRIM(REGEXEXTRACT($B59,""\)(.*)""))),"""")"),"")</f>
        <v/>
      </c>
      <c r="J59" s="62" t="str">
        <f t="shared" si="3"/>
        <v/>
      </c>
      <c r="K59" s="62" t="b">
        <f t="shared" si="4"/>
        <v>0</v>
      </c>
      <c r="L59" s="62" t="b">
        <f t="shared" si="5"/>
        <v>0</v>
      </c>
      <c r="M59" s="60" t="str">
        <f>IFERROR(__xludf.DUMMYFUNCTION("if(regexmatch(B59,""e(.*)$""),regexextract(B59,""e(.*)$""),"""")"),"")</f>
        <v/>
      </c>
    </row>
    <row r="60">
      <c r="A60" s="80" t="s">
        <v>1824</v>
      </c>
      <c r="B60" s="80" t="s">
        <v>5032</v>
      </c>
      <c r="C60" s="80" t="s">
        <v>381</v>
      </c>
      <c r="D60" s="18" t="str">
        <f t="shared" si="1"/>
        <v>m</v>
      </c>
      <c r="E60" s="60" t="str">
        <f>VLOOKUP($A60,nist_names_ids!A:B,2,false)</f>
        <v>xucukalph1</v>
      </c>
      <c r="F60" s="61">
        <f>countif(Constants!A:A,E60)</f>
        <v>1</v>
      </c>
      <c r="G60" s="60" t="str">
        <f>IFERROR(__xludf.DUMMYFUNCTION("REGEXREPLACE(substitute(substitute(B60,"" "",""""),""..."",""""),""\(.*\)"","""")"),"1.00207710e-13")</f>
        <v>1.00207710e-13</v>
      </c>
      <c r="H60" s="62">
        <f t="shared" si="2"/>
        <v>0</v>
      </c>
      <c r="I60" s="60" t="str">
        <f>IFERROR(__xludf.DUMMYFUNCTION("if(regexmatch($B60,""\(""),CONCATENATE(regexreplace(REGEXREPLACE(substitute(left($B60,find(""("",$B60)-1),"" "",""""),""\d"",""0""),""[-0]*\."",""0.""), REGEXEXTRACT($B60,""\((.*)\)""),TRIM(REGEXEXTRACT($B60,""\)(.*)""))),"""")"),"0.0000000029e-13")</f>
        <v>0.0000000029e-13</v>
      </c>
      <c r="J60" s="62">
        <f t="shared" si="3"/>
        <v>0</v>
      </c>
      <c r="K60" s="62" t="b">
        <f t="shared" si="4"/>
        <v>0</v>
      </c>
      <c r="L60" s="62" t="b">
        <f t="shared" si="5"/>
        <v>0</v>
      </c>
      <c r="M60" s="60" t="str">
        <f>IFERROR(__xludf.DUMMYFUNCTION("if(regexmatch(B60,""e(.*)$""),regexextract(B60,""e(.*)$""),"""")"),"-13")</f>
        <v>-13</v>
      </c>
    </row>
    <row r="61">
      <c r="A61" s="80" t="s">
        <v>1572</v>
      </c>
      <c r="B61" s="80" t="s">
        <v>5033</v>
      </c>
      <c r="C61" s="80" t="s">
        <v>4421</v>
      </c>
      <c r="D61" s="18" t="str">
        <f t="shared" si="1"/>
        <v>J T^-1</v>
      </c>
      <c r="E61" s="60" t="str">
        <f>VLOOKUP($A61,nist_names_ids!A:B,2,false)</f>
        <v>mud</v>
      </c>
      <c r="F61" s="61">
        <f>countif(Constants!A:A,E61)</f>
        <v>1</v>
      </c>
      <c r="G61" s="60" t="str">
        <f>IFERROR(__xludf.DUMMYFUNCTION("REGEXREPLACE(substitute(substitute(B61,"" "",""""),""..."",""""),""\(.*\)"","""")"),"0.433073482e-26")</f>
        <v>0.433073482e-26</v>
      </c>
      <c r="H61" s="62">
        <f t="shared" si="2"/>
        <v>0</v>
      </c>
      <c r="I61" s="60" t="str">
        <f>IFERROR(__xludf.DUMMYFUNCTION("if(regexmatch($B61,""\(""),CONCATENATE(regexreplace(REGEXREPLACE(substitute(left($B61,find(""("",$B61)-1),"" "",""""),""\d"",""0""),""[-0]*\."",""0.""), REGEXEXTRACT($B61,""\((.*)\)""),TRIM(REGEXEXTRACT($B61,""\)(.*)""))),"""")"),"0.00000000038e-26")</f>
        <v>0.00000000038e-26</v>
      </c>
      <c r="J61" s="62">
        <f t="shared" si="3"/>
        <v>0</v>
      </c>
      <c r="K61" s="62" t="b">
        <f t="shared" si="4"/>
        <v>0</v>
      </c>
      <c r="L61" s="62" t="b">
        <f t="shared" si="5"/>
        <v>0</v>
      </c>
      <c r="M61" s="60" t="str">
        <f>IFERROR(__xludf.DUMMYFUNCTION("if(regexmatch(B61,""e(.*)$""),regexextract(B61,""e(.*)$""),"""")"),"-26")</f>
        <v>-26</v>
      </c>
    </row>
    <row r="62">
      <c r="A62" s="80" t="s">
        <v>1588</v>
      </c>
      <c r="B62" s="80" t="s">
        <v>5035</v>
      </c>
      <c r="C62" s="80"/>
      <c r="D62" s="18" t="str">
        <f t="shared" si="1"/>
        <v/>
      </c>
      <c r="E62" s="60" t="str">
        <f>VLOOKUP($A62,nist_names_ids!A:B,2,false)</f>
        <v>mudsmub</v>
      </c>
      <c r="F62" s="61">
        <f>countif(Constants!A:A,E62)</f>
        <v>1</v>
      </c>
      <c r="G62" s="60" t="str">
        <f>IFERROR(__xludf.DUMMYFUNCTION("REGEXREPLACE(substitute(substitute(B62,"" "",""""),""..."",""""),""\(.*\)"","""")"),"0.4669754567e-3")</f>
        <v>0.4669754567e-3</v>
      </c>
      <c r="H62" s="62">
        <f t="shared" si="2"/>
        <v>0.0004669754567</v>
      </c>
      <c r="I62" s="60" t="str">
        <f>IFERROR(__xludf.DUMMYFUNCTION("if(regexmatch($B62,""\(""),CONCATENATE(regexreplace(REGEXREPLACE(substitute(left($B62,find(""("",$B62)-1),"" "",""""),""\d"",""0""),""[-0]*\."",""0.""), REGEXEXTRACT($B62,""\((.*)\)""),TRIM(REGEXEXTRACT($B62,""\)(.*)""))),"""")"),"0.000000000050e-3")</f>
        <v>0.000000000050e-3</v>
      </c>
      <c r="J62" s="62">
        <f t="shared" si="3"/>
        <v>0</v>
      </c>
      <c r="K62" s="62" t="b">
        <f t="shared" si="4"/>
        <v>0</v>
      </c>
      <c r="L62" s="62" t="b">
        <f t="shared" si="5"/>
        <v>0</v>
      </c>
      <c r="M62" s="60" t="str">
        <f>IFERROR(__xludf.DUMMYFUNCTION("if(regexmatch(B62,""e(.*)$""),regexextract(B62,""e(.*)$""),"""")"),"-3")</f>
        <v>-3</v>
      </c>
    </row>
    <row r="63">
      <c r="A63" s="80" t="s">
        <v>1600</v>
      </c>
      <c r="B63" s="80" t="s">
        <v>5036</v>
      </c>
      <c r="C63" s="80"/>
      <c r="D63" s="18" t="str">
        <f t="shared" si="1"/>
        <v/>
      </c>
      <c r="E63" s="60" t="str">
        <f>VLOOKUP($A63,nist_names_ids!A:B,2,false)</f>
        <v>mudsmun</v>
      </c>
      <c r="F63" s="61">
        <f>countif(Constants!A:A,E63)</f>
        <v>1</v>
      </c>
      <c r="G63" s="60" t="str">
        <f>IFERROR(__xludf.DUMMYFUNCTION("REGEXREPLACE(substitute(substitute(B63,"" "",""""),""..."",""""),""\(.*\)"","""")"),"0.8574382329")</f>
        <v>0.8574382329</v>
      </c>
      <c r="H63" s="62">
        <f t="shared" si="2"/>
        <v>0.8574382329</v>
      </c>
      <c r="I63" s="60" t="str">
        <f>IFERROR(__xludf.DUMMYFUNCTION("if(regexmatch($B63,""\(""),CONCATENATE(regexreplace(REGEXREPLACE(substitute(left($B63,find(""("",$B63)-1),"" "",""""),""\d"",""0""),""[-0]*\."",""0.""), REGEXEXTRACT($B63,""\((.*)\)""),TRIM(REGEXEXTRACT($B63,""\)(.*)""))),"""")"),"0.000000000092")</f>
        <v>0.000000000092</v>
      </c>
      <c r="J63" s="62">
        <f t="shared" si="3"/>
        <v>0</v>
      </c>
      <c r="K63" s="62" t="b">
        <f t="shared" si="4"/>
        <v>0</v>
      </c>
      <c r="L63" s="62" t="b">
        <f t="shared" si="5"/>
        <v>0</v>
      </c>
      <c r="M63" s="60" t="str">
        <f>IFERROR(__xludf.DUMMYFUNCTION("if(regexmatch(B63,""e(.*)$""),regexextract(B63,""e(.*)$""),"""")"),"")</f>
        <v/>
      </c>
    </row>
    <row r="64">
      <c r="A64" s="80" t="s">
        <v>1609</v>
      </c>
      <c r="B64" s="80" t="s">
        <v>5037</v>
      </c>
      <c r="C64" s="80" t="s">
        <v>98</v>
      </c>
      <c r="D64" s="18" t="str">
        <f t="shared" si="1"/>
        <v>kg</v>
      </c>
      <c r="E64" s="60" t="str">
        <f>VLOOKUP($A64,nist_names_ids!A:B,2,false)</f>
        <v>md</v>
      </c>
      <c r="F64" s="61">
        <f>countif(Constants!A:A,E64)</f>
        <v>1</v>
      </c>
      <c r="G64" s="60" t="str">
        <f>IFERROR(__xludf.DUMMYFUNCTION("REGEXREPLACE(substitute(substitute(B64,"" "",""""),""..."",""""),""\(.*\)"","""")"),"3.34358335e-27")</f>
        <v>3.34358335e-27</v>
      </c>
      <c r="H64" s="62">
        <f t="shared" si="2"/>
        <v>0</v>
      </c>
      <c r="I64" s="60" t="str">
        <f>IFERROR(__xludf.DUMMYFUNCTION("if(regexmatch($B64,""\(""),CONCATENATE(regexreplace(REGEXREPLACE(substitute(left($B64,find(""("",$B64)-1),"" "",""""),""\d"",""0""),""[-0]*\."",""0.""), REGEXEXTRACT($B64,""\((.*)\)""),TRIM(REGEXEXTRACT($B64,""\)(.*)""))),"""")"),"0.0000000057e-27")</f>
        <v>0.0000000057e-27</v>
      </c>
      <c r="J64" s="62">
        <f t="shared" si="3"/>
        <v>0</v>
      </c>
      <c r="K64" s="62" t="b">
        <f t="shared" si="4"/>
        <v>0</v>
      </c>
      <c r="L64" s="62" t="b">
        <f t="shared" si="5"/>
        <v>0</v>
      </c>
      <c r="M64" s="60" t="str">
        <f>IFERROR(__xludf.DUMMYFUNCTION("if(regexmatch(B64,""e(.*)$""),regexextract(B64,""e(.*)$""),"""")"),"-27")</f>
        <v>-27</v>
      </c>
    </row>
    <row r="65">
      <c r="A65" s="80" t="s">
        <v>1617</v>
      </c>
      <c r="B65" s="80" t="s">
        <v>5039</v>
      </c>
      <c r="C65" s="80" t="s">
        <v>173</v>
      </c>
      <c r="D65" s="18" t="str">
        <f t="shared" si="1"/>
        <v>J</v>
      </c>
      <c r="E65" s="60" t="str">
        <f>VLOOKUP($A65,nist_names_ids!A:B,2,false)</f>
        <v>mdc2</v>
      </c>
      <c r="F65" s="61">
        <f>countif(Constants!A:A,E65)</f>
        <v>1</v>
      </c>
      <c r="G65" s="60" t="str">
        <f>IFERROR(__xludf.DUMMYFUNCTION("REGEXREPLACE(substitute(substitute(B65,"" "",""""),""..."",""""),""\(.*\)"","""")"),"3.00506285e-10")</f>
        <v>3.00506285e-10</v>
      </c>
      <c r="H65" s="62">
        <f t="shared" si="2"/>
        <v>0.000000000300506285</v>
      </c>
      <c r="I65" s="60" t="str">
        <f>IFERROR(__xludf.DUMMYFUNCTION("if(regexmatch($B65,""\(""),CONCATENATE(regexreplace(REGEXREPLACE(substitute(left($B65,find(""("",$B65)-1),"" "",""""),""\d"",""0""),""[-0]*\."",""0.""), REGEXEXTRACT($B65,""\((.*)\)""),TRIM(REGEXEXTRACT($B65,""\)(.*)""))),"""")"),"0.0000000051e-10")</f>
        <v>0.0000000051e-10</v>
      </c>
      <c r="J65" s="62">
        <f t="shared" si="3"/>
        <v>0</v>
      </c>
      <c r="K65" s="62" t="b">
        <f t="shared" si="4"/>
        <v>0</v>
      </c>
      <c r="L65" s="62" t="b">
        <f t="shared" si="5"/>
        <v>0</v>
      </c>
      <c r="M65" s="60" t="str">
        <f>IFERROR(__xludf.DUMMYFUNCTION("if(regexmatch(B65,""e(.*)$""),regexextract(B65,""e(.*)$""),"""")"),"-10")</f>
        <v>-10</v>
      </c>
    </row>
    <row r="66">
      <c r="A66" s="80" t="s">
        <v>1632</v>
      </c>
      <c r="B66" s="80" t="s">
        <v>5041</v>
      </c>
      <c r="C66" s="80" t="s">
        <v>224</v>
      </c>
      <c r="D66" s="18" t="str">
        <f t="shared" si="1"/>
        <v>MeV</v>
      </c>
      <c r="E66" s="60" t="str">
        <f>VLOOKUP($A66,nist_names_ids!A:B,2,false)</f>
        <v>mdc2mev</v>
      </c>
      <c r="F66" s="61">
        <f>countif(Constants!A:A,E66)</f>
        <v>1</v>
      </c>
      <c r="G66" s="60" t="str">
        <f>IFERROR(__xludf.DUMMYFUNCTION("REGEXREPLACE(substitute(substitute(B66,"" "",""""),""..."",""""),""\(.*\)"","""")"),"1875.61282")</f>
        <v>1875.61282</v>
      </c>
      <c r="H66" s="62">
        <f t="shared" si="2"/>
        <v>1875.61282</v>
      </c>
      <c r="I66" s="60" t="str">
        <f>IFERROR(__xludf.DUMMYFUNCTION("if(regexmatch($B66,""\(""),CONCATENATE(regexreplace(REGEXREPLACE(substitute(left($B66,find(""("",$B66)-1),"" "",""""),""\d"",""0""),""[-0]*\."",""0.""), REGEXEXTRACT($B66,""\((.*)\)""),TRIM(REGEXEXTRACT($B66,""\)(.*)""))),"""")"),"0.0000016")</f>
        <v>0.0000016</v>
      </c>
      <c r="J66" s="62">
        <f t="shared" si="3"/>
        <v>0.0000016</v>
      </c>
      <c r="K66" s="62" t="b">
        <f t="shared" si="4"/>
        <v>0</v>
      </c>
      <c r="L66" s="62" t="b">
        <f t="shared" si="5"/>
        <v>0</v>
      </c>
      <c r="M66" s="60" t="str">
        <f>IFERROR(__xludf.DUMMYFUNCTION("if(regexmatch(B66,""e(.*)$""),regexextract(B66,""e(.*)$""),"""")"),"")</f>
        <v/>
      </c>
    </row>
    <row r="67">
      <c r="A67" s="80" t="s">
        <v>1643</v>
      </c>
      <c r="B67" s="80" t="s">
        <v>5042</v>
      </c>
      <c r="C67" s="80" t="s">
        <v>249</v>
      </c>
      <c r="D67" s="18" t="str">
        <f t="shared" si="1"/>
        <v>u</v>
      </c>
      <c r="E67" s="60" t="str">
        <f>VLOOKUP($A67,nist_names_ids!A:B,2,false)</f>
        <v>mdu</v>
      </c>
      <c r="F67" s="61">
        <f>countif(Constants!A:A,E67)</f>
        <v>1</v>
      </c>
      <c r="G67" s="60" t="str">
        <f>IFERROR(__xludf.DUMMYFUNCTION("REGEXREPLACE(substitute(substitute(B67,"" "",""""),""..."",""""),""\(.*\)"","""")"),"2.01355321270")</f>
        <v>2.01355321270</v>
      </c>
      <c r="H67" s="62">
        <f t="shared" si="2"/>
        <v>2.013553213</v>
      </c>
      <c r="I67" s="60" t="str">
        <f>IFERROR(__xludf.DUMMYFUNCTION("if(regexmatch($B67,""\(""),CONCATENATE(regexreplace(REGEXREPLACE(substitute(left($B67,find(""("",$B67)-1),"" "",""""),""\d"",""0""),""[-0]*\."",""0.""), REGEXEXTRACT($B67,""\((.*)\)""),TRIM(REGEXEXTRACT($B67,""\)(.*)""))),"""")"),"0.0000000000035")</f>
        <v>0.0000000000035</v>
      </c>
      <c r="J67" s="62">
        <f t="shared" si="3"/>
        <v>0</v>
      </c>
      <c r="K67" s="62" t="b">
        <f t="shared" si="4"/>
        <v>0</v>
      </c>
      <c r="L67" s="62" t="b">
        <f t="shared" si="5"/>
        <v>0</v>
      </c>
      <c r="M67" s="60" t="str">
        <f>IFERROR(__xludf.DUMMYFUNCTION("if(regexmatch(B67,""e(.*)$""),regexextract(B67,""e(.*)$""),"""")"),"")</f>
        <v/>
      </c>
    </row>
    <row r="68">
      <c r="A68" s="80" t="s">
        <v>1651</v>
      </c>
      <c r="B68" s="80" t="s">
        <v>5044</v>
      </c>
      <c r="C68" s="80" t="s">
        <v>4309</v>
      </c>
      <c r="D68" s="18" t="str">
        <f t="shared" si="1"/>
        <v>kg mol^-1</v>
      </c>
      <c r="E68" s="60" t="str">
        <f>VLOOKUP($A68,nist_names_ids!A:B,2,false)</f>
        <v>mmd</v>
      </c>
      <c r="F68" s="61">
        <f>countif(Constants!A:A,E68)</f>
        <v>1</v>
      </c>
      <c r="G68" s="60" t="str">
        <f>IFERROR(__xludf.DUMMYFUNCTION("REGEXREPLACE(substitute(substitute(B68,"" "",""""),""..."",""""),""\(.*\)"","""")"),"2.01355321270e-3")</f>
        <v>2.01355321270e-3</v>
      </c>
      <c r="H68" s="62">
        <f t="shared" si="2"/>
        <v>0.002013553213</v>
      </c>
      <c r="I68" s="60" t="str">
        <f>IFERROR(__xludf.DUMMYFUNCTION("if(regexmatch($B68,""\(""),CONCATENATE(regexreplace(REGEXREPLACE(substitute(left($B68,find(""("",$B68)-1),"" "",""""),""\d"",""0""),""[-0]*\."",""0.""), REGEXEXTRACT($B68,""\((.*)\)""),TRIM(REGEXEXTRACT($B68,""\)(.*)""))),"""")"),"0.0000000000035e-3")</f>
        <v>0.0000000000035e-3</v>
      </c>
      <c r="J68" s="62">
        <f t="shared" si="3"/>
        <v>0</v>
      </c>
      <c r="K68" s="62" t="b">
        <f t="shared" si="4"/>
        <v>0</v>
      </c>
      <c r="L68" s="62" t="b">
        <f t="shared" si="5"/>
        <v>0</v>
      </c>
      <c r="M68" s="60" t="str">
        <f>IFERROR(__xludf.DUMMYFUNCTION("if(regexmatch(B68,""e(.*)$""),regexextract(B68,""e(.*)$""),"""")"),"-3")</f>
        <v>-3</v>
      </c>
    </row>
    <row r="69">
      <c r="A69" s="80" t="s">
        <v>1681</v>
      </c>
      <c r="B69" s="80" t="s">
        <v>5045</v>
      </c>
      <c r="C69" s="80" t="s">
        <v>381</v>
      </c>
      <c r="D69" s="18" t="str">
        <f t="shared" si="1"/>
        <v>m</v>
      </c>
      <c r="E69" s="60" t="str">
        <f>VLOOKUP($A69,nist_names_ids!A:B,2,false)</f>
        <v>rd</v>
      </c>
      <c r="F69" s="61">
        <f>countif(Constants!A:A,E69)</f>
        <v>1</v>
      </c>
      <c r="G69" s="60" t="str">
        <f>IFERROR(__xludf.DUMMYFUNCTION("REGEXREPLACE(substitute(substitute(B69,"" "",""""),""..."",""""),""\(.*\)"","""")"),"2.1394e-15")</f>
        <v>2.1394e-15</v>
      </c>
      <c r="H69" s="62">
        <f t="shared" si="2"/>
        <v>0</v>
      </c>
      <c r="I69" s="60" t="str">
        <f>IFERROR(__xludf.DUMMYFUNCTION("if(regexmatch($B69,""\(""),CONCATENATE(regexreplace(REGEXREPLACE(substitute(left($B69,find(""("",$B69)-1),"" "",""""),""\d"",""0""),""[-0]*\."",""0.""), REGEXEXTRACT($B69,""\((.*)\)""),TRIM(REGEXEXTRACT($B69,""\)(.*)""))),"""")"),"0.000028e-15")</f>
        <v>0.000028e-15</v>
      </c>
      <c r="J69" s="62">
        <f t="shared" si="3"/>
        <v>0</v>
      </c>
      <c r="K69" s="62" t="b">
        <f t="shared" si="4"/>
        <v>0</v>
      </c>
      <c r="L69" s="62" t="b">
        <f t="shared" si="5"/>
        <v>0</v>
      </c>
      <c r="M69" s="60" t="str">
        <f>IFERROR(__xludf.DUMMYFUNCTION("if(regexmatch(B69,""e(.*)$""),regexextract(B69,""e(.*)$""),"""")"),"-15")</f>
        <v>-15</v>
      </c>
    </row>
    <row r="70">
      <c r="A70" s="80" t="s">
        <v>1985</v>
      </c>
      <c r="B70" s="80" t="s">
        <v>5046</v>
      </c>
      <c r="C70" s="80"/>
      <c r="D70" s="18" t="str">
        <f t="shared" si="1"/>
        <v/>
      </c>
      <c r="E70" s="60" t="str">
        <f>VLOOKUP($A70,nist_names_ids!A:B,2,false)</f>
        <v>mudsmuem</v>
      </c>
      <c r="F70" s="61">
        <f>countif(Constants!A:A,E70)</f>
        <v>1</v>
      </c>
      <c r="G70" s="60" t="str">
        <f>IFERROR(__xludf.DUMMYFUNCTION("REGEXREPLACE(substitute(substitute(B70,"" "",""""),""..."",""""),""\(.*\)"","""")"),"-4.664345548e-4")</f>
        <v>-4.664345548e-4</v>
      </c>
      <c r="H70" s="62">
        <f t="shared" si="2"/>
        <v>-0.0004664345548</v>
      </c>
      <c r="I70" s="60" t="str">
        <f>IFERROR(__xludf.DUMMYFUNCTION("if(regexmatch($B70,""\(""),CONCATENATE(regexreplace(REGEXREPLACE(substitute(left($B70,find(""("",$B70)-1),"" "",""""),""\d"",""0""),""[-0]*\."",""0.""), REGEXEXTRACT($B70,""\((.*)\)""),TRIM(REGEXEXTRACT($B70,""\)(.*)""))),"""")"),"0.00000000050e-4")</f>
        <v>0.00000000050e-4</v>
      </c>
      <c r="J70" s="62">
        <f t="shared" si="3"/>
        <v>0</v>
      </c>
      <c r="K70" s="62" t="b">
        <f t="shared" si="4"/>
        <v>0</v>
      </c>
      <c r="L70" s="62" t="b">
        <f t="shared" si="5"/>
        <v>0</v>
      </c>
      <c r="M70" s="60" t="str">
        <f>IFERROR(__xludf.DUMMYFUNCTION("if(regexmatch(B70,""e(.*)$""),regexextract(B70,""e(.*)$""),"""")"),"-4")</f>
        <v>-4</v>
      </c>
    </row>
    <row r="71">
      <c r="A71" s="80" t="s">
        <v>1738</v>
      </c>
      <c r="B71" s="80" t="s">
        <v>5048</v>
      </c>
      <c r="C71" s="80"/>
      <c r="D71" s="18" t="str">
        <f t="shared" si="1"/>
        <v/>
      </c>
      <c r="E71" s="60" t="str">
        <f>VLOOKUP($A71,nist_names_ids!A:B,2,false)</f>
        <v>mdsme</v>
      </c>
      <c r="F71" s="61">
        <f>countif(Constants!A:A,E71)</f>
        <v>1</v>
      </c>
      <c r="G71" s="60" t="str">
        <f>IFERROR(__xludf.DUMMYFUNCTION("REGEXREPLACE(substitute(substitute(B71,"" "",""""),""..."",""""),""\(.*\)"","""")"),"3670.4829652")</f>
        <v>3670.4829652</v>
      </c>
      <c r="H71" s="62">
        <f t="shared" si="2"/>
        <v>3670.482965</v>
      </c>
      <c r="I71" s="60" t="str">
        <f>IFERROR(__xludf.DUMMYFUNCTION("if(regexmatch($B71,""\(""),CONCATENATE(regexreplace(REGEXREPLACE(substitute(left($B71,find(""("",$B71)-1),"" "",""""),""\d"",""0""),""[-0]*\."",""0.""), REGEXEXTRACT($B71,""\((.*)\)""),TRIM(REGEXEXTRACT($B71,""\)(.*)""))),"""")"),"0.000000018")</f>
        <v>0.000000018</v>
      </c>
      <c r="J71" s="62">
        <f t="shared" si="3"/>
        <v>0.000000018</v>
      </c>
      <c r="K71" s="62" t="b">
        <f t="shared" si="4"/>
        <v>0</v>
      </c>
      <c r="L71" s="62" t="b">
        <f t="shared" si="5"/>
        <v>0</v>
      </c>
      <c r="M71" s="60" t="str">
        <f>IFERROR(__xludf.DUMMYFUNCTION("if(regexmatch(B71,""e(.*)$""),regexextract(B71,""e(.*)$""),"""")"),"")</f>
        <v/>
      </c>
    </row>
    <row r="72">
      <c r="A72" s="80" t="s">
        <v>1994</v>
      </c>
      <c r="B72" s="80" t="s">
        <v>4574</v>
      </c>
      <c r="C72" s="80"/>
      <c r="D72" s="18" t="str">
        <f t="shared" si="1"/>
        <v/>
      </c>
      <c r="E72" s="60" t="str">
        <f>VLOOKUP($A72,nist_names_ids!A:B,2,false)</f>
        <v>mudsmunn</v>
      </c>
      <c r="F72" s="61">
        <f>countif(Constants!A:A,E72)</f>
        <v>1</v>
      </c>
      <c r="G72" s="60" t="str">
        <f>IFERROR(__xludf.DUMMYFUNCTION("REGEXREPLACE(substitute(substitute(B72,"" "",""""),""..."",""""),""\(.*\)"","""")"),"-0.44820652")</f>
        <v>-0.44820652</v>
      </c>
      <c r="H72" s="62">
        <f t="shared" si="2"/>
        <v>-0.44820652</v>
      </c>
      <c r="I72" s="60" t="str">
        <f>IFERROR(__xludf.DUMMYFUNCTION("if(regexmatch($B72,""\(""),CONCATENATE(regexreplace(REGEXREPLACE(substitute(left($B72,find(""("",$B72)-1),"" "",""""),""\d"",""0""),""[-0]*\."",""0.""), REGEXEXTRACT($B72,""\((.*)\)""),TRIM(REGEXEXTRACT($B72,""\)(.*)""))),"""")"),"0.0000000011")</f>
        <v>0.0000000011</v>
      </c>
      <c r="J72" s="62">
        <f t="shared" si="3"/>
        <v>0.0000000011</v>
      </c>
      <c r="K72" s="62" t="b">
        <f t="shared" si="4"/>
        <v>0</v>
      </c>
      <c r="L72" s="62" t="b">
        <f t="shared" si="5"/>
        <v>0</v>
      </c>
      <c r="M72" s="60" t="str">
        <f>IFERROR(__xludf.DUMMYFUNCTION("if(regexmatch(B72,""e(.*)$""),regexextract(B72,""e(.*)$""),"""")"),"")</f>
        <v/>
      </c>
    </row>
    <row r="73">
      <c r="A73" s="80" t="s">
        <v>2016</v>
      </c>
      <c r="B73" s="80" t="s">
        <v>5050</v>
      </c>
      <c r="C73" s="80"/>
      <c r="D73" s="18" t="str">
        <f t="shared" si="1"/>
        <v/>
      </c>
      <c r="E73" s="60" t="str">
        <f>VLOOKUP($A73,nist_names_ids!A:B,2,false)</f>
        <v>mudsmup</v>
      </c>
      <c r="F73" s="61">
        <f>countif(Constants!A:A,E73)</f>
        <v>1</v>
      </c>
      <c r="G73" s="60" t="str">
        <f>IFERROR(__xludf.DUMMYFUNCTION("REGEXREPLACE(substitute(substitute(B73,"" "",""""),""..."",""""),""\(.*\)"","""")"),"0.3070122084")</f>
        <v>0.3070122084</v>
      </c>
      <c r="H73" s="62">
        <f t="shared" si="2"/>
        <v>0.3070122084</v>
      </c>
      <c r="I73" s="60" t="str">
        <f>IFERROR(__xludf.DUMMYFUNCTION("if(regexmatch($B73,""\(""),CONCATENATE(regexreplace(REGEXREPLACE(substitute(left($B73,find(""("",$B73)-1),"" "",""""),""\d"",""0""),""[-0]*\."",""0.""), REGEXEXTRACT($B73,""\((.*)\)""),TRIM(REGEXEXTRACT($B73,""\)(.*)""))),"""")"),"0.000000000045")</f>
        <v>0.000000000045</v>
      </c>
      <c r="J73" s="62">
        <f t="shared" si="3"/>
        <v>0</v>
      </c>
      <c r="K73" s="62" t="b">
        <f t="shared" si="4"/>
        <v>0</v>
      </c>
      <c r="L73" s="62" t="b">
        <f t="shared" si="5"/>
        <v>0</v>
      </c>
      <c r="M73" s="60" t="str">
        <f>IFERROR(__xludf.DUMMYFUNCTION("if(regexmatch(B73,""e(.*)$""),regexextract(B73,""e(.*)$""),"""")"),"")</f>
        <v/>
      </c>
    </row>
    <row r="74">
      <c r="A74" s="80" t="s">
        <v>1785</v>
      </c>
      <c r="B74" s="80" t="s">
        <v>5051</v>
      </c>
      <c r="C74" s="80"/>
      <c r="D74" s="18" t="str">
        <f t="shared" si="1"/>
        <v/>
      </c>
      <c r="E74" s="60" t="str">
        <f>VLOOKUP($A74,nist_names_ids!A:B,2,false)</f>
        <v>mdsmp</v>
      </c>
      <c r="F74" s="61">
        <f>countif(Constants!A:A,E74)</f>
        <v>1</v>
      </c>
      <c r="G74" s="60" t="str">
        <f>IFERROR(__xludf.DUMMYFUNCTION("REGEXREPLACE(substitute(substitute(B74,"" "",""""),""..."",""""),""\(.*\)"","""")"),"1.99900750082")</f>
        <v>1.99900750082</v>
      </c>
      <c r="H74" s="62">
        <f t="shared" si="2"/>
        <v>1.999007501</v>
      </c>
      <c r="I74" s="60" t="str">
        <f>IFERROR(__xludf.DUMMYFUNCTION("if(regexmatch($B74,""\(""),CONCATENATE(regexreplace(REGEXREPLACE(substitute(left($B74,find(""("",$B74)-1),"" "",""""),""\d"",""0""),""[-0]*\."",""0.""), REGEXEXTRACT($B74,""\((.*)\)""),TRIM(REGEXEXTRACT($B74,""\)(.*)""))),"""")"),"0.0000000000041")</f>
        <v>0.0000000000041</v>
      </c>
      <c r="J74" s="62">
        <f t="shared" si="3"/>
        <v>0</v>
      </c>
      <c r="K74" s="62" t="b">
        <f t="shared" si="4"/>
        <v>0</v>
      </c>
      <c r="L74" s="62" t="b">
        <f t="shared" si="5"/>
        <v>0</v>
      </c>
      <c r="M74" s="60" t="str">
        <f>IFERROR(__xludf.DUMMYFUNCTION("if(regexmatch(B74,""e(.*)$""),regexextract(B74,""e(.*)$""),"""")"),"")</f>
        <v/>
      </c>
    </row>
    <row r="75">
      <c r="A75" s="80" t="s">
        <v>2034</v>
      </c>
      <c r="B75" s="80" t="s">
        <v>4582</v>
      </c>
      <c r="C75" s="80" t="s">
        <v>4438</v>
      </c>
      <c r="D75" s="18" t="str">
        <f t="shared" si="1"/>
        <v>F m^-1</v>
      </c>
      <c r="E75" s="60" t="str">
        <f>VLOOKUP($A75,nist_names_ids!A:B,2,false)</f>
        <v>ep0</v>
      </c>
      <c r="F75" s="61">
        <f>countif(Constants!A:A,E75)</f>
        <v>1</v>
      </c>
      <c r="G75" s="60" t="str">
        <f>IFERROR(__xludf.DUMMYFUNCTION("REGEXREPLACE(substitute(substitute(B75,"" "",""""),""..."",""""),""\(.*\)"","""")"),"8.854187817e-12")</f>
        <v>8.854187817e-12</v>
      </c>
      <c r="H75" s="62">
        <f t="shared" si="2"/>
        <v>0</v>
      </c>
      <c r="I75" s="60" t="str">
        <f>IFERROR(__xludf.DUMMYFUNCTION("if(regexmatch($B75,""\(""),CONCATENATE(regexreplace(REGEXREPLACE(substitute(left($B75,find(""("",$B75)-1),"" "",""""),""\d"",""0""),""[-0]*\."",""0.""), REGEXEXTRACT($B75,""\((.*)\)""),TRIM(REGEXEXTRACT($B75,""\)(.*)""))),"""")"),"")</f>
        <v/>
      </c>
      <c r="J75" s="62" t="str">
        <f t="shared" si="3"/>
        <v/>
      </c>
      <c r="K75" s="62" t="b">
        <f t="shared" si="4"/>
        <v>0</v>
      </c>
      <c r="L75" s="62" t="b">
        <f t="shared" si="5"/>
        <v>1</v>
      </c>
      <c r="M75" s="60" t="str">
        <f>IFERROR(__xludf.DUMMYFUNCTION("if(regexmatch(B75,""e(.*)$""),regexextract(B75,""e(.*)$""),"""")"),"-12")</f>
        <v>-12</v>
      </c>
    </row>
    <row r="76">
      <c r="A76" s="80" t="s">
        <v>1687</v>
      </c>
      <c r="B76" s="80" t="s">
        <v>5053</v>
      </c>
      <c r="C76" s="80" t="s">
        <v>4587</v>
      </c>
      <c r="D76" s="18" t="str">
        <f t="shared" si="1"/>
        <v>C kg^-1</v>
      </c>
      <c r="E76" s="60" t="str">
        <f>VLOOKUP($A76,nist_names_ids!A:B,2,false)</f>
        <v>esme</v>
      </c>
      <c r="F76" s="61">
        <f>countif(Constants!A:A,E76)</f>
        <v>1</v>
      </c>
      <c r="G76" s="60" t="str">
        <f>IFERROR(__xludf.DUMMYFUNCTION("REGEXREPLACE(substitute(substitute(B76,"" "",""""),""..."",""""),""\(.*\)"","""")"),"-1.75882012e11")</f>
        <v>-1.75882012e11</v>
      </c>
      <c r="H76" s="62">
        <f t="shared" si="2"/>
        <v>-175882012000</v>
      </c>
      <c r="I76" s="60" t="str">
        <f>IFERROR(__xludf.DUMMYFUNCTION("if(regexmatch($B76,""\(""),CONCATENATE(regexreplace(REGEXREPLACE(substitute(left($B76,find(""("",$B76)-1),"" "",""""),""\d"",""0""),""[-0]*\."",""0.""), REGEXEXTRACT($B76,""\((.*)\)""),TRIM(REGEXEXTRACT($B76,""\)(.*)""))),"""")"),"0.0000000015e11")</f>
        <v>0.0000000015e11</v>
      </c>
      <c r="J76" s="62">
        <f t="shared" si="3"/>
        <v>150</v>
      </c>
      <c r="K76" s="62" t="b">
        <f t="shared" si="4"/>
        <v>0</v>
      </c>
      <c r="L76" s="62" t="b">
        <f t="shared" si="5"/>
        <v>0</v>
      </c>
      <c r="M76" s="60" t="str">
        <f>IFERROR(__xludf.DUMMYFUNCTION("if(regexmatch(B76,""e(.*)$""),regexextract(B76,""e(.*)$""),"""")"),"11")</f>
        <v>11</v>
      </c>
    </row>
    <row r="77">
      <c r="A77" s="80" t="s">
        <v>1706</v>
      </c>
      <c r="B77" s="80" t="s">
        <v>5056</v>
      </c>
      <c r="C77" s="80"/>
      <c r="D77" s="18" t="str">
        <f t="shared" si="1"/>
        <v/>
      </c>
      <c r="E77" s="60" t="str">
        <f>VLOOKUP($A77,nist_names_ids!A:B,2,false)</f>
        <v>gem</v>
      </c>
      <c r="F77" s="61">
        <f>countif(Constants!A:A,E77)</f>
        <v>1</v>
      </c>
      <c r="G77" s="60" t="str">
        <f>IFERROR(__xludf.DUMMYFUNCTION("REGEXREPLACE(substitute(substitute(B77,"" "",""""),""..."",""""),""\(.*\)"","""")"),"-2.0023193043718")</f>
        <v>-2.0023193043718</v>
      </c>
      <c r="H77" s="62">
        <f t="shared" si="2"/>
        <v>-2.002319304</v>
      </c>
      <c r="I77" s="60" t="str">
        <f>IFERROR(__xludf.DUMMYFUNCTION("if(regexmatch($B77,""\(""),CONCATENATE(regexreplace(REGEXREPLACE(substitute(left($B77,find(""("",$B77)-1),"" "",""""),""\d"",""0""),""[-0]*\."",""0.""), REGEXEXTRACT($B77,""\((.*)\)""),TRIM(REGEXEXTRACT($B77,""\)(.*)""))),"""")"),"0.000000000000075")</f>
        <v>0.000000000000075</v>
      </c>
      <c r="J77" s="62">
        <f t="shared" si="3"/>
        <v>0</v>
      </c>
      <c r="K77" s="62" t="b">
        <f t="shared" si="4"/>
        <v>0</v>
      </c>
      <c r="L77" s="62" t="b">
        <f t="shared" si="5"/>
        <v>0</v>
      </c>
      <c r="M77" s="60" t="str">
        <f>IFERROR(__xludf.DUMMYFUNCTION("if(regexmatch(B77,""e(.*)$""),regexextract(B77,""e(.*)$""),"""")"),"")</f>
        <v/>
      </c>
    </row>
    <row r="78">
      <c r="A78" s="80" t="s">
        <v>1715</v>
      </c>
      <c r="B78" s="80" t="s">
        <v>5057</v>
      </c>
      <c r="C78" s="80" t="s">
        <v>4596</v>
      </c>
      <c r="D78" s="18" t="str">
        <f t="shared" si="1"/>
        <v>s^-1 T^-1</v>
      </c>
      <c r="E78" s="60" t="str">
        <f>VLOOKUP($A78,nist_names_ids!A:B,2,false)</f>
        <v>gammae</v>
      </c>
      <c r="F78" s="61">
        <f>countif(Constants!A:A,E78)</f>
        <v>1</v>
      </c>
      <c r="G78" s="60" t="str">
        <f>IFERROR(__xludf.DUMMYFUNCTION("REGEXREPLACE(substitute(substitute(B78,"" "",""""),""..."",""""),""\(.*\)"","""")"),"1.76085974e11")</f>
        <v>1.76085974e11</v>
      </c>
      <c r="H78" s="62">
        <f t="shared" si="2"/>
        <v>176085974000</v>
      </c>
      <c r="I78" s="60" t="str">
        <f>IFERROR(__xludf.DUMMYFUNCTION("if(regexmatch($B78,""\(""),CONCATENATE(regexreplace(REGEXREPLACE(substitute(left($B78,find(""("",$B78)-1),"" "",""""),""\d"",""0""),""[-0]*\."",""0.""), REGEXEXTRACT($B78,""\((.*)\)""),TRIM(REGEXEXTRACT($B78,""\)(.*)""))),"""")"),"0.0000000015e11")</f>
        <v>0.0000000015e11</v>
      </c>
      <c r="J78" s="62">
        <f t="shared" si="3"/>
        <v>150</v>
      </c>
      <c r="K78" s="62" t="b">
        <f t="shared" si="4"/>
        <v>0</v>
      </c>
      <c r="L78" s="62" t="b">
        <f t="shared" si="5"/>
        <v>0</v>
      </c>
      <c r="M78" s="60" t="str">
        <f>IFERROR(__xludf.DUMMYFUNCTION("if(regexmatch(B78,""e(.*)$""),regexextract(B78,""e(.*)$""),"""")"),"11")</f>
        <v>11</v>
      </c>
    </row>
    <row r="79">
      <c r="A79" s="80" t="s">
        <v>1731</v>
      </c>
      <c r="B79" s="80" t="s">
        <v>5060</v>
      </c>
      <c r="C79" s="80" t="s">
        <v>4602</v>
      </c>
      <c r="D79" s="18" t="str">
        <f t="shared" si="1"/>
        <v>MHz T^-1</v>
      </c>
      <c r="E79" s="60" t="str">
        <f>VLOOKUP($A79,nist_names_ids!A:B,2,false)</f>
        <v>gammaebar</v>
      </c>
      <c r="F79" s="61">
        <f>countif(Constants!A:A,E79)</f>
        <v>1</v>
      </c>
      <c r="G79" s="60" t="str">
        <f>IFERROR(__xludf.DUMMYFUNCTION("REGEXREPLACE(substitute(substitute(B79,"" "",""""),""..."",""""),""\(.*\)"","""")"),"28024.9532")</f>
        <v>28024.9532</v>
      </c>
      <c r="H79" s="62">
        <f t="shared" si="2"/>
        <v>28024.9532</v>
      </c>
      <c r="I79" s="60" t="str">
        <f>IFERROR(__xludf.DUMMYFUNCTION("if(regexmatch($B79,""\(""),CONCATENATE(regexreplace(REGEXREPLACE(substitute(left($B79,find(""("",$B79)-1),"" "",""""),""\d"",""0""),""[-0]*\."",""0.""), REGEXEXTRACT($B79,""\((.*)\)""),TRIM(REGEXEXTRACT($B79,""\)(.*)""))),"""")"),"0.000024")</f>
        <v>0.000024</v>
      </c>
      <c r="J79" s="62">
        <f t="shared" si="3"/>
        <v>0.000024</v>
      </c>
      <c r="K79" s="62" t="b">
        <f t="shared" si="4"/>
        <v>0</v>
      </c>
      <c r="L79" s="62" t="b">
        <f t="shared" si="5"/>
        <v>0</v>
      </c>
      <c r="M79" s="60" t="str">
        <f>IFERROR(__xludf.DUMMYFUNCTION("if(regexmatch(B79,""e(.*)$""),regexextract(B79,""e(.*)$""),"""")"),"")</f>
        <v/>
      </c>
    </row>
    <row r="80">
      <c r="A80" s="80" t="s">
        <v>1763</v>
      </c>
      <c r="B80" s="80" t="s">
        <v>5062</v>
      </c>
      <c r="C80" s="80" t="s">
        <v>4421</v>
      </c>
      <c r="D80" s="18" t="str">
        <f t="shared" si="1"/>
        <v>J T^-1</v>
      </c>
      <c r="E80" s="60" t="str">
        <f>VLOOKUP($A80,nist_names_ids!A:B,2,false)</f>
        <v>muem</v>
      </c>
      <c r="F80" s="61">
        <f>countif(Constants!A:A,E80)</f>
        <v>1</v>
      </c>
      <c r="G80" s="60" t="str">
        <f>IFERROR(__xludf.DUMMYFUNCTION("REGEXREPLACE(substitute(substitute(B80,"" "",""""),""..."",""""),""\(.*\)"","""")"),"-928.476411e-26")</f>
        <v>-928.476411e-26</v>
      </c>
      <c r="H80" s="62">
        <f t="shared" si="2"/>
        <v>0</v>
      </c>
      <c r="I80" s="60" t="str">
        <f>IFERROR(__xludf.DUMMYFUNCTION("if(regexmatch($B80,""\(""),CONCATENATE(regexreplace(REGEXREPLACE(substitute(left($B80,find(""("",$B80)-1),"" "",""""),""\d"",""0""),""[-0]*\."",""0.""), REGEXEXTRACT($B80,""\((.*)\)""),TRIM(REGEXEXTRACT($B80,""\)(.*)""))),"""")"),"0.00000080e-26")</f>
        <v>0.00000080e-26</v>
      </c>
      <c r="J80" s="62">
        <f t="shared" si="3"/>
        <v>0</v>
      </c>
      <c r="K80" s="62" t="b">
        <f t="shared" si="4"/>
        <v>0</v>
      </c>
      <c r="L80" s="62" t="b">
        <f t="shared" si="5"/>
        <v>0</v>
      </c>
      <c r="M80" s="60" t="str">
        <f>IFERROR(__xludf.DUMMYFUNCTION("if(regexmatch(B80,""e(.*)$""),regexextract(B80,""e(.*)$""),"""")"),"-26")</f>
        <v>-26</v>
      </c>
    </row>
    <row r="81">
      <c r="A81" s="80" t="s">
        <v>1773</v>
      </c>
      <c r="B81" s="80" t="s">
        <v>5064</v>
      </c>
      <c r="C81" s="80"/>
      <c r="D81" s="18" t="str">
        <f t="shared" si="1"/>
        <v/>
      </c>
      <c r="E81" s="60" t="str">
        <f>VLOOKUP($A81,nist_names_ids!A:B,2,false)</f>
        <v>ae</v>
      </c>
      <c r="F81" s="61">
        <f>countif(Constants!A:A,E81)</f>
        <v>2</v>
      </c>
      <c r="G81" s="60" t="str">
        <f>IFERROR(__xludf.DUMMYFUNCTION("REGEXREPLACE(substitute(substitute(B81,"" "",""""),""..."",""""),""\(.*\)"","""")"),"1.1596521859e-3")</f>
        <v>1.1596521859e-3</v>
      </c>
      <c r="H81" s="62">
        <f t="shared" si="2"/>
        <v>0.001159652186</v>
      </c>
      <c r="I81" s="60" t="str">
        <f>IFERROR(__xludf.DUMMYFUNCTION("if(regexmatch($B81,""\(""),CONCATENATE(regexreplace(REGEXREPLACE(substitute(left($B81,find(""("",$B81)-1),"" "",""""),""\d"",""0""),""[-0]*\."",""0.""), REGEXEXTRACT($B81,""\((.*)\)""),TRIM(REGEXEXTRACT($B81,""\)(.*)""))),"""")"),"0.000000000038e-3")</f>
        <v>0.000000000038e-3</v>
      </c>
      <c r="J81" s="62">
        <f t="shared" si="3"/>
        <v>0</v>
      </c>
      <c r="K81" s="62" t="b">
        <f t="shared" si="4"/>
        <v>0</v>
      </c>
      <c r="L81" s="62" t="b">
        <f t="shared" si="5"/>
        <v>0</v>
      </c>
      <c r="M81" s="60" t="str">
        <f>IFERROR(__xludf.DUMMYFUNCTION("if(regexmatch(B81,""e(.*)$""),regexextract(B81,""e(.*)$""),"""")"),"-3")</f>
        <v>-3</v>
      </c>
    </row>
    <row r="82">
      <c r="A82" s="80" t="s">
        <v>1789</v>
      </c>
      <c r="B82" s="80" t="s">
        <v>5066</v>
      </c>
      <c r="C82" s="80"/>
      <c r="D82" s="18" t="str">
        <f t="shared" si="1"/>
        <v/>
      </c>
      <c r="E82" s="60" t="str">
        <f>VLOOKUP($A82,nist_names_ids!A:B,2,false)</f>
        <v>muemsmub</v>
      </c>
      <c r="F82" s="61">
        <f>countif(Constants!A:A,E82)</f>
        <v>1</v>
      </c>
      <c r="G82" s="60" t="str">
        <f>IFERROR(__xludf.DUMMYFUNCTION("REGEXREPLACE(substitute(substitute(B82,"" "",""""),""..."",""""),""\(.*\)"","""")"),"-1.0011596521859")</f>
        <v>-1.0011596521859</v>
      </c>
      <c r="H82" s="62">
        <f t="shared" si="2"/>
        <v>-1.001159652</v>
      </c>
      <c r="I82" s="60" t="str">
        <f>IFERROR(__xludf.DUMMYFUNCTION("if(regexmatch($B82,""\(""),CONCATENATE(regexreplace(REGEXREPLACE(substitute(left($B82,find(""("",$B82)-1),"" "",""""),""\d"",""0""),""[-0]*\."",""0.""), REGEXEXTRACT($B82,""\((.*)\)""),TRIM(REGEXEXTRACT($B82,""\)(.*)""))),"""")"),"0.000000000000038")</f>
        <v>0.000000000000038</v>
      </c>
      <c r="J82" s="62">
        <f t="shared" si="3"/>
        <v>0</v>
      </c>
      <c r="K82" s="62" t="b">
        <f t="shared" si="4"/>
        <v>0</v>
      </c>
      <c r="L82" s="62" t="b">
        <f t="shared" si="5"/>
        <v>0</v>
      </c>
      <c r="M82" s="60" t="str">
        <f>IFERROR(__xludf.DUMMYFUNCTION("if(regexmatch(B82,""e(.*)$""),regexextract(B82,""e(.*)$""),"""")"),"")</f>
        <v/>
      </c>
    </row>
    <row r="83">
      <c r="A83" s="80" t="s">
        <v>1800</v>
      </c>
      <c r="B83" s="80" t="s">
        <v>5068</v>
      </c>
      <c r="C83" s="80"/>
      <c r="D83" s="18" t="str">
        <f t="shared" si="1"/>
        <v/>
      </c>
      <c r="E83" s="60" t="str">
        <f>VLOOKUP($A83,nist_names_ids!A:B,2,false)</f>
        <v>muemsmun</v>
      </c>
      <c r="F83" s="61">
        <f>countif(Constants!A:A,E83)</f>
        <v>1</v>
      </c>
      <c r="G83" s="60" t="str">
        <f>IFERROR(__xludf.DUMMYFUNCTION("REGEXREPLACE(substitute(substitute(B83,"" "",""""),""..."",""""),""\(.*\)"","""")"),"-1838.28197107")</f>
        <v>-1838.28197107</v>
      </c>
      <c r="H83" s="62">
        <f t="shared" si="2"/>
        <v>-1838.281971</v>
      </c>
      <c r="I83" s="60" t="str">
        <f>IFERROR(__xludf.DUMMYFUNCTION("if(regexmatch($B83,""\(""),CONCATENATE(regexreplace(REGEXREPLACE(substitute(left($B83,find(""("",$B83)-1),"" "",""""),""\d"",""0""),""[-0]*\."",""0.""), REGEXEXTRACT($B83,""\((.*)\)""),TRIM(REGEXEXTRACT($B83,""\)(.*)""))),"""")"),"0.0000000085")</f>
        <v>0.0000000085</v>
      </c>
      <c r="J83" s="62">
        <f t="shared" si="3"/>
        <v>0.0000000085</v>
      </c>
      <c r="K83" s="62" t="b">
        <f t="shared" si="4"/>
        <v>0</v>
      </c>
      <c r="L83" s="62" t="b">
        <f t="shared" si="5"/>
        <v>0</v>
      </c>
      <c r="M83" s="60" t="str">
        <f>IFERROR(__xludf.DUMMYFUNCTION("if(regexmatch(B83,""e(.*)$""),regexextract(B83,""e(.*)$""),"""")"),"")</f>
        <v/>
      </c>
    </row>
    <row r="84">
      <c r="A84" s="80" t="s">
        <v>1818</v>
      </c>
      <c r="B84" s="80" t="s">
        <v>4993</v>
      </c>
      <c r="C84" s="80" t="s">
        <v>98</v>
      </c>
      <c r="D84" s="18" t="str">
        <f t="shared" si="1"/>
        <v>kg</v>
      </c>
      <c r="E84" s="60" t="str">
        <f>VLOOKUP($A84,nist_names_ids!A:B,2,false)</f>
        <v>me</v>
      </c>
      <c r="F84" s="61">
        <f>countif(Constants!A:A,E84)</f>
        <v>1</v>
      </c>
      <c r="G84" s="60" t="str">
        <f>IFERROR(__xludf.DUMMYFUNCTION("REGEXREPLACE(substitute(substitute(B84,"" "",""""),""..."",""""),""\(.*\)"","""")"),"9.1093826e-31")</f>
        <v>9.1093826e-31</v>
      </c>
      <c r="H84" s="62">
        <f t="shared" si="2"/>
        <v>0</v>
      </c>
      <c r="I84" s="60" t="str">
        <f>IFERROR(__xludf.DUMMYFUNCTION("if(regexmatch($B84,""\(""),CONCATENATE(regexreplace(REGEXREPLACE(substitute(left($B84,find(""("",$B84)-1),"" "",""""),""\d"",""0""),""[-0]*\."",""0.""), REGEXEXTRACT($B84,""\((.*)\)""),TRIM(REGEXEXTRACT($B84,""\)(.*)""))),"""")"),"0.000000016e-31")</f>
        <v>0.000000016e-31</v>
      </c>
      <c r="J84" s="62">
        <f t="shared" si="3"/>
        <v>0</v>
      </c>
      <c r="K84" s="62" t="b">
        <f t="shared" si="4"/>
        <v>0</v>
      </c>
      <c r="L84" s="62" t="b">
        <f t="shared" si="5"/>
        <v>0</v>
      </c>
      <c r="M84" s="60" t="str">
        <f>IFERROR(__xludf.DUMMYFUNCTION("if(regexmatch(B84,""e(.*)$""),regexextract(B84,""e(.*)$""),"""")"),"-31")</f>
        <v>-31</v>
      </c>
    </row>
    <row r="85">
      <c r="A85" s="80" t="s">
        <v>1831</v>
      </c>
      <c r="B85" s="80" t="s">
        <v>5071</v>
      </c>
      <c r="C85" s="80" t="s">
        <v>173</v>
      </c>
      <c r="D85" s="18" t="str">
        <f t="shared" si="1"/>
        <v>J</v>
      </c>
      <c r="E85" s="60" t="str">
        <f>VLOOKUP($A85,nist_names_ids!A:B,2,false)</f>
        <v>mec2</v>
      </c>
      <c r="F85" s="61">
        <f>countif(Constants!A:A,E85)</f>
        <v>1</v>
      </c>
      <c r="G85" s="60" t="str">
        <f>IFERROR(__xludf.DUMMYFUNCTION("REGEXREPLACE(substitute(substitute(B85,"" "",""""),""..."",""""),""\(.*\)"","""")"),"8.1871047e-14")</f>
        <v>8.1871047e-14</v>
      </c>
      <c r="H85" s="62">
        <f t="shared" si="2"/>
        <v>0</v>
      </c>
      <c r="I85" s="60" t="str">
        <f>IFERROR(__xludf.DUMMYFUNCTION("if(regexmatch($B85,""\(""),CONCATENATE(regexreplace(REGEXREPLACE(substitute(left($B85,find(""("",$B85)-1),"" "",""""),""\d"",""0""),""[-0]*\."",""0.""), REGEXEXTRACT($B85,""\((.*)\)""),TRIM(REGEXEXTRACT($B85,""\)(.*)""))),"""")"),"0.000000014e-14")</f>
        <v>0.000000014e-14</v>
      </c>
      <c r="J85" s="62">
        <f t="shared" si="3"/>
        <v>0</v>
      </c>
      <c r="K85" s="62" t="b">
        <f t="shared" si="4"/>
        <v>0</v>
      </c>
      <c r="L85" s="62" t="b">
        <f t="shared" si="5"/>
        <v>0</v>
      </c>
      <c r="M85" s="60" t="str">
        <f>IFERROR(__xludf.DUMMYFUNCTION("if(regexmatch(B85,""e(.*)$""),regexextract(B85,""e(.*)$""),"""")"),"-14")</f>
        <v>-14</v>
      </c>
    </row>
    <row r="86">
      <c r="A86" s="80" t="s">
        <v>1845</v>
      </c>
      <c r="B86" s="80" t="s">
        <v>5072</v>
      </c>
      <c r="C86" s="80" t="s">
        <v>224</v>
      </c>
      <c r="D86" s="18" t="str">
        <f t="shared" si="1"/>
        <v>MeV</v>
      </c>
      <c r="E86" s="60" t="str">
        <f>VLOOKUP($A86,nist_names_ids!A:B,2,false)</f>
        <v>mec2mev</v>
      </c>
      <c r="F86" s="61">
        <f>countif(Constants!A:A,E86)</f>
        <v>1</v>
      </c>
      <c r="G86" s="60" t="str">
        <f>IFERROR(__xludf.DUMMYFUNCTION("REGEXREPLACE(substitute(substitute(B86,"" "",""""),""..."",""""),""\(.*\)"","""")"),"0.510998918")</f>
        <v>0.510998918</v>
      </c>
      <c r="H86" s="62">
        <f t="shared" si="2"/>
        <v>0.510998918</v>
      </c>
      <c r="I86" s="60" t="str">
        <f>IFERROR(__xludf.DUMMYFUNCTION("if(regexmatch($B86,""\(""),CONCATENATE(regexreplace(REGEXREPLACE(substitute(left($B86,find(""("",$B86)-1),"" "",""""),""\d"",""0""),""[-0]*\."",""0.""), REGEXEXTRACT($B86,""\((.*)\)""),TRIM(REGEXEXTRACT($B86,""\)(.*)""))),"""")"),"0.00000000044")</f>
        <v>0.00000000044</v>
      </c>
      <c r="J86" s="62">
        <f t="shared" si="3"/>
        <v>0.00000000044</v>
      </c>
      <c r="K86" s="62" t="b">
        <f t="shared" si="4"/>
        <v>0</v>
      </c>
      <c r="L86" s="62" t="b">
        <f t="shared" si="5"/>
        <v>0</v>
      </c>
      <c r="M86" s="60" t="str">
        <f>IFERROR(__xludf.DUMMYFUNCTION("if(regexmatch(B86,""e(.*)$""),regexextract(B86,""e(.*)$""),"""")"),"")</f>
        <v/>
      </c>
    </row>
    <row r="87">
      <c r="A87" s="80" t="s">
        <v>1853</v>
      </c>
      <c r="B87" s="80" t="s">
        <v>5074</v>
      </c>
      <c r="C87" s="80" t="s">
        <v>249</v>
      </c>
      <c r="D87" s="18" t="str">
        <f t="shared" si="1"/>
        <v>u</v>
      </c>
      <c r="E87" s="60" t="str">
        <f>VLOOKUP($A87,nist_names_ids!A:B,2,false)</f>
        <v>meu</v>
      </c>
      <c r="F87" s="61">
        <f>countif(Constants!A:A,E87)</f>
        <v>1</v>
      </c>
      <c r="G87" s="60" t="str">
        <f>IFERROR(__xludf.DUMMYFUNCTION("REGEXREPLACE(substitute(substitute(B87,"" "",""""),""..."",""""),""\(.*\)"","""")"),"5.4857990945e-4")</f>
        <v>5.4857990945e-4</v>
      </c>
      <c r="H87" s="62">
        <f t="shared" si="2"/>
        <v>0.0005485799095</v>
      </c>
      <c r="I87" s="60" t="str">
        <f>IFERROR(__xludf.DUMMYFUNCTION("if(regexmatch($B87,""\(""),CONCATENATE(regexreplace(REGEXREPLACE(substitute(left($B87,find(""("",$B87)-1),"" "",""""),""\d"",""0""),""[-0]*\."",""0.""), REGEXEXTRACT($B87,""\((.*)\)""),TRIM(REGEXEXTRACT($B87,""\)(.*)""))),"""")"),"0.000000000024e-4")</f>
        <v>0.000000000024e-4</v>
      </c>
      <c r="J87" s="62">
        <f t="shared" si="3"/>
        <v>0</v>
      </c>
      <c r="K87" s="62" t="b">
        <f t="shared" si="4"/>
        <v>0</v>
      </c>
      <c r="L87" s="62" t="b">
        <f t="shared" si="5"/>
        <v>0</v>
      </c>
      <c r="M87" s="60" t="str">
        <f>IFERROR(__xludf.DUMMYFUNCTION("if(regexmatch(B87,""e(.*)$""),regexextract(B87,""e(.*)$""),"""")"),"-4")</f>
        <v>-4</v>
      </c>
    </row>
    <row r="88">
      <c r="A88" s="80" t="s">
        <v>1860</v>
      </c>
      <c r="B88" s="80" t="s">
        <v>5076</v>
      </c>
      <c r="C88" s="80" t="s">
        <v>4309</v>
      </c>
      <c r="D88" s="18" t="str">
        <f t="shared" si="1"/>
        <v>kg mol^-1</v>
      </c>
      <c r="E88" s="60" t="str">
        <f>VLOOKUP($A88,nist_names_ids!A:B,2,false)</f>
        <v>mme</v>
      </c>
      <c r="F88" s="61">
        <f>countif(Constants!A:A,E88)</f>
        <v>1</v>
      </c>
      <c r="G88" s="60" t="str">
        <f>IFERROR(__xludf.DUMMYFUNCTION("REGEXREPLACE(substitute(substitute(B88,"" "",""""),""..."",""""),""\(.*\)"","""")"),"5.4857990945e-7")</f>
        <v>5.4857990945e-7</v>
      </c>
      <c r="H88" s="62">
        <f t="shared" si="2"/>
        <v>0.0000005485799095</v>
      </c>
      <c r="I88" s="60" t="str">
        <f>IFERROR(__xludf.DUMMYFUNCTION("if(regexmatch($B88,""\(""),CONCATENATE(regexreplace(REGEXREPLACE(substitute(left($B88,find(""("",$B88)-1),"" "",""""),""\d"",""0""),""[-0]*\."",""0.""), REGEXEXTRACT($B88,""\((.*)\)""),TRIM(REGEXEXTRACT($B88,""\)(.*)""))),"""")"),"0.000000000024e-7")</f>
        <v>0.000000000024e-7</v>
      </c>
      <c r="J88" s="62">
        <f t="shared" si="3"/>
        <v>0</v>
      </c>
      <c r="K88" s="62" t="b">
        <f t="shared" si="4"/>
        <v>0</v>
      </c>
      <c r="L88" s="62" t="b">
        <f t="shared" si="5"/>
        <v>0</v>
      </c>
      <c r="M88" s="60" t="str">
        <f>IFERROR(__xludf.DUMMYFUNCTION("if(regexmatch(B88,""e(.*)$""),regexextract(B88,""e(.*)$""),"""")"),"-7")</f>
        <v>-7</v>
      </c>
    </row>
    <row r="89">
      <c r="A89" s="80" t="s">
        <v>1900</v>
      </c>
      <c r="B89" s="80" t="s">
        <v>5078</v>
      </c>
      <c r="C89" s="80"/>
      <c r="D89" s="18" t="str">
        <f t="shared" si="1"/>
        <v/>
      </c>
      <c r="E89" s="60" t="str">
        <f>VLOOKUP($A89,nist_names_ids!A:B,2,false)</f>
        <v>mesmalpha</v>
      </c>
      <c r="F89" s="61">
        <f>countif(Constants!A:A,E89)</f>
        <v>1</v>
      </c>
      <c r="G89" s="60" t="str">
        <f>IFERROR(__xludf.DUMMYFUNCTION("REGEXREPLACE(substitute(substitute(B89,"" "",""""),""..."",""""),""\(.*\)"","""")"),"1.37093355575e-4")</f>
        <v>1.37093355575e-4</v>
      </c>
      <c r="H89" s="62">
        <f t="shared" si="2"/>
        <v>0.0001370933556</v>
      </c>
      <c r="I89" s="60" t="str">
        <f>IFERROR(__xludf.DUMMYFUNCTION("if(regexmatch($B89,""\(""),CONCATENATE(regexreplace(REGEXREPLACE(substitute(left($B89,find(""("",$B89)-1),"" "",""""),""\d"",""0""),""[-0]*\."",""0.""), REGEXEXTRACT($B89,""\((.*)\)""),TRIM(REGEXEXTRACT($B89,""\)(.*)""))),"""")"),"0.0000000000061e-4")</f>
        <v>0.0000000000061e-4</v>
      </c>
      <c r="J89" s="62">
        <f t="shared" si="3"/>
        <v>0</v>
      </c>
      <c r="K89" s="62" t="b">
        <f t="shared" si="4"/>
        <v>0</v>
      </c>
      <c r="L89" s="62" t="b">
        <f t="shared" si="5"/>
        <v>0</v>
      </c>
      <c r="M89" s="60" t="str">
        <f>IFERROR(__xludf.DUMMYFUNCTION("if(regexmatch(B89,""e(.*)$""),regexextract(B89,""e(.*)$""),"""")"),"-4")</f>
        <v>-4</v>
      </c>
    </row>
    <row r="90">
      <c r="A90" s="80" t="s">
        <v>2022</v>
      </c>
      <c r="B90" s="80" t="s">
        <v>5081</v>
      </c>
      <c r="C90" s="80"/>
      <c r="D90" s="18" t="str">
        <f t="shared" si="1"/>
        <v/>
      </c>
      <c r="E90" s="60" t="str">
        <f>VLOOKUP($A90,nist_names_ids!A:B,2,false)</f>
        <v>muemsmuhp</v>
      </c>
      <c r="F90" s="61">
        <f>countif(Constants!A:A,E90)</f>
        <v>1</v>
      </c>
      <c r="G90" s="60" t="str">
        <f>IFERROR(__xludf.DUMMYFUNCTION("REGEXREPLACE(substitute(substitute(B90,"" "",""""),""..."",""""),""\(.*\)"","""")"),"864.058255")</f>
        <v>864.058255</v>
      </c>
      <c r="H90" s="62">
        <f t="shared" si="2"/>
        <v>864.058255</v>
      </c>
      <c r="I90" s="60" t="str">
        <f>IFERROR(__xludf.DUMMYFUNCTION("if(regexmatch($B90,""\(""),CONCATENATE(regexreplace(REGEXREPLACE(substitute(left($B90,find(""("",$B90)-1),"" "",""""),""\d"",""0""),""[-0]*\."",""0.""), REGEXEXTRACT($B90,""\((.*)\)""),TRIM(REGEXEXTRACT($B90,""\)(.*)""))),"""")"),"0.00000010")</f>
        <v>0.00000010</v>
      </c>
      <c r="J90" s="62">
        <f t="shared" si="3"/>
        <v>0.0000001</v>
      </c>
      <c r="K90" s="62" t="b">
        <f t="shared" si="4"/>
        <v>0</v>
      </c>
      <c r="L90" s="62" t="b">
        <f t="shared" si="5"/>
        <v>0</v>
      </c>
      <c r="M90" s="60" t="str">
        <f>IFERROR(__xludf.DUMMYFUNCTION("if(regexmatch(B90,""e(.*)$""),regexextract(B90,""e(.*)$""),"""")"),"")</f>
        <v/>
      </c>
    </row>
    <row r="91">
      <c r="A91" s="80" t="s">
        <v>2031</v>
      </c>
      <c r="B91" s="80" t="s">
        <v>5083</v>
      </c>
      <c r="C91" s="80"/>
      <c r="D91" s="18" t="str">
        <f t="shared" si="1"/>
        <v/>
      </c>
      <c r="E91" s="60" t="str">
        <f>VLOOKUP($A91,nist_names_ids!A:B,2,false)</f>
        <v>muemsmupp</v>
      </c>
      <c r="F91" s="61">
        <f>countif(Constants!A:A,E91)</f>
        <v>1</v>
      </c>
      <c r="G91" s="60" t="str">
        <f>IFERROR(__xludf.DUMMYFUNCTION("REGEXREPLACE(substitute(substitute(B91,"" "",""""),""..."",""""),""\(.*\)"","""")"),"-658.2275956")</f>
        <v>-658.2275956</v>
      </c>
      <c r="H91" s="62">
        <f t="shared" si="2"/>
        <v>-658.2275956</v>
      </c>
      <c r="I91" s="60" t="str">
        <f>IFERROR(__xludf.DUMMYFUNCTION("if(regexmatch($B91,""\(""),CONCATENATE(regexreplace(REGEXREPLACE(substitute(left($B91,find(""("",$B91)-1),"" "",""""),""\d"",""0""),""[-0]*\."",""0.""), REGEXEXTRACT($B91,""\((.*)\)""),TRIM(REGEXEXTRACT($B91,""\)(.*)""))),"""")"),"0.000000071")</f>
        <v>0.000000071</v>
      </c>
      <c r="J91" s="62">
        <f t="shared" si="3"/>
        <v>0.000000071</v>
      </c>
      <c r="K91" s="62" t="b">
        <f t="shared" si="4"/>
        <v>0</v>
      </c>
      <c r="L91" s="62" t="b">
        <f t="shared" si="5"/>
        <v>0</v>
      </c>
      <c r="M91" s="60" t="str">
        <f>IFERROR(__xludf.DUMMYFUNCTION("if(regexmatch(B91,""e(.*)$""),regexextract(B91,""e(.*)$""),"""")"),"")</f>
        <v/>
      </c>
    </row>
    <row r="92">
      <c r="A92" s="80" t="s">
        <v>1919</v>
      </c>
      <c r="B92" s="80" t="s">
        <v>5086</v>
      </c>
      <c r="C92" s="80" t="s">
        <v>173</v>
      </c>
      <c r="D92" s="18" t="str">
        <f t="shared" si="1"/>
        <v>J</v>
      </c>
      <c r="E92" s="60" t="str">
        <f>VLOOKUP($A92,nist_names_ids!A:B,2,false)</f>
        <v>tevj</v>
      </c>
      <c r="F92" s="61">
        <f>countif(Constants!A:A,E92)</f>
        <v>1</v>
      </c>
      <c r="G92" s="60" t="str">
        <f>IFERROR(__xludf.DUMMYFUNCTION("REGEXREPLACE(substitute(substitute(B92,"" "",""""),""..."",""""),""\(.*\)"","""")"),"1.60217653e-19")</f>
        <v>1.60217653e-19</v>
      </c>
      <c r="H92" s="62">
        <f t="shared" si="2"/>
        <v>0</v>
      </c>
      <c r="I92" s="60" t="str">
        <f>IFERROR(__xludf.DUMMYFUNCTION("if(regexmatch($B92,""\(""),CONCATENATE(regexreplace(REGEXREPLACE(substitute(left($B92,find(""("",$B92)-1),"" "",""""),""\d"",""0""),""[-0]*\."",""0.""), REGEXEXTRACT($B92,""\((.*)\)""),TRIM(REGEXEXTRACT($B92,""\)(.*)""))),"""")"),"0.0000000014e-19")</f>
        <v>0.0000000014e-19</v>
      </c>
      <c r="J92" s="62">
        <f t="shared" si="3"/>
        <v>0</v>
      </c>
      <c r="K92" s="62" t="b">
        <f t="shared" si="4"/>
        <v>0</v>
      </c>
      <c r="L92" s="62" t="b">
        <f t="shared" si="5"/>
        <v>0</v>
      </c>
      <c r="M92" s="60" t="str">
        <f>IFERROR(__xludf.DUMMYFUNCTION("if(regexmatch(B92,""e(.*)$""),regexextract(B92,""e(.*)$""),"""")"),"-19")</f>
        <v>-19</v>
      </c>
    </row>
    <row r="93">
      <c r="A93" s="80" t="s">
        <v>1920</v>
      </c>
      <c r="B93" s="80" t="s">
        <v>5087</v>
      </c>
      <c r="C93" s="80" t="s">
        <v>249</v>
      </c>
      <c r="D93" s="18" t="str">
        <f t="shared" si="1"/>
        <v>u</v>
      </c>
      <c r="E93" s="60" t="str">
        <f>VLOOKUP($A93,nist_names_ids!A:B,2,false)</f>
        <v>evu</v>
      </c>
      <c r="F93" s="61">
        <f>countif(Constants!A:A,E93)</f>
        <v>1</v>
      </c>
      <c r="G93" s="60" t="str">
        <f>IFERROR(__xludf.DUMMYFUNCTION("REGEXREPLACE(substitute(substitute(B93,"" "",""""),""..."",""""),""\(.*\)"","""")"),"1.073544171e-9")</f>
        <v>1.073544171e-9</v>
      </c>
      <c r="H93" s="62">
        <f t="shared" si="2"/>
        <v>0.000000001073544171</v>
      </c>
      <c r="I93" s="60" t="str">
        <f>IFERROR(__xludf.DUMMYFUNCTION("if(regexmatch($B93,""\(""),CONCATENATE(regexreplace(REGEXREPLACE(substitute(left($B93,find(""("",$B93)-1),"" "",""""),""\d"",""0""),""[-0]*\."",""0.""), REGEXEXTRACT($B93,""\((.*)\)""),TRIM(REGEXEXTRACT($B93,""\)(.*)""))),"""")"),"0.00000000092e-9")</f>
        <v>0.00000000092e-9</v>
      </c>
      <c r="J93" s="62">
        <f t="shared" si="3"/>
        <v>0</v>
      </c>
      <c r="K93" s="62" t="b">
        <f t="shared" si="4"/>
        <v>0</v>
      </c>
      <c r="L93" s="62" t="b">
        <f t="shared" si="5"/>
        <v>0</v>
      </c>
      <c r="M93" s="60" t="str">
        <f>IFERROR(__xludf.DUMMYFUNCTION("if(regexmatch(B93,""e(.*)$""),regexextract(B93,""e(.*)$""),"""")"),"-9")</f>
        <v>-9</v>
      </c>
    </row>
    <row r="94">
      <c r="A94" s="80" t="s">
        <v>1923</v>
      </c>
      <c r="B94" s="80" t="s">
        <v>5088</v>
      </c>
      <c r="C94" s="80" t="s">
        <v>170</v>
      </c>
      <c r="D94" s="18" t="str">
        <f t="shared" si="1"/>
        <v>E_h</v>
      </c>
      <c r="E94" s="60" t="str">
        <f>VLOOKUP($A94,nist_names_ids!A:B,2,false)</f>
        <v>evhr</v>
      </c>
      <c r="F94" s="61">
        <f>countif(Constants!A:A,E94)</f>
        <v>1</v>
      </c>
      <c r="G94" s="60" t="str">
        <f>IFERROR(__xludf.DUMMYFUNCTION("REGEXREPLACE(substitute(substitute(B94,"" "",""""),""..."",""""),""\(.*\)"","""")"),"3.67493245e-2")</f>
        <v>3.67493245e-2</v>
      </c>
      <c r="H94" s="62">
        <f t="shared" si="2"/>
        <v>0.0367493245</v>
      </c>
      <c r="I94" s="60" t="str">
        <f>IFERROR(__xludf.DUMMYFUNCTION("if(regexmatch($B94,""\(""),CONCATENATE(regexreplace(REGEXREPLACE(substitute(left($B94,find(""("",$B94)-1),"" "",""""),""\d"",""0""),""[-0]*\."",""0.""), REGEXEXTRACT($B94,""\((.*)\)""),TRIM(REGEXEXTRACT($B94,""\)(.*)""))),"""")"),"0.0000000031e-2")</f>
        <v>0.0000000031e-2</v>
      </c>
      <c r="J94" s="62">
        <f t="shared" si="3"/>
        <v>0</v>
      </c>
      <c r="K94" s="62" t="b">
        <f t="shared" si="4"/>
        <v>0</v>
      </c>
      <c r="L94" s="62" t="b">
        <f t="shared" si="5"/>
        <v>0</v>
      </c>
      <c r="M94" s="60" t="str">
        <f>IFERROR(__xludf.DUMMYFUNCTION("if(regexmatch(B94,""e(.*)$""),regexextract(B94,""e(.*)$""),"""")"),"-2")</f>
        <v>-2</v>
      </c>
    </row>
    <row r="95">
      <c r="A95" s="80" t="s">
        <v>1931</v>
      </c>
      <c r="B95" s="80" t="s">
        <v>5090</v>
      </c>
      <c r="C95" s="80" t="s">
        <v>257</v>
      </c>
      <c r="D95" s="18" t="str">
        <f t="shared" si="1"/>
        <v>Hz</v>
      </c>
      <c r="E95" s="60" t="str">
        <f>VLOOKUP($A95,nist_names_ids!A:B,2,false)</f>
        <v>evhz</v>
      </c>
      <c r="F95" s="61">
        <f>countif(Constants!A:A,E95)</f>
        <v>1</v>
      </c>
      <c r="G95" s="60" t="str">
        <f>IFERROR(__xludf.DUMMYFUNCTION("REGEXREPLACE(substitute(substitute(B95,"" "",""""),""..."",""""),""\(.*\)"","""")"),"2.41798940e14")</f>
        <v>2.41798940e14</v>
      </c>
      <c r="H95" s="62">
        <f t="shared" si="2"/>
        <v>241798940000000</v>
      </c>
      <c r="I95" s="60" t="str">
        <f>IFERROR(__xludf.DUMMYFUNCTION("if(regexmatch($B95,""\(""),CONCATENATE(regexreplace(REGEXREPLACE(substitute(left($B95,find(""("",$B95)-1),"" "",""""),""\d"",""0""),""[-0]*\."",""0.""), REGEXEXTRACT($B95,""\((.*)\)""),TRIM(REGEXEXTRACT($B95,""\)(.*)""))),"""")"),"0.0000000021e14")</f>
        <v>0.0000000021e14</v>
      </c>
      <c r="J95" s="62">
        <f t="shared" si="3"/>
        <v>210000</v>
      </c>
      <c r="K95" s="62" t="b">
        <f t="shared" si="4"/>
        <v>0</v>
      </c>
      <c r="L95" s="62" t="b">
        <f t="shared" si="5"/>
        <v>0</v>
      </c>
      <c r="M95" s="60" t="str">
        <f>IFERROR(__xludf.DUMMYFUNCTION("if(regexmatch(B95,""e(.*)$""),regexextract(B95,""e(.*)$""),"""")"),"14")</f>
        <v>14</v>
      </c>
    </row>
    <row r="96">
      <c r="A96" s="80" t="s">
        <v>1934</v>
      </c>
      <c r="B96" s="80" t="s">
        <v>5091</v>
      </c>
      <c r="C96" s="80" t="s">
        <v>4359</v>
      </c>
      <c r="D96" s="18" t="str">
        <f t="shared" si="1"/>
        <v>m^-1</v>
      </c>
      <c r="E96" s="60" t="str">
        <f>VLOOKUP($A96,nist_names_ids!A:B,2,false)</f>
        <v>evminv</v>
      </c>
      <c r="F96" s="61">
        <f>countif(Constants!A:A,E96)</f>
        <v>1</v>
      </c>
      <c r="G96" s="60" t="str">
        <f>IFERROR(__xludf.DUMMYFUNCTION("REGEXREPLACE(substitute(substitute(B96,"" "",""""),""..."",""""),""\(.*\)"","""")"),"8.06554445e5")</f>
        <v>8.06554445e5</v>
      </c>
      <c r="H96" s="62">
        <f t="shared" si="2"/>
        <v>806554.445</v>
      </c>
      <c r="I96" s="60" t="str">
        <f>IFERROR(__xludf.DUMMYFUNCTION("if(regexmatch($B96,""\(""),CONCATENATE(regexreplace(REGEXREPLACE(substitute(left($B96,find(""("",$B96)-1),"" "",""""),""\d"",""0""),""[-0]*\."",""0.""), REGEXEXTRACT($B96,""\((.*)\)""),TRIM(REGEXEXTRACT($B96,""\)(.*)""))),"""")"),"0.0000000069e5")</f>
        <v>0.0000000069e5</v>
      </c>
      <c r="J96" s="62">
        <f t="shared" si="3"/>
        <v>0.00069</v>
      </c>
      <c r="K96" s="62" t="b">
        <f t="shared" si="4"/>
        <v>0</v>
      </c>
      <c r="L96" s="62" t="b">
        <f t="shared" si="5"/>
        <v>0</v>
      </c>
      <c r="M96" s="60" t="str">
        <f>IFERROR(__xludf.DUMMYFUNCTION("if(regexmatch(B96,""e(.*)$""),regexextract(B96,""e(.*)$""),"""")"),"5")</f>
        <v>5</v>
      </c>
    </row>
    <row r="97">
      <c r="A97" s="80" t="s">
        <v>1937</v>
      </c>
      <c r="B97" s="80" t="s">
        <v>5086</v>
      </c>
      <c r="C97" s="80" t="s">
        <v>173</v>
      </c>
      <c r="D97" s="18" t="str">
        <f t="shared" si="1"/>
        <v>J</v>
      </c>
      <c r="E97" s="60" t="str">
        <f>VLOOKUP($A97,nist_names_ids!A:B,2,false)</f>
        <v>evj</v>
      </c>
      <c r="F97" s="61">
        <f>countif(Constants!A:A,E97)</f>
        <v>1</v>
      </c>
      <c r="G97" s="60" t="str">
        <f>IFERROR(__xludf.DUMMYFUNCTION("REGEXREPLACE(substitute(substitute(B97,"" "",""""),""..."",""""),""\(.*\)"","""")"),"1.60217653e-19")</f>
        <v>1.60217653e-19</v>
      </c>
      <c r="H97" s="62">
        <f t="shared" si="2"/>
        <v>0</v>
      </c>
      <c r="I97" s="60" t="str">
        <f>IFERROR(__xludf.DUMMYFUNCTION("if(regexmatch($B97,""\(""),CONCATENATE(regexreplace(REGEXREPLACE(substitute(left($B97,find(""("",$B97)-1),"" "",""""),""\d"",""0""),""[-0]*\."",""0.""), REGEXEXTRACT($B97,""\((.*)\)""),TRIM(REGEXEXTRACT($B97,""\)(.*)""))),"""")"),"0.0000000014e-19")</f>
        <v>0.0000000014e-19</v>
      </c>
      <c r="J97" s="62">
        <f t="shared" si="3"/>
        <v>0</v>
      </c>
      <c r="K97" s="62" t="b">
        <f t="shared" si="4"/>
        <v>0</v>
      </c>
      <c r="L97" s="62" t="b">
        <f t="shared" si="5"/>
        <v>0</v>
      </c>
      <c r="M97" s="60" t="str">
        <f>IFERROR(__xludf.DUMMYFUNCTION("if(regexmatch(B97,""e(.*)$""),regexextract(B97,""e(.*)$""),"""")"),"-19")</f>
        <v>-19</v>
      </c>
    </row>
    <row r="98">
      <c r="A98" s="80" t="s">
        <v>1940</v>
      </c>
      <c r="B98" s="80" t="s">
        <v>4709</v>
      </c>
      <c r="C98" s="80" t="s">
        <v>345</v>
      </c>
      <c r="D98" s="18" t="str">
        <f t="shared" si="1"/>
        <v>K</v>
      </c>
      <c r="E98" s="60" t="str">
        <f>VLOOKUP($A98,nist_names_ids!A:B,2,false)</f>
        <v>evk</v>
      </c>
      <c r="F98" s="61">
        <f>countif(Constants!A:A,E98)</f>
        <v>1</v>
      </c>
      <c r="G98" s="60" t="str">
        <f>IFERROR(__xludf.DUMMYFUNCTION("REGEXREPLACE(substitute(substitute(B98,"" "",""""),""..."",""""),""\(.*\)"","""")"),"1.1604505e4")</f>
        <v>1.1604505e4</v>
      </c>
      <c r="H98" s="62">
        <f t="shared" si="2"/>
        <v>11604.505</v>
      </c>
      <c r="I98" s="60" t="str">
        <f>IFERROR(__xludf.DUMMYFUNCTION("if(regexmatch($B98,""\(""),CONCATENATE(regexreplace(REGEXREPLACE(substitute(left($B98,find(""("",$B98)-1),"" "",""""),""\d"",""0""),""[-0]*\."",""0.""), REGEXEXTRACT($B98,""\((.*)\)""),TRIM(REGEXEXTRACT($B98,""\)(.*)""))),"""")"),"0.000000020e4")</f>
        <v>0.000000020e4</v>
      </c>
      <c r="J98" s="62">
        <f t="shared" si="3"/>
        <v>0.0002</v>
      </c>
      <c r="K98" s="62" t="b">
        <f t="shared" si="4"/>
        <v>0</v>
      </c>
      <c r="L98" s="62" t="b">
        <f t="shared" si="5"/>
        <v>0</v>
      </c>
      <c r="M98" s="60" t="str">
        <f>IFERROR(__xludf.DUMMYFUNCTION("if(regexmatch(B98,""e(.*)$""),regexextract(B98,""e(.*)$""),"""")"),"4")</f>
        <v>4</v>
      </c>
    </row>
    <row r="99">
      <c r="A99" s="80" t="s">
        <v>1944</v>
      </c>
      <c r="B99" s="80" t="s">
        <v>5094</v>
      </c>
      <c r="C99" s="80" t="s">
        <v>98</v>
      </c>
      <c r="D99" s="18" t="str">
        <f t="shared" si="1"/>
        <v>kg</v>
      </c>
      <c r="E99" s="60" t="str">
        <f>VLOOKUP($A99,nist_names_ids!A:B,2,false)</f>
        <v>evkg</v>
      </c>
      <c r="F99" s="61">
        <f>countif(Constants!A:A,E99)</f>
        <v>1</v>
      </c>
      <c r="G99" s="60" t="str">
        <f>IFERROR(__xludf.DUMMYFUNCTION("REGEXREPLACE(substitute(substitute(B99,"" "",""""),""..."",""""),""\(.*\)"","""")"),"1.78266181e-36")</f>
        <v>1.78266181e-36</v>
      </c>
      <c r="H99" s="62">
        <f t="shared" si="2"/>
        <v>0</v>
      </c>
      <c r="I99" s="60" t="str">
        <f>IFERROR(__xludf.DUMMYFUNCTION("if(regexmatch($B99,""\(""),CONCATENATE(regexreplace(REGEXREPLACE(substitute(left($B99,find(""("",$B99)-1),"" "",""""),""\d"",""0""),""[-0]*\."",""0.""), REGEXEXTRACT($B99,""\((.*)\)""),TRIM(REGEXEXTRACT($B99,""\)(.*)""))),"""")"),"0.0000000015e-36")</f>
        <v>0.0000000015e-36</v>
      </c>
      <c r="J99" s="62">
        <f t="shared" si="3"/>
        <v>0</v>
      </c>
      <c r="K99" s="62" t="b">
        <f t="shared" si="4"/>
        <v>0</v>
      </c>
      <c r="L99" s="62" t="b">
        <f t="shared" si="5"/>
        <v>0</v>
      </c>
      <c r="M99" s="60" t="str">
        <f>IFERROR(__xludf.DUMMYFUNCTION("if(regexmatch(B99,""e(.*)$""),regexextract(B99,""e(.*)$""),"""")"),"-36")</f>
        <v>-36</v>
      </c>
    </row>
    <row r="100">
      <c r="A100" s="80" t="s">
        <v>2376</v>
      </c>
      <c r="B100" s="80" t="s">
        <v>5096</v>
      </c>
      <c r="C100" s="80"/>
      <c r="D100" s="18" t="str">
        <f t="shared" si="1"/>
        <v/>
      </c>
      <c r="E100" s="60" t="str">
        <f>VLOOKUP($A100,nist_names_ids!A:B,2,false)</f>
        <v>muemsmud</v>
      </c>
      <c r="F100" s="61">
        <f>countif(Constants!A:A,E100)</f>
        <v>1</v>
      </c>
      <c r="G100" s="60" t="str">
        <f>IFERROR(__xludf.DUMMYFUNCTION("REGEXREPLACE(substitute(substitute(B100,"" "",""""),""..."",""""),""\(.*\)"","""")"),"-2143.923493")</f>
        <v>-2143.923493</v>
      </c>
      <c r="H100" s="62">
        <f t="shared" si="2"/>
        <v>-2143.923493</v>
      </c>
      <c r="I100" s="60" t="str">
        <f>IFERROR(__xludf.DUMMYFUNCTION("if(regexmatch($B100,""\(""),CONCATENATE(regexreplace(REGEXREPLACE(substitute(left($B100,find(""("",$B100)-1),"" "",""""),""\d"",""0""),""[-0]*\."",""0.""), REGEXEXTRACT($B100,""\((.*)\)""),TRIM(REGEXEXTRACT($B100,""\)(.*)""))),"""")"),"0.00000023")</f>
        <v>0.00000023</v>
      </c>
      <c r="J100" s="62">
        <f t="shared" si="3"/>
        <v>0.00000023</v>
      </c>
      <c r="K100" s="62" t="b">
        <f t="shared" si="4"/>
        <v>0</v>
      </c>
      <c r="L100" s="62" t="b">
        <f t="shared" si="5"/>
        <v>0</v>
      </c>
      <c r="M100" s="60" t="str">
        <f>IFERROR(__xludf.DUMMYFUNCTION("if(regexmatch(B100,""e(.*)$""),regexextract(B100,""e(.*)$""),"""")"),"")</f>
        <v/>
      </c>
    </row>
    <row r="101">
      <c r="A101" s="80" t="s">
        <v>1806</v>
      </c>
      <c r="B101" s="80" t="s">
        <v>5098</v>
      </c>
      <c r="C101" s="80"/>
      <c r="D101" s="18" t="str">
        <f t="shared" si="1"/>
        <v/>
      </c>
      <c r="E101" s="60" t="str">
        <f>VLOOKUP($A101,nist_names_ids!A:B,2,false)</f>
        <v>mesmd</v>
      </c>
      <c r="F101" s="61">
        <f>countif(Constants!A:A,E101)</f>
        <v>1</v>
      </c>
      <c r="G101" s="60" t="str">
        <f>IFERROR(__xludf.DUMMYFUNCTION("REGEXREPLACE(substitute(substitute(B101,"" "",""""),""..."",""""),""\(.*\)"","""")"),"2.7244371095e-4")</f>
        <v>2.7244371095e-4</v>
      </c>
      <c r="H101" s="62">
        <f t="shared" si="2"/>
        <v>0.000272443711</v>
      </c>
      <c r="I101" s="60" t="str">
        <f>IFERROR(__xludf.DUMMYFUNCTION("if(regexmatch($B101,""\(""),CONCATENATE(regexreplace(REGEXREPLACE(substitute(left($B101,find(""("",$B101)-1),"" "",""""),""\d"",""0""),""[-0]*\."",""0.""), REGEXEXTRACT($B101,""\((.*)\)""),TRIM(REGEXEXTRACT($B101,""\)(.*)""))),"""")"),"0.000000000013e-4")</f>
        <v>0.000000000013e-4</v>
      </c>
      <c r="J101" s="62">
        <f t="shared" si="3"/>
        <v>0</v>
      </c>
      <c r="K101" s="62" t="b">
        <f t="shared" si="4"/>
        <v>0</v>
      </c>
      <c r="L101" s="62" t="b">
        <f t="shared" si="5"/>
        <v>0</v>
      </c>
      <c r="M101" s="60" t="str">
        <f>IFERROR(__xludf.DUMMYFUNCTION("if(regexmatch(B101,""e(.*)$""),regexextract(B101,""e(.*)$""),"""")"),"-4")</f>
        <v>-4</v>
      </c>
    </row>
    <row r="102">
      <c r="A102" s="80" t="s">
        <v>2432</v>
      </c>
      <c r="B102" s="80" t="s">
        <v>5099</v>
      </c>
      <c r="C102" s="80"/>
      <c r="D102" s="18" t="str">
        <f t="shared" si="1"/>
        <v/>
      </c>
      <c r="E102" s="60" t="str">
        <f>VLOOKUP($A102,nist_names_ids!A:B,2,false)</f>
        <v>muemsmumum</v>
      </c>
      <c r="F102" s="61">
        <f>countif(Constants!A:A,E102)</f>
        <v>1</v>
      </c>
      <c r="G102" s="60" t="str">
        <f>IFERROR(__xludf.DUMMYFUNCTION("REGEXREPLACE(substitute(substitute(B102,"" "",""""),""..."",""""),""\(.*\)"","""")"),"206.7669894")</f>
        <v>206.7669894</v>
      </c>
      <c r="H102" s="62">
        <f t="shared" si="2"/>
        <v>206.7669894</v>
      </c>
      <c r="I102" s="60" t="str">
        <f>IFERROR(__xludf.DUMMYFUNCTION("if(regexmatch($B102,""\(""),CONCATENATE(regexreplace(REGEXREPLACE(substitute(left($B102,find(""("",$B102)-1),"" "",""""),""\d"",""0""),""[-0]*\."",""0.""), REGEXEXTRACT($B102,""\((.*)\)""),TRIM(REGEXEXTRACT($B102,""\)(.*)""))),"""")"),"0.000000054")</f>
        <v>0.000000054</v>
      </c>
      <c r="J102" s="62">
        <f t="shared" si="3"/>
        <v>0.000000054</v>
      </c>
      <c r="K102" s="62" t="b">
        <f t="shared" si="4"/>
        <v>0</v>
      </c>
      <c r="L102" s="62" t="b">
        <f t="shared" si="5"/>
        <v>0</v>
      </c>
      <c r="M102" s="60" t="str">
        <f>IFERROR(__xludf.DUMMYFUNCTION("if(regexmatch(B102,""e(.*)$""),regexextract(B102,""e(.*)$""),"""")"),"")</f>
        <v/>
      </c>
    </row>
    <row r="103">
      <c r="A103" s="80" t="s">
        <v>1868</v>
      </c>
      <c r="B103" s="80" t="s">
        <v>5101</v>
      </c>
      <c r="C103" s="80"/>
      <c r="D103" s="18" t="str">
        <f t="shared" si="1"/>
        <v/>
      </c>
      <c r="E103" s="60" t="str">
        <f>VLOOKUP($A103,nist_names_ids!A:B,2,false)</f>
        <v>mesmmu</v>
      </c>
      <c r="F103" s="61">
        <f>countif(Constants!A:A,E103)</f>
        <v>1</v>
      </c>
      <c r="G103" s="60" t="str">
        <f>IFERROR(__xludf.DUMMYFUNCTION("REGEXREPLACE(substitute(substitute(B103,"" "",""""),""..."",""""),""\(.*\)"","""")"),"4.83633167e-3")</f>
        <v>4.83633167e-3</v>
      </c>
      <c r="H103" s="62">
        <f t="shared" si="2"/>
        <v>0.00483633167</v>
      </c>
      <c r="I103" s="60" t="str">
        <f>IFERROR(__xludf.DUMMYFUNCTION("if(regexmatch($B103,""\(""),CONCATENATE(regexreplace(REGEXREPLACE(substitute(left($B103,find(""("",$B103)-1),"" "",""""),""\d"",""0""),""[-0]*\."",""0.""), REGEXEXTRACT($B103,""\((.*)\)""),TRIM(REGEXEXTRACT($B103,""\)(.*)""))),"""")"),"0.0000000013e-3")</f>
        <v>0.0000000013e-3</v>
      </c>
      <c r="J103" s="62">
        <f t="shared" si="3"/>
        <v>0</v>
      </c>
      <c r="K103" s="62" t="b">
        <f t="shared" si="4"/>
        <v>0</v>
      </c>
      <c r="L103" s="62" t="b">
        <f t="shared" si="5"/>
        <v>0</v>
      </c>
      <c r="M103" s="60" t="str">
        <f>IFERROR(__xludf.DUMMYFUNCTION("if(regexmatch(B103,""e(.*)$""),regexextract(B103,""e(.*)$""),"""")"),"-3")</f>
        <v>-3</v>
      </c>
    </row>
    <row r="104">
      <c r="A104" s="80" t="s">
        <v>2498</v>
      </c>
      <c r="B104" s="80" t="s">
        <v>4776</v>
      </c>
      <c r="C104" s="80"/>
      <c r="D104" s="18" t="str">
        <f t="shared" si="1"/>
        <v/>
      </c>
      <c r="E104" s="60" t="str">
        <f>VLOOKUP($A104,nist_names_ids!A:B,2,false)</f>
        <v>muemsmunn</v>
      </c>
      <c r="F104" s="61">
        <f>countif(Constants!A:A,E104)</f>
        <v>1</v>
      </c>
      <c r="G104" s="60" t="str">
        <f>IFERROR(__xludf.DUMMYFUNCTION("REGEXREPLACE(substitute(substitute(B104,"" "",""""),""..."",""""),""\(.*\)"","""")"),"960.92050")</f>
        <v>960.92050</v>
      </c>
      <c r="H104" s="62">
        <f t="shared" si="2"/>
        <v>960.9205</v>
      </c>
      <c r="I104" s="60" t="str">
        <f>IFERROR(__xludf.DUMMYFUNCTION("if(regexmatch($B104,""\(""),CONCATENATE(regexreplace(REGEXREPLACE(substitute(left($B104,find(""("",$B104)-1),"" "",""""),""\d"",""0""),""[-0]*\."",""0.""), REGEXEXTRACT($B104,""\((.*)\)""),TRIM(REGEXEXTRACT($B104,""\)(.*)""))),"""")"),"0.0000023")</f>
        <v>0.0000023</v>
      </c>
      <c r="J104" s="62">
        <f t="shared" si="3"/>
        <v>0.0000023</v>
      </c>
      <c r="K104" s="62" t="b">
        <f t="shared" si="4"/>
        <v>0</v>
      </c>
      <c r="L104" s="62" t="b">
        <f t="shared" si="5"/>
        <v>0</v>
      </c>
      <c r="M104" s="60" t="str">
        <f>IFERROR(__xludf.DUMMYFUNCTION("if(regexmatch(B104,""e(.*)$""),regexextract(B104,""e(.*)$""),"""")"),"")</f>
        <v/>
      </c>
    </row>
    <row r="105">
      <c r="A105" s="80" t="s">
        <v>1878</v>
      </c>
      <c r="B105" s="80" t="s">
        <v>5105</v>
      </c>
      <c r="C105" s="80"/>
      <c r="D105" s="18" t="str">
        <f t="shared" si="1"/>
        <v/>
      </c>
      <c r="E105" s="60" t="str">
        <f>VLOOKUP($A105,nist_names_ids!A:B,2,false)</f>
        <v>mesmn</v>
      </c>
      <c r="F105" s="61">
        <f>countif(Constants!A:A,E105)</f>
        <v>1</v>
      </c>
      <c r="G105" s="60" t="str">
        <f>IFERROR(__xludf.DUMMYFUNCTION("REGEXREPLACE(substitute(substitute(B105,"" "",""""),""..."",""""),""\(.*\)"","""")"),"5.4386734481e-4")</f>
        <v>5.4386734481e-4</v>
      </c>
      <c r="H105" s="62">
        <f t="shared" si="2"/>
        <v>0.0005438673448</v>
      </c>
      <c r="I105" s="60" t="str">
        <f>IFERROR(__xludf.DUMMYFUNCTION("if(regexmatch($B105,""\(""),CONCATENATE(regexreplace(REGEXREPLACE(substitute(left($B105,find(""("",$B105)-1),"" "",""""),""\d"",""0""),""[-0]*\."",""0.""), REGEXEXTRACT($B105,""\((.*)\)""),TRIM(REGEXEXTRACT($B105,""\)(.*)""))),"""")"),"0.000000000038e-4")</f>
        <v>0.000000000038e-4</v>
      </c>
      <c r="J105" s="62">
        <f t="shared" si="3"/>
        <v>0</v>
      </c>
      <c r="K105" s="62" t="b">
        <f t="shared" si="4"/>
        <v>0</v>
      </c>
      <c r="L105" s="62" t="b">
        <f t="shared" si="5"/>
        <v>0</v>
      </c>
      <c r="M105" s="60" t="str">
        <f>IFERROR(__xludf.DUMMYFUNCTION("if(regexmatch(B105,""e(.*)$""),regexextract(B105,""e(.*)$""),"""")"),"-4")</f>
        <v>-4</v>
      </c>
    </row>
    <row r="106">
      <c r="A106" s="80" t="s">
        <v>2541</v>
      </c>
      <c r="B106" s="80" t="s">
        <v>5108</v>
      </c>
      <c r="C106" s="80"/>
      <c r="D106" s="18" t="str">
        <f t="shared" si="1"/>
        <v/>
      </c>
      <c r="E106" s="60" t="str">
        <f>VLOOKUP($A106,nist_names_ids!A:B,2,false)</f>
        <v>muemsmup</v>
      </c>
      <c r="F106" s="61">
        <f>countif(Constants!A:A,E106)</f>
        <v>1</v>
      </c>
      <c r="G106" s="60" t="str">
        <f>IFERROR(__xludf.DUMMYFUNCTION("REGEXREPLACE(substitute(substitute(B106,"" "",""""),""..."",""""),""\(.*\)"","""")"),"-658.2106862")</f>
        <v>-658.2106862</v>
      </c>
      <c r="H106" s="62">
        <f t="shared" si="2"/>
        <v>-658.2106862</v>
      </c>
      <c r="I106" s="60" t="str">
        <f>IFERROR(__xludf.DUMMYFUNCTION("if(regexmatch($B106,""\(""),CONCATENATE(regexreplace(REGEXREPLACE(substitute(left($B106,find(""("",$B106)-1),"" "",""""),""\d"",""0""),""[-0]*\."",""0.""), REGEXEXTRACT($B106,""\((.*)\)""),TRIM(REGEXEXTRACT($B106,""\)(.*)""))),"""")"),"0.000000066")</f>
        <v>0.000000066</v>
      </c>
      <c r="J106" s="62">
        <f t="shared" si="3"/>
        <v>0.000000066</v>
      </c>
      <c r="K106" s="62" t="b">
        <f t="shared" si="4"/>
        <v>0</v>
      </c>
      <c r="L106" s="62" t="b">
        <f t="shared" si="5"/>
        <v>0</v>
      </c>
      <c r="M106" s="60" t="str">
        <f>IFERROR(__xludf.DUMMYFUNCTION("if(regexmatch(B106,""e(.*)$""),regexextract(B106,""e(.*)$""),"""")"),"")</f>
        <v/>
      </c>
    </row>
    <row r="107">
      <c r="A107" s="80" t="s">
        <v>1886</v>
      </c>
      <c r="B107" s="80" t="s">
        <v>5109</v>
      </c>
      <c r="C107" s="80"/>
      <c r="D107" s="18" t="str">
        <f t="shared" si="1"/>
        <v/>
      </c>
      <c r="E107" s="60" t="str">
        <f>VLOOKUP($A107,nist_names_ids!A:B,2,false)</f>
        <v>mesmp</v>
      </c>
      <c r="F107" s="61">
        <f>countif(Constants!A:A,E107)</f>
        <v>1</v>
      </c>
      <c r="G107" s="60" t="str">
        <f>IFERROR(__xludf.DUMMYFUNCTION("REGEXREPLACE(substitute(substitute(B107,"" "",""""),""..."",""""),""\(.*\)"","""")"),"5.4461702173e-4")</f>
        <v>5.4461702173e-4</v>
      </c>
      <c r="H107" s="62">
        <f t="shared" si="2"/>
        <v>0.0005446170217</v>
      </c>
      <c r="I107" s="60" t="str">
        <f>IFERROR(__xludf.DUMMYFUNCTION("if(regexmatch($B107,""\(""),CONCATENATE(regexreplace(REGEXREPLACE(substitute(left($B107,find(""("",$B107)-1),"" "",""""),""\d"",""0""),""[-0]*\."",""0.""), REGEXEXTRACT($B107,""\((.*)\)""),TRIM(REGEXEXTRACT($B107,""\)(.*)""))),"""")"),"0.000000000025e-4")</f>
        <v>0.000000000025e-4</v>
      </c>
      <c r="J107" s="62">
        <f t="shared" si="3"/>
        <v>0</v>
      </c>
      <c r="K107" s="62" t="b">
        <f t="shared" si="4"/>
        <v>0</v>
      </c>
      <c r="L107" s="62" t="b">
        <f t="shared" si="5"/>
        <v>0</v>
      </c>
      <c r="M107" s="60" t="str">
        <f>IFERROR(__xludf.DUMMYFUNCTION("if(regexmatch(B107,""e(.*)$""),regexextract(B107,""e(.*)$""),"""")"),"-4")</f>
        <v>-4</v>
      </c>
    </row>
    <row r="108">
      <c r="A108" s="80" t="s">
        <v>1896</v>
      </c>
      <c r="B108" s="80" t="s">
        <v>4801</v>
      </c>
      <c r="C108" s="80"/>
      <c r="D108" s="18" t="str">
        <f t="shared" si="1"/>
        <v/>
      </c>
      <c r="E108" s="60" t="str">
        <f>VLOOKUP($A108,nist_names_ids!A:B,2,false)</f>
        <v>mesmtau</v>
      </c>
      <c r="F108" s="61">
        <f>countif(Constants!A:A,E108)</f>
        <v>1</v>
      </c>
      <c r="G108" s="60" t="str">
        <f>IFERROR(__xludf.DUMMYFUNCTION("REGEXREPLACE(substitute(substitute(B108,"" "",""""),""..."",""""),""\(.*\)"","""")"),"2.87564e-4")</f>
        <v>2.87564e-4</v>
      </c>
      <c r="H108" s="62">
        <f t="shared" si="2"/>
        <v>0.000287564</v>
      </c>
      <c r="I108" s="60" t="str">
        <f>IFERROR(__xludf.DUMMYFUNCTION("if(regexmatch($B108,""\(""),CONCATENATE(regexreplace(REGEXREPLACE(substitute(left($B108,find(""("",$B108)-1),"" "",""""),""\d"",""0""),""[-0]*\."",""0.""), REGEXEXTRACT($B108,""\((.*)\)""),TRIM(REGEXEXTRACT($B108,""\)(.*)""))),"""")"),"0.0000047e-4")</f>
        <v>0.0000047e-4</v>
      </c>
      <c r="J108" s="62">
        <f t="shared" si="3"/>
        <v>0.00000000047</v>
      </c>
      <c r="K108" s="62" t="b">
        <f t="shared" si="4"/>
        <v>0</v>
      </c>
      <c r="L108" s="62" t="b">
        <f t="shared" si="5"/>
        <v>0</v>
      </c>
      <c r="M108" s="60" t="str">
        <f>IFERROR(__xludf.DUMMYFUNCTION("if(regexmatch(B108,""e(.*)$""),regexextract(B108,""e(.*)$""),"""")"),"-4")</f>
        <v>-4</v>
      </c>
    </row>
    <row r="109">
      <c r="A109" s="80" t="s">
        <v>2603</v>
      </c>
      <c r="B109" s="80" t="s">
        <v>5090</v>
      </c>
      <c r="C109" s="80" t="s">
        <v>4803</v>
      </c>
      <c r="D109" s="18" t="str">
        <f t="shared" si="1"/>
        <v>A J^-1</v>
      </c>
      <c r="E109" s="60" t="str">
        <f>VLOOKUP($A109,nist_names_ids!A:B,2,false)</f>
        <v>eshbar</v>
      </c>
      <c r="F109" s="61">
        <f>countif(Constants!A:A,E109)</f>
        <v>1</v>
      </c>
      <c r="G109" s="60" t="str">
        <f>IFERROR(__xludf.DUMMYFUNCTION("REGEXREPLACE(substitute(substitute(B109,"" "",""""),""..."",""""),""\(.*\)"","""")"),"2.41798940e14")</f>
        <v>2.41798940e14</v>
      </c>
      <c r="H109" s="62">
        <f t="shared" si="2"/>
        <v>241798940000000</v>
      </c>
      <c r="I109" s="60" t="str">
        <f>IFERROR(__xludf.DUMMYFUNCTION("if(regexmatch($B109,""\(""),CONCATENATE(regexreplace(REGEXREPLACE(substitute(left($B109,find(""("",$B109)-1),"" "",""""),""\d"",""0""),""[-0]*\."",""0.""), REGEXEXTRACT($B109,""\((.*)\)""),TRIM(REGEXEXTRACT($B109,""\)(.*)""))),"""")"),"0.0000000021e14")</f>
        <v>0.0000000021e14</v>
      </c>
      <c r="J109" s="62">
        <f t="shared" si="3"/>
        <v>210000</v>
      </c>
      <c r="K109" s="62" t="b">
        <f t="shared" si="4"/>
        <v>0</v>
      </c>
      <c r="L109" s="62" t="b">
        <f t="shared" si="5"/>
        <v>0</v>
      </c>
      <c r="M109" s="60" t="str">
        <f>IFERROR(__xludf.DUMMYFUNCTION("if(regexmatch(B109,""e(.*)$""),regexextract(B109,""e(.*)$""),"""")"),"14")</f>
        <v>14</v>
      </c>
    </row>
    <row r="110">
      <c r="A110" s="80" t="s">
        <v>1956</v>
      </c>
      <c r="B110" s="80" t="s">
        <v>5116</v>
      </c>
      <c r="C110" s="80" t="s">
        <v>4807</v>
      </c>
      <c r="D110" s="18" t="str">
        <f t="shared" si="1"/>
        <v>C mol^-1</v>
      </c>
      <c r="E110" s="60" t="str">
        <f>VLOOKUP($A110,nist_names_ids!A:B,2,false)</f>
        <v>f</v>
      </c>
      <c r="F110" s="61">
        <f>countif(Constants!A:A,E110)</f>
        <v>1</v>
      </c>
      <c r="G110" s="60" t="str">
        <f>IFERROR(__xludf.DUMMYFUNCTION("REGEXREPLACE(substitute(substitute(B110,"" "",""""),""..."",""""),""\(.*\)"","""")"),"96485.3383")</f>
        <v>96485.3383</v>
      </c>
      <c r="H110" s="62">
        <f t="shared" si="2"/>
        <v>96485.3383</v>
      </c>
      <c r="I110" s="60" t="str">
        <f>IFERROR(__xludf.DUMMYFUNCTION("if(regexmatch($B110,""\(""),CONCATENATE(regexreplace(REGEXREPLACE(substitute(left($B110,find(""("",$B110)-1),"" "",""""),""\d"",""0""),""[-0]*\."",""0.""), REGEXEXTRACT($B110,""\((.*)\)""),TRIM(REGEXEXTRACT($B110,""\)(.*)""))),"""")"),"0.000083")</f>
        <v>0.000083</v>
      </c>
      <c r="J110" s="62">
        <f t="shared" si="3"/>
        <v>0.000083</v>
      </c>
      <c r="K110" s="62" t="b">
        <f t="shared" si="4"/>
        <v>0</v>
      </c>
      <c r="L110" s="62" t="b">
        <f t="shared" si="5"/>
        <v>0</v>
      </c>
      <c r="M110" s="60" t="str">
        <f>IFERROR(__xludf.DUMMYFUNCTION("if(regexmatch(B110,""e(.*)$""),regexextract(B110,""e(.*)$""),"""")"),"")</f>
        <v/>
      </c>
    </row>
    <row r="111">
      <c r="A111" s="80" t="s">
        <v>2239</v>
      </c>
      <c r="B111" s="80" t="s">
        <v>5119</v>
      </c>
      <c r="C111" s="80" t="s">
        <v>4812</v>
      </c>
      <c r="D111" s="18" t="str">
        <f t="shared" si="1"/>
        <v>C_90 mol^-1</v>
      </c>
      <c r="E111" s="60" t="str">
        <f>VLOOKUP($A111,nist_names_ids!A:B,2,false)</f>
        <v>f90</v>
      </c>
      <c r="F111" s="61">
        <f>countif(Constants!A:A,E111)</f>
        <v>1</v>
      </c>
      <c r="G111" s="60" t="str">
        <f>IFERROR(__xludf.DUMMYFUNCTION("REGEXREPLACE(substitute(substitute(B111,"" "",""""),""..."",""""),""\(.*\)"","""")"),"96485.336")</f>
        <v>96485.336</v>
      </c>
      <c r="H111" s="62">
        <f t="shared" si="2"/>
        <v>96485.336</v>
      </c>
      <c r="I111" s="60" t="str">
        <f>IFERROR(__xludf.DUMMYFUNCTION("if(regexmatch($B111,""\(""),CONCATENATE(regexreplace(REGEXREPLACE(substitute(left($B111,find(""("",$B111)-1),"" "",""""),""\d"",""0""),""[-0]*\."",""0.""), REGEXEXTRACT($B111,""\((.*)\)""),TRIM(REGEXEXTRACT($B111,""\)(.*)""))),"""")"),"0.00016")</f>
        <v>0.00016</v>
      </c>
      <c r="J111" s="62">
        <f t="shared" si="3"/>
        <v>0.00016</v>
      </c>
      <c r="K111" s="62" t="b">
        <f t="shared" si="4"/>
        <v>0</v>
      </c>
      <c r="L111" s="62" t="b">
        <f t="shared" si="5"/>
        <v>0</v>
      </c>
      <c r="M111" s="60" t="str">
        <f>IFERROR(__xludf.DUMMYFUNCTION("if(regexmatch(B111,""e(.*)$""),regexextract(B111,""e(.*)$""),"""")"),"")</f>
        <v/>
      </c>
    </row>
    <row r="112">
      <c r="A112" s="80" t="s">
        <v>1960</v>
      </c>
      <c r="B112" s="80" t="s">
        <v>5123</v>
      </c>
      <c r="C112" s="80" t="s">
        <v>4815</v>
      </c>
      <c r="D112" s="18" t="str">
        <f t="shared" si="1"/>
        <v>GeV^-2</v>
      </c>
      <c r="E112" s="60" t="str">
        <f>VLOOKUP($A112,nist_names_ids!A:B,2,false)</f>
        <v>gf</v>
      </c>
      <c r="F112" s="61">
        <f>countif(Constants!A:A,E112)</f>
        <v>1</v>
      </c>
      <c r="G112" s="60" t="str">
        <f>IFERROR(__xludf.DUMMYFUNCTION("REGEXREPLACE(substitute(substitute(B112,"" "",""""),""..."",""""),""\(.*\)"","""")"),"1.16639e-5")</f>
        <v>1.16639e-5</v>
      </c>
      <c r="H112" s="62">
        <f t="shared" si="2"/>
        <v>0.0000116639</v>
      </c>
      <c r="I112" s="60" t="str">
        <f>IFERROR(__xludf.DUMMYFUNCTION("if(regexmatch($B112,""\(""),CONCATENATE(regexreplace(REGEXREPLACE(substitute(left($B112,find(""("",$B112)-1),"" "",""""),""\d"",""0""),""[-0]*\."",""0.""), REGEXEXTRACT($B112,""\((.*)\)""),TRIM(REGEXEXTRACT($B112,""\)(.*)""))),"""")"),"0.000001e-5")</f>
        <v>0.000001e-5</v>
      </c>
      <c r="J112" s="62">
        <f t="shared" si="3"/>
        <v>0</v>
      </c>
      <c r="K112" s="62" t="b">
        <f t="shared" si="4"/>
        <v>0</v>
      </c>
      <c r="L112" s="62" t="b">
        <f t="shared" si="5"/>
        <v>0</v>
      </c>
      <c r="M112" s="60" t="str">
        <f>IFERROR(__xludf.DUMMYFUNCTION("if(regexmatch(B112,""e(.*)$""),regexextract(B112,""e(.*)$""),"""")"),"-5")</f>
        <v>-5</v>
      </c>
    </row>
    <row r="113">
      <c r="A113" s="80" t="s">
        <v>1966</v>
      </c>
      <c r="B113" s="80" t="s">
        <v>5125</v>
      </c>
      <c r="C113" s="80"/>
      <c r="D113" s="18" t="str">
        <f t="shared" si="1"/>
        <v/>
      </c>
      <c r="E113" s="60" t="str">
        <f>VLOOKUP($A113,nist_names_ids!A:B,2,false)</f>
        <v>alph</v>
      </c>
      <c r="F113" s="61">
        <f>countif(Constants!A:A,E113)</f>
        <v>1</v>
      </c>
      <c r="G113" s="60" t="str">
        <f>IFERROR(__xludf.DUMMYFUNCTION("REGEXREPLACE(substitute(substitute(B113,"" "",""""),""..."",""""),""\(.*\)"","""")"),"7.297352568e-3")</f>
        <v>7.297352568e-3</v>
      </c>
      <c r="H113" s="62">
        <f t="shared" si="2"/>
        <v>0.007297352568</v>
      </c>
      <c r="I113" s="60" t="str">
        <f>IFERROR(__xludf.DUMMYFUNCTION("if(regexmatch($B113,""\(""),CONCATENATE(regexreplace(REGEXREPLACE(substitute(left($B113,find(""("",$B113)-1),"" "",""""),""\d"",""0""),""[-0]*\."",""0.""), REGEXEXTRACT($B113,""\((.*)\)""),TRIM(REGEXEXTRACT($B113,""\)(.*)""))),"""")"),"0.00000000024e-3")</f>
        <v>0.00000000024e-3</v>
      </c>
      <c r="J113" s="62">
        <f t="shared" si="3"/>
        <v>0</v>
      </c>
      <c r="K113" s="62" t="b">
        <f t="shared" si="4"/>
        <v>0</v>
      </c>
      <c r="L113" s="62" t="b">
        <f t="shared" si="5"/>
        <v>0</v>
      </c>
      <c r="M113" s="60" t="str">
        <f>IFERROR(__xludf.DUMMYFUNCTION("if(regexmatch(B113,""e(.*)$""),regexextract(B113,""e(.*)$""),"""")"),"-3")</f>
        <v>-3</v>
      </c>
    </row>
    <row r="114">
      <c r="A114" s="80" t="s">
        <v>1972</v>
      </c>
      <c r="B114" s="80" t="s">
        <v>5128</v>
      </c>
      <c r="C114" s="80" t="s">
        <v>4825</v>
      </c>
      <c r="D114" s="18" t="str">
        <f t="shared" si="1"/>
        <v>W m^2</v>
      </c>
      <c r="E114" s="60" t="str">
        <f>VLOOKUP($A114,nist_names_ids!A:B,2,false)</f>
        <v>c11strc</v>
      </c>
      <c r="F114" s="61">
        <f>countif(Constants!A:A,E114)</f>
        <v>1</v>
      </c>
      <c r="G114" s="60" t="str">
        <f>IFERROR(__xludf.DUMMYFUNCTION("REGEXREPLACE(substitute(substitute(B114,"" "",""""),""..."",""""),""\(.*\)"","""")"),"3.74177138e-16")</f>
        <v>3.74177138e-16</v>
      </c>
      <c r="H114" s="62">
        <f t="shared" si="2"/>
        <v>0</v>
      </c>
      <c r="I114" s="60" t="str">
        <f>IFERROR(__xludf.DUMMYFUNCTION("if(regexmatch($B114,""\(""),CONCATENATE(regexreplace(REGEXREPLACE(substitute(left($B114,find(""("",$B114)-1),"" "",""""),""\d"",""0""),""[-0]*\."",""0.""), REGEXEXTRACT($B114,""\((.*)\)""),TRIM(REGEXEXTRACT($B114,""\)(.*)""))),"""")"),"0.0000000064e-16")</f>
        <v>0.0000000064e-16</v>
      </c>
      <c r="J114" s="62">
        <f t="shared" si="3"/>
        <v>0</v>
      </c>
      <c r="K114" s="62" t="b">
        <f t="shared" si="4"/>
        <v>0</v>
      </c>
      <c r="L114" s="62" t="b">
        <f t="shared" si="5"/>
        <v>0</v>
      </c>
      <c r="M114" s="60" t="str">
        <f>IFERROR(__xludf.DUMMYFUNCTION("if(regexmatch(B114,""e(.*)$""),regexextract(B114,""e(.*)$""),"""")"),"-16")</f>
        <v>-16</v>
      </c>
    </row>
    <row r="115">
      <c r="A115" s="80" t="s">
        <v>1979</v>
      </c>
      <c r="B115" s="80" t="s">
        <v>5130</v>
      </c>
      <c r="C115" s="80" t="s">
        <v>4830</v>
      </c>
      <c r="D115" s="18" t="str">
        <f t="shared" si="1"/>
        <v>W m^2 sr^-1</v>
      </c>
      <c r="E115" s="60" t="str">
        <f>VLOOKUP($A115,nist_names_ids!A:B,2,false)</f>
        <v>c1l</v>
      </c>
      <c r="F115" s="61">
        <f>countif(Constants!A:A,E115)</f>
        <v>1</v>
      </c>
      <c r="G115" s="60" t="str">
        <f>IFERROR(__xludf.DUMMYFUNCTION("REGEXREPLACE(substitute(substitute(B115,"" "",""""),""..."",""""),""\(.*\)"","""")"),"1.19104282e-16")</f>
        <v>1.19104282e-16</v>
      </c>
      <c r="H115" s="62">
        <f t="shared" si="2"/>
        <v>0</v>
      </c>
      <c r="I115" s="60" t="str">
        <f>IFERROR(__xludf.DUMMYFUNCTION("if(regexmatch($B115,""\(""),CONCATENATE(regexreplace(REGEXREPLACE(substitute(left($B115,find(""("",$B115)-1),"" "",""""),""\d"",""0""),""[-0]*\."",""0.""), REGEXEXTRACT($B115,""\((.*)\)""),TRIM(REGEXEXTRACT($B115,""\)(.*)""))),"""")"),"0.0000000020e-16")</f>
        <v>0.0000000020e-16</v>
      </c>
      <c r="J115" s="62">
        <f t="shared" si="3"/>
        <v>0</v>
      </c>
      <c r="K115" s="62" t="b">
        <f t="shared" si="4"/>
        <v>0</v>
      </c>
      <c r="L115" s="62" t="b">
        <f t="shared" si="5"/>
        <v>0</v>
      </c>
      <c r="M115" s="60" t="str">
        <f>IFERROR(__xludf.DUMMYFUNCTION("if(regexmatch(B115,""e(.*)$""),regexextract(B115,""e(.*)$""),"""")"),"-16")</f>
        <v>-16</v>
      </c>
    </row>
    <row r="116">
      <c r="A116" s="80" t="s">
        <v>1993</v>
      </c>
      <c r="B116" s="80" t="s">
        <v>4944</v>
      </c>
      <c r="C116" s="80" t="s">
        <v>181</v>
      </c>
      <c r="D116" s="18" t="str">
        <f t="shared" si="1"/>
        <v>eV</v>
      </c>
      <c r="E116" s="60" t="str">
        <f>VLOOKUP($A116,nist_names_ids!A:B,2,false)</f>
        <v>threv</v>
      </c>
      <c r="F116" s="61">
        <f>countif(Constants!A:A,E116)</f>
        <v>1</v>
      </c>
      <c r="G116" s="60" t="str">
        <f>IFERROR(__xludf.DUMMYFUNCTION("REGEXREPLACE(substitute(substitute(B116,"" "",""""),""..."",""""),""\(.*\)"","""")"),"27.2113845")</f>
        <v>27.2113845</v>
      </c>
      <c r="H116" s="62">
        <f t="shared" si="2"/>
        <v>27.2113845</v>
      </c>
      <c r="I116" s="60" t="str">
        <f>IFERROR(__xludf.DUMMYFUNCTION("if(regexmatch($B116,""\(""),CONCATENATE(regexreplace(REGEXREPLACE(substitute(left($B116,find(""("",$B116)-1),"" "",""""),""\d"",""0""),""[-0]*\."",""0.""), REGEXEXTRACT($B116,""\((.*)\)""),TRIM(REGEXEXTRACT($B116,""\)(.*)""))),"""")"),"0.000000023")</f>
        <v>0.000000023</v>
      </c>
      <c r="J116" s="62">
        <f t="shared" si="3"/>
        <v>0.000000023</v>
      </c>
      <c r="K116" s="62" t="b">
        <f t="shared" si="4"/>
        <v>0</v>
      </c>
      <c r="L116" s="62" t="b">
        <f t="shared" si="5"/>
        <v>0</v>
      </c>
      <c r="M116" s="60" t="str">
        <f>IFERROR(__xludf.DUMMYFUNCTION("if(regexmatch(B116,""e(.*)$""),regexextract(B116,""e(.*)$""),"""")"),"")</f>
        <v/>
      </c>
    </row>
    <row r="117">
      <c r="A117" s="80" t="s">
        <v>2684</v>
      </c>
      <c r="B117" s="80" t="s">
        <v>4949</v>
      </c>
      <c r="C117" s="80" t="s">
        <v>173</v>
      </c>
      <c r="D117" s="18" t="str">
        <f t="shared" si="1"/>
        <v>J</v>
      </c>
      <c r="E117" s="60" t="str">
        <f>VLOOKUP($A117,nist_names_ids!A:B,2,false)</f>
        <v>hr</v>
      </c>
      <c r="F117" s="61">
        <f>countif(Constants!A:A,E117)</f>
        <v>1</v>
      </c>
      <c r="G117" s="60" t="str">
        <f>IFERROR(__xludf.DUMMYFUNCTION("REGEXREPLACE(substitute(substitute(B117,"" "",""""),""..."",""""),""\(.*\)"","""")"),"4.35974417e-18")</f>
        <v>4.35974417e-18</v>
      </c>
      <c r="H117" s="62">
        <f t="shared" si="2"/>
        <v>0</v>
      </c>
      <c r="I117" s="60" t="str">
        <f>IFERROR(__xludf.DUMMYFUNCTION("if(regexmatch($B117,""\(""),CONCATENATE(regexreplace(REGEXREPLACE(substitute(left($B117,find(""("",$B117)-1),"" "",""""),""\d"",""0""),""[-0]*\."",""0.""), REGEXEXTRACT($B117,""\((.*)\)""),TRIM(REGEXEXTRACT($B117,""\)(.*)""))),"""")"),"0.0000000075e-18")</f>
        <v>0.0000000075e-18</v>
      </c>
      <c r="J117" s="62">
        <f t="shared" si="3"/>
        <v>0</v>
      </c>
      <c r="K117" s="62" t="b">
        <f t="shared" si="4"/>
        <v>0</v>
      </c>
      <c r="L117" s="62" t="b">
        <f t="shared" si="5"/>
        <v>0</v>
      </c>
      <c r="M117" s="60" t="str">
        <f>IFERROR(__xludf.DUMMYFUNCTION("if(regexmatch(B117,""e(.*)$""),regexextract(B117,""e(.*)$""),"""")"),"-18")</f>
        <v>-18</v>
      </c>
    </row>
    <row r="118">
      <c r="A118" s="80" t="s">
        <v>1984</v>
      </c>
      <c r="B118" s="80" t="s">
        <v>5136</v>
      </c>
      <c r="C118" s="80" t="s">
        <v>249</v>
      </c>
      <c r="D118" s="18" t="str">
        <f t="shared" si="1"/>
        <v>u</v>
      </c>
      <c r="E118" s="60" t="str">
        <f>VLOOKUP($A118,nist_names_ids!A:B,2,false)</f>
        <v>hru</v>
      </c>
      <c r="F118" s="61">
        <f>countif(Constants!A:A,E118)</f>
        <v>1</v>
      </c>
      <c r="G118" s="60" t="str">
        <f>IFERROR(__xludf.DUMMYFUNCTION("REGEXREPLACE(substitute(substitute(B118,"" "",""""),""..."",""""),""\(.*\)"","""")"),"2.921262323e-8")</f>
        <v>2.921262323e-8</v>
      </c>
      <c r="H118" s="62">
        <f t="shared" si="2"/>
        <v>0.00000002921262323</v>
      </c>
      <c r="I118" s="60" t="str">
        <f>IFERROR(__xludf.DUMMYFUNCTION("if(regexmatch($B118,""\(""),CONCATENATE(regexreplace(REGEXREPLACE(substitute(left($B118,find(""("",$B118)-1),"" "",""""),""\d"",""0""),""[-0]*\."",""0.""), REGEXEXTRACT($B118,""\((.*)\)""),TRIM(REGEXEXTRACT($B118,""\)(.*)""))),"""")"),"0.00000000019e-8")</f>
        <v>0.00000000019e-8</v>
      </c>
      <c r="J118" s="62">
        <f t="shared" si="3"/>
        <v>0</v>
      </c>
      <c r="K118" s="62" t="b">
        <f t="shared" si="4"/>
        <v>0</v>
      </c>
      <c r="L118" s="62" t="b">
        <f t="shared" si="5"/>
        <v>0</v>
      </c>
      <c r="M118" s="60" t="str">
        <f>IFERROR(__xludf.DUMMYFUNCTION("if(regexmatch(B118,""e(.*)$""),regexextract(B118,""e(.*)$""),"""")"),"-8")</f>
        <v>-8</v>
      </c>
    </row>
    <row r="119">
      <c r="A119" s="80" t="s">
        <v>1988</v>
      </c>
      <c r="B119" s="80" t="s">
        <v>4944</v>
      </c>
      <c r="C119" s="80" t="s">
        <v>181</v>
      </c>
      <c r="D119" s="18" t="str">
        <f t="shared" si="1"/>
        <v>eV</v>
      </c>
      <c r="E119" s="60" t="str">
        <f>VLOOKUP($A119,nist_names_ids!A:B,2,false)</f>
        <v>hrev</v>
      </c>
      <c r="F119" s="61">
        <f>countif(Constants!A:A,E119)</f>
        <v>1</v>
      </c>
      <c r="G119" s="60" t="str">
        <f>IFERROR(__xludf.DUMMYFUNCTION("REGEXREPLACE(substitute(substitute(B119,"" "",""""),""..."",""""),""\(.*\)"","""")"),"27.2113845")</f>
        <v>27.2113845</v>
      </c>
      <c r="H119" s="62">
        <f t="shared" si="2"/>
        <v>27.2113845</v>
      </c>
      <c r="I119" s="60" t="str">
        <f>IFERROR(__xludf.DUMMYFUNCTION("if(regexmatch($B119,""\(""),CONCATENATE(regexreplace(REGEXREPLACE(substitute(left($B119,find(""("",$B119)-1),"" "",""""),""\d"",""0""),""[-0]*\."",""0.""), REGEXEXTRACT($B119,""\((.*)\)""),TRIM(REGEXEXTRACT($B119,""\)(.*)""))),"""")"),"0.000000023")</f>
        <v>0.000000023</v>
      </c>
      <c r="J119" s="62">
        <f t="shared" si="3"/>
        <v>0.000000023</v>
      </c>
      <c r="K119" s="62" t="b">
        <f t="shared" si="4"/>
        <v>0</v>
      </c>
      <c r="L119" s="62" t="b">
        <f t="shared" si="5"/>
        <v>0</v>
      </c>
      <c r="M119" s="60" t="str">
        <f>IFERROR(__xludf.DUMMYFUNCTION("if(regexmatch(B119,""e(.*)$""),regexextract(B119,""e(.*)$""),"""")"),"")</f>
        <v/>
      </c>
    </row>
    <row r="120">
      <c r="A120" s="80" t="s">
        <v>1997</v>
      </c>
      <c r="B120" s="80" t="s">
        <v>5140</v>
      </c>
      <c r="C120" s="80" t="s">
        <v>257</v>
      </c>
      <c r="D120" s="18" t="str">
        <f t="shared" si="1"/>
        <v>Hz</v>
      </c>
      <c r="E120" s="60" t="str">
        <f>VLOOKUP($A120,nist_names_ids!A:B,2,false)</f>
        <v>hrhz</v>
      </c>
      <c r="F120" s="61">
        <f>countif(Constants!A:A,E120)</f>
        <v>1</v>
      </c>
      <c r="G120" s="60" t="str">
        <f>IFERROR(__xludf.DUMMYFUNCTION("REGEXREPLACE(substitute(substitute(B120,"" "",""""),""..."",""""),""\(.*\)"","""")"),"6.579683920721e15")</f>
        <v>6.579683920721e15</v>
      </c>
      <c r="H120" s="62">
        <f t="shared" si="2"/>
        <v>6.57968E+15</v>
      </c>
      <c r="I120" s="60" t="str">
        <f>IFERROR(__xludf.DUMMYFUNCTION("if(regexmatch($B120,""\(""),CONCATENATE(regexreplace(REGEXREPLACE(substitute(left($B120,find(""("",$B120)-1),"" "",""""),""\d"",""0""),""[-0]*\."",""0.""), REGEXEXTRACT($B120,""\((.*)\)""),TRIM(REGEXEXTRACT($B120,""\)(.*)""))),"""")"),"0.00000000000044e15")</f>
        <v>0.00000000000044e15</v>
      </c>
      <c r="J120" s="62">
        <f t="shared" si="3"/>
        <v>440</v>
      </c>
      <c r="K120" s="62" t="b">
        <f t="shared" si="4"/>
        <v>0</v>
      </c>
      <c r="L120" s="62" t="b">
        <f t="shared" si="5"/>
        <v>0</v>
      </c>
      <c r="M120" s="60" t="str">
        <f>IFERROR(__xludf.DUMMYFUNCTION("if(regexmatch(B120,""e(.*)$""),regexextract(B120,""e(.*)$""),"""")"),"15")</f>
        <v>15</v>
      </c>
    </row>
    <row r="121">
      <c r="A121" s="80" t="s">
        <v>2000</v>
      </c>
      <c r="B121" s="80" t="s">
        <v>4851</v>
      </c>
      <c r="C121" s="80" t="s">
        <v>4359</v>
      </c>
      <c r="D121" s="18" t="str">
        <f t="shared" si="1"/>
        <v>m^-1</v>
      </c>
      <c r="E121" s="60" t="str">
        <f>VLOOKUP($A121,nist_names_ids!A:B,2,false)</f>
        <v>hrminv</v>
      </c>
      <c r="F121" s="61">
        <f>countif(Constants!A:A,E121)</f>
        <v>1</v>
      </c>
      <c r="G121" s="60" t="str">
        <f>IFERROR(__xludf.DUMMYFUNCTION("REGEXREPLACE(substitute(substitute(B121,"" "",""""),""..."",""""),""\(.*\)"","""")"),"2.194746313705e7")</f>
        <v>2.194746313705e7</v>
      </c>
      <c r="H121" s="62">
        <f t="shared" si="2"/>
        <v>21947463.14</v>
      </c>
      <c r="I121" s="60" t="str">
        <f>IFERROR(__xludf.DUMMYFUNCTION("if(regexmatch($B121,""\(""),CONCATENATE(regexreplace(REGEXREPLACE(substitute(left($B121,find(""("",$B121)-1),"" "",""""),""\d"",""0""),""[-0]*\."",""0.""), REGEXEXTRACT($B121,""\((.*)\)""),TRIM(REGEXEXTRACT($B121,""\)(.*)""))),"""")"),"0.00000000000015e7")</f>
        <v>0.00000000000015e7</v>
      </c>
      <c r="J121" s="62">
        <f t="shared" si="3"/>
        <v>0.0000015</v>
      </c>
      <c r="K121" s="62" t="b">
        <f t="shared" si="4"/>
        <v>0</v>
      </c>
      <c r="L121" s="62" t="b">
        <f t="shared" si="5"/>
        <v>0</v>
      </c>
      <c r="M121" s="60" t="str">
        <f>IFERROR(__xludf.DUMMYFUNCTION("if(regexmatch(B121,""e(.*)$""),regexextract(B121,""e(.*)$""),"""")"),"7")</f>
        <v>7</v>
      </c>
    </row>
    <row r="122">
      <c r="A122" s="80" t="s">
        <v>2004</v>
      </c>
      <c r="B122" s="80" t="s">
        <v>4949</v>
      </c>
      <c r="C122" s="80" t="s">
        <v>173</v>
      </c>
      <c r="D122" s="18" t="str">
        <f t="shared" si="1"/>
        <v>J</v>
      </c>
      <c r="E122" s="60" t="str">
        <f>VLOOKUP($A122,nist_names_ids!A:B,2,false)</f>
        <v>hrj</v>
      </c>
      <c r="F122" s="61">
        <f>countif(Constants!A:A,E122)</f>
        <v>1</v>
      </c>
      <c r="G122" s="60" t="str">
        <f>IFERROR(__xludf.DUMMYFUNCTION("REGEXREPLACE(substitute(substitute(B122,"" "",""""),""..."",""""),""\(.*\)"","""")"),"4.35974417e-18")</f>
        <v>4.35974417e-18</v>
      </c>
      <c r="H122" s="62">
        <f t="shared" si="2"/>
        <v>0</v>
      </c>
      <c r="I122" s="60" t="str">
        <f>IFERROR(__xludf.DUMMYFUNCTION("if(regexmatch($B122,""\(""),CONCATENATE(regexreplace(REGEXREPLACE(substitute(left($B122,find(""("",$B122)-1),"" "",""""),""\d"",""0""),""[-0]*\."",""0.""), REGEXEXTRACT($B122,""\((.*)\)""),TRIM(REGEXEXTRACT($B122,""\)(.*)""))),"""")"),"0.0000000075e-18")</f>
        <v>0.0000000075e-18</v>
      </c>
      <c r="J122" s="62">
        <f t="shared" si="3"/>
        <v>0</v>
      </c>
      <c r="K122" s="62" t="b">
        <f t="shared" si="4"/>
        <v>0</v>
      </c>
      <c r="L122" s="62" t="b">
        <f t="shared" si="5"/>
        <v>0</v>
      </c>
      <c r="M122" s="60" t="str">
        <f>IFERROR(__xludf.DUMMYFUNCTION("if(regexmatch(B122,""e(.*)$""),regexextract(B122,""e(.*)$""),"""")"),"-18")</f>
        <v>-18</v>
      </c>
    </row>
    <row r="123">
      <c r="A123" s="80" t="s">
        <v>2009</v>
      </c>
      <c r="B123" s="80" t="s">
        <v>4858</v>
      </c>
      <c r="C123" s="80" t="s">
        <v>345</v>
      </c>
      <c r="D123" s="18" t="str">
        <f t="shared" si="1"/>
        <v>K</v>
      </c>
      <c r="E123" s="60" t="str">
        <f>VLOOKUP($A123,nist_names_ids!A:B,2,false)</f>
        <v>hrk</v>
      </c>
      <c r="F123" s="61">
        <f>countif(Constants!A:A,E123)</f>
        <v>1</v>
      </c>
      <c r="G123" s="60" t="str">
        <f>IFERROR(__xludf.DUMMYFUNCTION("REGEXREPLACE(substitute(substitute(B123,"" "",""""),""..."",""""),""\(.*\)"","""")"),"3.1577465e5")</f>
        <v>3.1577465e5</v>
      </c>
      <c r="H123" s="62">
        <f t="shared" si="2"/>
        <v>315774.65</v>
      </c>
      <c r="I123" s="60" t="str">
        <f>IFERROR(__xludf.DUMMYFUNCTION("if(regexmatch($B123,""\(""),CONCATENATE(regexreplace(REGEXREPLACE(substitute(left($B123,find(""("",$B123)-1),"" "",""""),""\d"",""0""),""[-0]*\."",""0.""), REGEXEXTRACT($B123,""\((.*)\)""),TRIM(REGEXEXTRACT($B123,""\)(.*)""))),"""")"),"0.000000055e5")</f>
        <v>0.000000055e5</v>
      </c>
      <c r="J123" s="62">
        <f t="shared" si="3"/>
        <v>0.0055</v>
      </c>
      <c r="K123" s="62" t="b">
        <f t="shared" si="4"/>
        <v>0</v>
      </c>
      <c r="L123" s="62" t="b">
        <f t="shared" si="5"/>
        <v>0</v>
      </c>
      <c r="M123" s="60" t="str">
        <f>IFERROR(__xludf.DUMMYFUNCTION("if(regexmatch(B123,""e(.*)$""),regexextract(B123,""e(.*)$""),"""")"),"5")</f>
        <v>5</v>
      </c>
    </row>
    <row r="124">
      <c r="A124" s="80" t="s">
        <v>2013</v>
      </c>
      <c r="B124" s="80" t="s">
        <v>5147</v>
      </c>
      <c r="C124" s="80" t="s">
        <v>98</v>
      </c>
      <c r="D124" s="18" t="str">
        <f t="shared" si="1"/>
        <v>kg</v>
      </c>
      <c r="E124" s="60" t="str">
        <f>VLOOKUP($A124,nist_names_ids!A:B,2,false)</f>
        <v>hrkg</v>
      </c>
      <c r="F124" s="61">
        <f>countif(Constants!A:A,E124)</f>
        <v>1</v>
      </c>
      <c r="G124" s="60" t="str">
        <f>IFERROR(__xludf.DUMMYFUNCTION("REGEXREPLACE(substitute(substitute(B124,"" "",""""),""..."",""""),""\(.*\)"","""")"),"4.85086960e-35")</f>
        <v>4.85086960e-35</v>
      </c>
      <c r="H124" s="62">
        <f t="shared" si="2"/>
        <v>0</v>
      </c>
      <c r="I124" s="60" t="str">
        <f>IFERROR(__xludf.DUMMYFUNCTION("if(regexmatch($B124,""\(""),CONCATENATE(regexreplace(REGEXREPLACE(substitute(left($B124,find(""("",$B124)-1),"" "",""""),""\d"",""0""),""[-0]*\."",""0.""), REGEXEXTRACT($B124,""\((.*)\)""),TRIM(REGEXEXTRACT($B124,""\)(.*)""))),"""")"),"0.0000000083e-35")</f>
        <v>0.0000000083e-35</v>
      </c>
      <c r="J124" s="62">
        <f t="shared" si="3"/>
        <v>0</v>
      </c>
      <c r="K124" s="62" t="b">
        <f t="shared" si="4"/>
        <v>0</v>
      </c>
      <c r="L124" s="62" t="b">
        <f t="shared" si="5"/>
        <v>0</v>
      </c>
      <c r="M124" s="60" t="str">
        <f>IFERROR(__xludf.DUMMYFUNCTION("if(regexmatch(B124,""e(.*)$""),regexextract(B124,""e(.*)$""),"""")"),"-35")</f>
        <v>-35</v>
      </c>
    </row>
    <row r="125">
      <c r="A125" s="80" t="s">
        <v>2052</v>
      </c>
      <c r="B125" s="80" t="s">
        <v>5151</v>
      </c>
      <c r="C125" s="80" t="s">
        <v>98</v>
      </c>
      <c r="D125" s="18" t="str">
        <f t="shared" si="1"/>
        <v>kg</v>
      </c>
      <c r="E125" s="60" t="str">
        <f>VLOOKUP($A125,nist_names_ids!A:B,2,false)</f>
        <v>mh</v>
      </c>
      <c r="F125" s="61">
        <f>countif(Constants!A:A,E125)</f>
        <v>1</v>
      </c>
      <c r="G125" s="60" t="str">
        <f>IFERROR(__xludf.DUMMYFUNCTION("REGEXREPLACE(substitute(substitute(B125,"" "",""""),""..."",""""),""\(.*\)"","""")"),"5.00641214e-27")</f>
        <v>5.00641214e-27</v>
      </c>
      <c r="H125" s="62">
        <f t="shared" si="2"/>
        <v>0</v>
      </c>
      <c r="I125" s="60" t="str">
        <f>IFERROR(__xludf.DUMMYFUNCTION("if(regexmatch($B125,""\(""),CONCATENATE(regexreplace(REGEXREPLACE(substitute(left($B125,find(""("",$B125)-1),"" "",""""),""\d"",""0""),""[-0]*\."",""0.""), REGEXEXTRACT($B125,""\((.*)\)""),TRIM(REGEXEXTRACT($B125,""\)(.*)""))),"""")"),"0.0000000086e-27")</f>
        <v>0.0000000086e-27</v>
      </c>
      <c r="J125" s="62">
        <f t="shared" si="3"/>
        <v>0</v>
      </c>
      <c r="K125" s="62" t="b">
        <f t="shared" si="4"/>
        <v>0</v>
      </c>
      <c r="L125" s="62" t="b">
        <f t="shared" si="5"/>
        <v>0</v>
      </c>
      <c r="M125" s="60" t="str">
        <f>IFERROR(__xludf.DUMMYFUNCTION("if(regexmatch(B125,""e(.*)$""),regexextract(B125,""e(.*)$""),"""")"),"-27")</f>
        <v>-27</v>
      </c>
    </row>
    <row r="126">
      <c r="A126" s="80" t="s">
        <v>2056</v>
      </c>
      <c r="B126" s="80" t="s">
        <v>5153</v>
      </c>
      <c r="C126" s="80" t="s">
        <v>173</v>
      </c>
      <c r="D126" s="18" t="str">
        <f t="shared" si="1"/>
        <v>J</v>
      </c>
      <c r="E126" s="60" t="str">
        <f>VLOOKUP($A126,nist_names_ids!A:B,2,false)</f>
        <v>mhc2</v>
      </c>
      <c r="F126" s="61">
        <f>countif(Constants!A:A,E126)</f>
        <v>1</v>
      </c>
      <c r="G126" s="60" t="str">
        <f>IFERROR(__xludf.DUMMYFUNCTION("REGEXREPLACE(substitute(substitute(B126,"" "",""""),""..."",""""),""\(.*\)"","""")"),"4.49953884e-10")</f>
        <v>4.49953884e-10</v>
      </c>
      <c r="H126" s="62">
        <f t="shared" si="2"/>
        <v>0.000000000449953884</v>
      </c>
      <c r="I126" s="60" t="str">
        <f>IFERROR(__xludf.DUMMYFUNCTION("if(regexmatch($B126,""\(""),CONCATENATE(regexreplace(REGEXREPLACE(substitute(left($B126,find(""("",$B126)-1),"" "",""""),""\d"",""0""),""[-0]*\."",""0.""), REGEXEXTRACT($B126,""\((.*)\)""),TRIM(REGEXEXTRACT($B126,""\)(.*)""))),"""")"),"0.0000000077e-10")</f>
        <v>0.0000000077e-10</v>
      </c>
      <c r="J126" s="62">
        <f t="shared" si="3"/>
        <v>0</v>
      </c>
      <c r="K126" s="62" t="b">
        <f t="shared" si="4"/>
        <v>0</v>
      </c>
      <c r="L126" s="62" t="b">
        <f t="shared" si="5"/>
        <v>0</v>
      </c>
      <c r="M126" s="60" t="str">
        <f>IFERROR(__xludf.DUMMYFUNCTION("if(regexmatch(B126,""e(.*)$""),regexextract(B126,""e(.*)$""),"""")"),"-10")</f>
        <v>-10</v>
      </c>
    </row>
    <row r="127">
      <c r="A127" s="80" t="s">
        <v>2063</v>
      </c>
      <c r="B127" s="80" t="s">
        <v>5155</v>
      </c>
      <c r="C127" s="80" t="s">
        <v>224</v>
      </c>
      <c r="D127" s="18" t="str">
        <f t="shared" si="1"/>
        <v>MeV</v>
      </c>
      <c r="E127" s="60" t="str">
        <f>VLOOKUP($A127,nist_names_ids!A:B,2,false)</f>
        <v>mhc2mev</v>
      </c>
      <c r="F127" s="61">
        <f>countif(Constants!A:A,E127)</f>
        <v>1</v>
      </c>
      <c r="G127" s="60" t="str">
        <f>IFERROR(__xludf.DUMMYFUNCTION("REGEXREPLACE(substitute(substitute(B127,"" "",""""),""..."",""""),""\(.*\)"","""")"),"2808.39142")</f>
        <v>2808.39142</v>
      </c>
      <c r="H127" s="62">
        <f t="shared" si="2"/>
        <v>2808.39142</v>
      </c>
      <c r="I127" s="60" t="str">
        <f>IFERROR(__xludf.DUMMYFUNCTION("if(regexmatch($B127,""\(""),CONCATENATE(regexreplace(REGEXREPLACE(substitute(left($B127,find(""("",$B127)-1),"" "",""""),""\d"",""0""),""[-0]*\."",""0.""), REGEXEXTRACT($B127,""\((.*)\)""),TRIM(REGEXEXTRACT($B127,""\)(.*)""))),"""")"),"0.0000024")</f>
        <v>0.0000024</v>
      </c>
      <c r="J127" s="62">
        <f t="shared" si="3"/>
        <v>0.0000024</v>
      </c>
      <c r="K127" s="62" t="b">
        <f t="shared" si="4"/>
        <v>0</v>
      </c>
      <c r="L127" s="62" t="b">
        <f t="shared" si="5"/>
        <v>0</v>
      </c>
      <c r="M127" s="60" t="str">
        <f>IFERROR(__xludf.DUMMYFUNCTION("if(regexmatch(B127,""e(.*)$""),regexextract(B127,""e(.*)$""),"""")"),"")</f>
        <v/>
      </c>
    </row>
    <row r="128">
      <c r="A128" s="80" t="s">
        <v>2067</v>
      </c>
      <c r="B128" s="80" t="s">
        <v>5159</v>
      </c>
      <c r="C128" s="80" t="s">
        <v>249</v>
      </c>
      <c r="D128" s="18" t="str">
        <f t="shared" si="1"/>
        <v>u</v>
      </c>
      <c r="E128" s="60" t="str">
        <f>VLOOKUP($A128,nist_names_ids!A:B,2,false)</f>
        <v>mhu</v>
      </c>
      <c r="F128" s="61">
        <f>countif(Constants!A:A,E128)</f>
        <v>1</v>
      </c>
      <c r="G128" s="60" t="str">
        <f>IFERROR(__xludf.DUMMYFUNCTION("REGEXREPLACE(substitute(substitute(B128,"" "",""""),""..."",""""),""\(.*\)"","""")"),"3.0149322434")</f>
        <v>3.0149322434</v>
      </c>
      <c r="H128" s="62">
        <f t="shared" si="2"/>
        <v>3.014932243</v>
      </c>
      <c r="I128" s="60" t="str">
        <f>IFERROR(__xludf.DUMMYFUNCTION("if(regexmatch($B128,""\(""),CONCATENATE(regexreplace(REGEXREPLACE(substitute(left($B128,find(""("",$B128)-1),"" "",""""),""\d"",""0""),""[-0]*\."",""0.""), REGEXEXTRACT($B128,""\((.*)\)""),TRIM(REGEXEXTRACT($B128,""\)(.*)""))),"""")"),"0.000000000058")</f>
        <v>0.000000000058</v>
      </c>
      <c r="J128" s="62">
        <f t="shared" si="3"/>
        <v>0</v>
      </c>
      <c r="K128" s="62" t="b">
        <f t="shared" si="4"/>
        <v>0</v>
      </c>
      <c r="L128" s="62" t="b">
        <f t="shared" si="5"/>
        <v>0</v>
      </c>
      <c r="M128" s="60" t="str">
        <f>IFERROR(__xludf.DUMMYFUNCTION("if(regexmatch(B128,""e(.*)$""),regexextract(B128,""e(.*)$""),"""")"),"")</f>
        <v/>
      </c>
    </row>
    <row r="129">
      <c r="A129" s="80" t="s">
        <v>2070</v>
      </c>
      <c r="B129" s="80" t="s">
        <v>5162</v>
      </c>
      <c r="C129" s="80" t="s">
        <v>4309</v>
      </c>
      <c r="D129" s="18" t="str">
        <f t="shared" si="1"/>
        <v>kg mol^-1</v>
      </c>
      <c r="E129" s="60" t="str">
        <f>VLOOKUP($A129,nist_names_ids!A:B,2,false)</f>
        <v>mmh</v>
      </c>
      <c r="F129" s="61">
        <f>countif(Constants!A:A,E129)</f>
        <v>1</v>
      </c>
      <c r="G129" s="60" t="str">
        <f>IFERROR(__xludf.DUMMYFUNCTION("REGEXREPLACE(substitute(substitute(B129,"" "",""""),""..."",""""),""\(.*\)"","""")"),"3.0149322434e-3")</f>
        <v>3.0149322434e-3</v>
      </c>
      <c r="H129" s="62">
        <f t="shared" si="2"/>
        <v>0.003014932243</v>
      </c>
      <c r="I129" s="60" t="str">
        <f>IFERROR(__xludf.DUMMYFUNCTION("if(regexmatch($B129,""\(""),CONCATENATE(regexreplace(REGEXREPLACE(substitute(left($B129,find(""("",$B129)-1),"" "",""""),""\d"",""0""),""[-0]*\."",""0.""), REGEXEXTRACT($B129,""\((.*)\)""),TRIM(REGEXEXTRACT($B129,""\)(.*)""))),"""")"),"0.000000000058e-3")</f>
        <v>0.000000000058e-3</v>
      </c>
      <c r="J129" s="62">
        <f t="shared" si="3"/>
        <v>0</v>
      </c>
      <c r="K129" s="62" t="b">
        <f t="shared" si="4"/>
        <v>0</v>
      </c>
      <c r="L129" s="62" t="b">
        <f t="shared" si="5"/>
        <v>0</v>
      </c>
      <c r="M129" s="60" t="str">
        <f>IFERROR(__xludf.DUMMYFUNCTION("if(regexmatch(B129,""e(.*)$""),regexextract(B129,""e(.*)$""),"""")"),"-3")</f>
        <v>-3</v>
      </c>
    </row>
    <row r="130">
      <c r="A130" s="80" t="s">
        <v>2018</v>
      </c>
      <c r="B130" s="80" t="s">
        <v>5165</v>
      </c>
      <c r="C130" s="80"/>
      <c r="D130" s="18" t="str">
        <f t="shared" si="1"/>
        <v/>
      </c>
      <c r="E130" s="60" t="str">
        <f>VLOOKUP($A130,nist_names_ids!A:B,2,false)</f>
        <v>mhsme</v>
      </c>
      <c r="F130" s="61">
        <f>countif(Constants!A:A,E130)</f>
        <v>1</v>
      </c>
      <c r="G130" s="60" t="str">
        <f>IFERROR(__xludf.DUMMYFUNCTION("REGEXREPLACE(substitute(substitute(B130,"" "",""""),""..."",""""),""\(.*\)"","""")"),"5495.885269")</f>
        <v>5495.885269</v>
      </c>
      <c r="H130" s="62">
        <f t="shared" si="2"/>
        <v>5495.885269</v>
      </c>
      <c r="I130" s="60" t="str">
        <f>IFERROR(__xludf.DUMMYFUNCTION("if(regexmatch($B130,""\(""),CONCATENATE(regexreplace(REGEXREPLACE(substitute(left($B130,find(""("",$B130)-1),"" "",""""),""\d"",""0""),""[-0]*\."",""0.""), REGEXEXTRACT($B130,""\((.*)\)""),TRIM(REGEXEXTRACT($B130,""\)(.*)""))),"""")"),"0.00000011")</f>
        <v>0.00000011</v>
      </c>
      <c r="J130" s="62">
        <f t="shared" si="3"/>
        <v>0.00000011</v>
      </c>
      <c r="K130" s="62" t="b">
        <f t="shared" si="4"/>
        <v>0</v>
      </c>
      <c r="L130" s="62" t="b">
        <f t="shared" si="5"/>
        <v>0</v>
      </c>
      <c r="M130" s="60" t="str">
        <f>IFERROR(__xludf.DUMMYFUNCTION("if(regexmatch(B130,""e(.*)$""),regexextract(B130,""e(.*)$""),"""")"),"")</f>
        <v/>
      </c>
    </row>
    <row r="131">
      <c r="A131" s="80" t="s">
        <v>2073</v>
      </c>
      <c r="B131" s="80" t="s">
        <v>5168</v>
      </c>
      <c r="C131" s="80"/>
      <c r="D131" s="18" t="str">
        <f t="shared" si="1"/>
        <v/>
      </c>
      <c r="E131" s="60" t="str">
        <f>VLOOKUP($A131,nist_names_ids!A:B,2,false)</f>
        <v>mhsmp</v>
      </c>
      <c r="F131" s="61">
        <f>countif(Constants!A:A,E131)</f>
        <v>1</v>
      </c>
      <c r="G131" s="60" t="str">
        <f>IFERROR(__xludf.DUMMYFUNCTION("REGEXREPLACE(substitute(substitute(B131,"" "",""""),""..."",""""),""\(.*\)"","""")"),"2.9931526671")</f>
        <v>2.9931526671</v>
      </c>
      <c r="H131" s="62">
        <f t="shared" si="2"/>
        <v>2.993152667</v>
      </c>
      <c r="I131" s="60" t="str">
        <f>IFERROR(__xludf.DUMMYFUNCTION("if(regexmatch($B131,""\(""),CONCATENATE(regexreplace(REGEXREPLACE(substitute(left($B131,find(""("",$B131)-1),"" "",""""),""\d"",""0""),""[-0]*\."",""0.""), REGEXEXTRACT($B131,""\((.*)\)""),TRIM(REGEXEXTRACT($B131,""\)(.*)""))),"""")"),"0.000000000058")</f>
        <v>0.000000000058</v>
      </c>
      <c r="J131" s="62">
        <f t="shared" si="3"/>
        <v>0</v>
      </c>
      <c r="K131" s="62" t="b">
        <f t="shared" si="4"/>
        <v>0</v>
      </c>
      <c r="L131" s="62" t="b">
        <f t="shared" si="5"/>
        <v>0</v>
      </c>
      <c r="M131" s="60" t="str">
        <f>IFERROR(__xludf.DUMMYFUNCTION("if(regexmatch(B131,""e(.*)$""),regexextract(B131,""e(.*)$""),"""")"),"")</f>
        <v/>
      </c>
    </row>
    <row r="132">
      <c r="A132" s="80" t="s">
        <v>2093</v>
      </c>
      <c r="B132" s="80" t="s">
        <v>5171</v>
      </c>
      <c r="C132" s="80" t="s">
        <v>249</v>
      </c>
      <c r="D132" s="18" t="str">
        <f t="shared" si="1"/>
        <v>u</v>
      </c>
      <c r="E132" s="60" t="str">
        <f>VLOOKUP($A132,nist_names_ids!A:B,2,false)</f>
        <v>hzu</v>
      </c>
      <c r="F132" s="61">
        <f>countif(Constants!A:A,E132)</f>
        <v>1</v>
      </c>
      <c r="G132" s="60" t="str">
        <f>IFERROR(__xludf.DUMMYFUNCTION("REGEXREPLACE(substitute(substitute(B132,"" "",""""),""..."",""""),""\(.*\)"","""")"),"4.439821667e-24")</f>
        <v>4.439821667e-24</v>
      </c>
      <c r="H132" s="62">
        <f t="shared" si="2"/>
        <v>0</v>
      </c>
      <c r="I132" s="60" t="str">
        <f>IFERROR(__xludf.DUMMYFUNCTION("if(regexmatch($B132,""\(""),CONCATENATE(regexreplace(REGEXREPLACE(substitute(left($B132,find(""("",$B132)-1),"" "",""""),""\d"",""0""),""[-0]*\."",""0.""), REGEXEXTRACT($B132,""\((.*)\)""),TRIM(REGEXEXTRACT($B132,""\)(.*)""))),"""")"),"0.00000000030e-24")</f>
        <v>0.00000000030e-24</v>
      </c>
      <c r="J132" s="62">
        <f t="shared" si="3"/>
        <v>0</v>
      </c>
      <c r="K132" s="62" t="b">
        <f t="shared" si="4"/>
        <v>0</v>
      </c>
      <c r="L132" s="62" t="b">
        <f t="shared" si="5"/>
        <v>0</v>
      </c>
      <c r="M132" s="60" t="str">
        <f>IFERROR(__xludf.DUMMYFUNCTION("if(regexmatch(B132,""e(.*)$""),regexextract(B132,""e(.*)$""),"""")"),"-24")</f>
        <v>-24</v>
      </c>
    </row>
    <row r="133">
      <c r="A133" s="80" t="s">
        <v>2099</v>
      </c>
      <c r="B133" s="80" t="s">
        <v>5173</v>
      </c>
      <c r="C133" s="80" t="s">
        <v>181</v>
      </c>
      <c r="D133" s="18" t="str">
        <f t="shared" si="1"/>
        <v>eV</v>
      </c>
      <c r="E133" s="60" t="str">
        <f>VLOOKUP($A133,nist_names_ids!A:B,2,false)</f>
        <v>hzev</v>
      </c>
      <c r="F133" s="61">
        <f>countif(Constants!A:A,E133)</f>
        <v>1</v>
      </c>
      <c r="G133" s="60" t="str">
        <f>IFERROR(__xludf.DUMMYFUNCTION("REGEXREPLACE(substitute(substitute(B133,"" "",""""),""..."",""""),""\(.*\)"","""")"),"4.13566743e-15")</f>
        <v>4.13566743e-15</v>
      </c>
      <c r="H133" s="62">
        <f t="shared" si="2"/>
        <v>0</v>
      </c>
      <c r="I133" s="60" t="str">
        <f>IFERROR(__xludf.DUMMYFUNCTION("if(regexmatch($B133,""\(""),CONCATENATE(regexreplace(REGEXREPLACE(substitute(left($B133,find(""("",$B133)-1),"" "",""""),""\d"",""0""),""[-0]*\."",""0.""), REGEXEXTRACT($B133,""\((.*)\)""),TRIM(REGEXEXTRACT($B133,""\)(.*)""))),"""")"),"0.0000000035e-15")</f>
        <v>0.0000000035e-15</v>
      </c>
      <c r="J133" s="62">
        <f t="shared" si="3"/>
        <v>0</v>
      </c>
      <c r="K133" s="62" t="b">
        <f t="shared" si="4"/>
        <v>0</v>
      </c>
      <c r="L133" s="62" t="b">
        <f t="shared" si="5"/>
        <v>0</v>
      </c>
      <c r="M133" s="60" t="str">
        <f>IFERROR(__xludf.DUMMYFUNCTION("if(regexmatch(B133,""e(.*)$""),regexextract(B133,""e(.*)$""),"""")"),"-15")</f>
        <v>-15</v>
      </c>
    </row>
    <row r="134">
      <c r="A134" s="80" t="s">
        <v>2103</v>
      </c>
      <c r="B134" s="80" t="s">
        <v>4911</v>
      </c>
      <c r="C134" s="80" t="s">
        <v>170</v>
      </c>
      <c r="D134" s="18" t="str">
        <f t="shared" si="1"/>
        <v>E_h</v>
      </c>
      <c r="E134" s="60" t="str">
        <f>VLOOKUP($A134,nist_names_ids!A:B,2,false)</f>
        <v>hzhr</v>
      </c>
      <c r="F134" s="61">
        <f>countif(Constants!A:A,E134)</f>
        <v>1</v>
      </c>
      <c r="G134" s="60" t="str">
        <f>IFERROR(__xludf.DUMMYFUNCTION("REGEXREPLACE(substitute(substitute(B134,"" "",""""),""..."",""""),""\(.*\)"","""")"),"1.519829846006e-16")</f>
        <v>1.519829846006e-16</v>
      </c>
      <c r="H134" s="62">
        <f t="shared" si="2"/>
        <v>0</v>
      </c>
      <c r="I134" s="60" t="str">
        <f>IFERROR(__xludf.DUMMYFUNCTION("if(regexmatch($B134,""\(""),CONCATENATE(regexreplace(REGEXREPLACE(substitute(left($B134,find(""("",$B134)-1),"" "",""""),""\d"",""0""),""[-0]*\."",""0.""), REGEXEXTRACT($B134,""\((.*)\)""),TRIM(REGEXEXTRACT($B134,""\)(.*)""))),"""")"),"0.00000000000010e-16")</f>
        <v>0.00000000000010e-16</v>
      </c>
      <c r="J134" s="62">
        <f t="shared" si="3"/>
        <v>0</v>
      </c>
      <c r="K134" s="62" t="b">
        <f t="shared" si="4"/>
        <v>0</v>
      </c>
      <c r="L134" s="62" t="b">
        <f t="shared" si="5"/>
        <v>0</v>
      </c>
      <c r="M134" s="60" t="str">
        <f>IFERROR(__xludf.DUMMYFUNCTION("if(regexmatch(B134,""e(.*)$""),regexextract(B134,""e(.*)$""),"""")"),"-16")</f>
        <v>-16</v>
      </c>
    </row>
    <row r="135">
      <c r="A135" s="80" t="s">
        <v>2108</v>
      </c>
      <c r="B135" s="80" t="s">
        <v>4914</v>
      </c>
      <c r="C135" s="80" t="s">
        <v>4359</v>
      </c>
      <c r="D135" s="18" t="str">
        <f t="shared" si="1"/>
        <v>m^-1</v>
      </c>
      <c r="E135" s="60" t="str">
        <f>VLOOKUP($A135,nist_names_ids!A:B,2,false)</f>
        <v>hzminv</v>
      </c>
      <c r="F135" s="61">
        <f>countif(Constants!A:A,E135)</f>
        <v>1</v>
      </c>
      <c r="G135" s="60" t="str">
        <f>IFERROR(__xludf.DUMMYFUNCTION("REGEXREPLACE(substitute(substitute(B135,"" "",""""),""..."",""""),""\(.*\)"","""")"),"3.335640951e-9")</f>
        <v>3.335640951e-9</v>
      </c>
      <c r="H135" s="62">
        <f t="shared" si="2"/>
        <v>0.000000003335640951</v>
      </c>
      <c r="I135" s="60" t="str">
        <f>IFERROR(__xludf.DUMMYFUNCTION("if(regexmatch($B135,""\(""),CONCATENATE(regexreplace(REGEXREPLACE(substitute(left($B135,find(""("",$B135)-1),"" "",""""),""\d"",""0""),""[-0]*\."",""0.""), REGEXEXTRACT($B135,""\((.*)\)""),TRIM(REGEXEXTRACT($B135,""\)(.*)""))),"""")"),"")</f>
        <v/>
      </c>
      <c r="J135" s="62" t="str">
        <f t="shared" si="3"/>
        <v/>
      </c>
      <c r="K135" s="62" t="b">
        <f t="shared" si="4"/>
        <v>0</v>
      </c>
      <c r="L135" s="62" t="b">
        <f t="shared" si="5"/>
        <v>1</v>
      </c>
      <c r="M135" s="60" t="str">
        <f>IFERROR(__xludf.DUMMYFUNCTION("if(regexmatch(B135,""e(.*)$""),regexextract(B135,""e(.*)$""),"""")"),"-9")</f>
        <v>-9</v>
      </c>
    </row>
    <row r="136">
      <c r="A136" s="80" t="s">
        <v>2110</v>
      </c>
      <c r="B136" s="80" t="s">
        <v>5178</v>
      </c>
      <c r="C136" s="80" t="s">
        <v>173</v>
      </c>
      <c r="D136" s="18" t="str">
        <f t="shared" si="1"/>
        <v>J</v>
      </c>
      <c r="E136" s="60" t="str">
        <f>VLOOKUP($A136,nist_names_ids!A:B,2,false)</f>
        <v>hzj</v>
      </c>
      <c r="F136" s="61">
        <f>countif(Constants!A:A,E136)</f>
        <v>1</v>
      </c>
      <c r="G136" s="60" t="str">
        <f>IFERROR(__xludf.DUMMYFUNCTION("REGEXREPLACE(substitute(substitute(B136,"" "",""""),""..."",""""),""\(.*\)"","""")"),"6.6260693e-34")</f>
        <v>6.6260693e-34</v>
      </c>
      <c r="H136" s="62">
        <f t="shared" si="2"/>
        <v>0</v>
      </c>
      <c r="I136" s="60" t="str">
        <f>IFERROR(__xludf.DUMMYFUNCTION("if(regexmatch($B136,""\(""),CONCATENATE(regexreplace(REGEXREPLACE(substitute(left($B136,find(""("",$B136)-1),"" "",""""),""\d"",""0""),""[-0]*\."",""0.""), REGEXEXTRACT($B136,""\((.*)\)""),TRIM(REGEXEXTRACT($B136,""\)(.*)""))),"""")"),"0.000000011e-34")</f>
        <v>0.000000011e-34</v>
      </c>
      <c r="J136" s="62">
        <f t="shared" si="3"/>
        <v>0</v>
      </c>
      <c r="K136" s="62" t="b">
        <f t="shared" si="4"/>
        <v>0</v>
      </c>
      <c r="L136" s="62" t="b">
        <f t="shared" si="5"/>
        <v>0</v>
      </c>
      <c r="M136" s="60" t="str">
        <f>IFERROR(__xludf.DUMMYFUNCTION("if(regexmatch(B136,""e(.*)$""),regexextract(B136,""e(.*)$""),"""")"),"-34")</f>
        <v>-34</v>
      </c>
    </row>
    <row r="137">
      <c r="A137" s="80" t="s">
        <v>2116</v>
      </c>
      <c r="B137" s="80" t="s">
        <v>4936</v>
      </c>
      <c r="C137" s="80" t="s">
        <v>345</v>
      </c>
      <c r="D137" s="18" t="str">
        <f t="shared" si="1"/>
        <v>K</v>
      </c>
      <c r="E137" s="60" t="str">
        <f>VLOOKUP($A137,nist_names_ids!A:B,2,false)</f>
        <v>hzk</v>
      </c>
      <c r="F137" s="61">
        <f>countif(Constants!A:A,E137)</f>
        <v>1</v>
      </c>
      <c r="G137" s="60" t="str">
        <f>IFERROR(__xludf.DUMMYFUNCTION("REGEXREPLACE(substitute(substitute(B137,"" "",""""),""..."",""""),""\(.*\)"","""")"),"4.7992374e-11")</f>
        <v>4.7992374e-11</v>
      </c>
      <c r="H137" s="62">
        <f t="shared" si="2"/>
        <v>0</v>
      </c>
      <c r="I137" s="60" t="str">
        <f>IFERROR(__xludf.DUMMYFUNCTION("if(regexmatch($B137,""\(""),CONCATENATE(regexreplace(REGEXREPLACE(substitute(left($B137,find(""("",$B137)-1),"" "",""""),""\d"",""0""),""[-0]*\."",""0.""), REGEXEXTRACT($B137,""\((.*)\)""),TRIM(REGEXEXTRACT($B137,""\)(.*)""))),"""")"),"0.000000084e-11")</f>
        <v>0.000000084e-11</v>
      </c>
      <c r="J137" s="62">
        <f t="shared" si="3"/>
        <v>0</v>
      </c>
      <c r="K137" s="62" t="b">
        <f t="shared" si="4"/>
        <v>0</v>
      </c>
      <c r="L137" s="62" t="b">
        <f t="shared" si="5"/>
        <v>0</v>
      </c>
      <c r="M137" s="60" t="str">
        <f>IFERROR(__xludf.DUMMYFUNCTION("if(regexmatch(B137,""e(.*)$""),regexextract(B137,""e(.*)$""),"""")"),"-11")</f>
        <v>-11</v>
      </c>
    </row>
    <row r="138">
      <c r="A138" s="80" t="s">
        <v>2119</v>
      </c>
      <c r="B138" s="80" t="s">
        <v>5179</v>
      </c>
      <c r="C138" s="80" t="s">
        <v>98</v>
      </c>
      <c r="D138" s="18" t="str">
        <f t="shared" si="1"/>
        <v>kg</v>
      </c>
      <c r="E138" s="60" t="str">
        <f>VLOOKUP($A138,nist_names_ids!A:B,2,false)</f>
        <v>hzkg</v>
      </c>
      <c r="F138" s="61">
        <f>countif(Constants!A:A,E138)</f>
        <v>1</v>
      </c>
      <c r="G138" s="60" t="str">
        <f>IFERROR(__xludf.DUMMYFUNCTION("REGEXREPLACE(substitute(substitute(B138,"" "",""""),""..."",""""),""\(.*\)"","""")"),"7.3724964e-51")</f>
        <v>7.3724964e-51</v>
      </c>
      <c r="H138" s="62">
        <f t="shared" si="2"/>
        <v>0</v>
      </c>
      <c r="I138" s="60" t="str">
        <f>IFERROR(__xludf.DUMMYFUNCTION("if(regexmatch($B138,""\(""),CONCATENATE(regexreplace(REGEXREPLACE(substitute(left($B138,find(""("",$B138)-1),"" "",""""),""\d"",""0""),""[-0]*\."",""0.""), REGEXEXTRACT($B138,""\((.*)\)""),TRIM(REGEXEXTRACT($B138,""\)(.*)""))),"""")"),"0.000000013e-51")</f>
        <v>0.000000013e-51</v>
      </c>
      <c r="J138" s="62">
        <f t="shared" si="3"/>
        <v>0</v>
      </c>
      <c r="K138" s="62" t="b">
        <f t="shared" si="4"/>
        <v>0</v>
      </c>
      <c r="L138" s="62" t="b">
        <f t="shared" si="5"/>
        <v>0</v>
      </c>
      <c r="M138" s="60" t="str">
        <f>IFERROR(__xludf.DUMMYFUNCTION("if(regexmatch(B138,""e(.*)$""),regexextract(B138,""e(.*)$""),"""")"),"-51")</f>
        <v>-51</v>
      </c>
    </row>
    <row r="139">
      <c r="A139" s="80" t="s">
        <v>2126</v>
      </c>
      <c r="B139" s="80" t="s">
        <v>5181</v>
      </c>
      <c r="C139" s="80"/>
      <c r="D139" s="18" t="str">
        <f t="shared" si="1"/>
        <v/>
      </c>
      <c r="E139" s="60" t="str">
        <f>VLOOKUP($A139,nist_names_ids!A:B,2,false)</f>
        <v>alphinv</v>
      </c>
      <c r="F139" s="61">
        <f>countif(Constants!A:A,E139)</f>
        <v>1</v>
      </c>
      <c r="G139" s="60" t="str">
        <f>IFERROR(__xludf.DUMMYFUNCTION("REGEXREPLACE(substitute(substitute(B139,"" "",""""),""..."",""""),""\(.*\)"","""")"),"137.03599911")</f>
        <v>137.03599911</v>
      </c>
      <c r="H139" s="62">
        <f t="shared" si="2"/>
        <v>137.0359991</v>
      </c>
      <c r="I139" s="60" t="str">
        <f>IFERROR(__xludf.DUMMYFUNCTION("if(regexmatch($B139,""\(""),CONCATENATE(regexreplace(REGEXREPLACE(substitute(left($B139,find(""("",$B139)-1),"" "",""""),""\d"",""0""),""[-0]*\."",""0.""), REGEXEXTRACT($B139,""\((.*)\)""),TRIM(REGEXEXTRACT($B139,""\)(.*)""))),"""")"),"0.0000000046")</f>
        <v>0.0000000046</v>
      </c>
      <c r="J139" s="62">
        <f t="shared" si="3"/>
        <v>0.0000000046</v>
      </c>
      <c r="K139" s="62" t="b">
        <f t="shared" si="4"/>
        <v>0</v>
      </c>
      <c r="L139" s="62" t="b">
        <f t="shared" si="5"/>
        <v>0</v>
      </c>
      <c r="M139" s="60" t="str">
        <f>IFERROR(__xludf.DUMMYFUNCTION("if(regexmatch(B139,""e(.*)$""),regexextract(B139,""e(.*)$""),"""")"),"")</f>
        <v/>
      </c>
    </row>
    <row r="140">
      <c r="A140" s="80" t="s">
        <v>2130</v>
      </c>
      <c r="B140" s="80" t="s">
        <v>5183</v>
      </c>
      <c r="C140" s="80" t="s">
        <v>249</v>
      </c>
      <c r="D140" s="18" t="str">
        <f t="shared" si="1"/>
        <v>u</v>
      </c>
      <c r="E140" s="60" t="str">
        <f>VLOOKUP($A140,nist_names_ids!A:B,2,false)</f>
        <v>minvu</v>
      </c>
      <c r="F140" s="61">
        <f>countif(Constants!A:A,E140)</f>
        <v>1</v>
      </c>
      <c r="G140" s="60" t="str">
        <f>IFERROR(__xludf.DUMMYFUNCTION("REGEXREPLACE(substitute(substitute(B140,"" "",""""),""..."",""""),""\(.*\)"","""")"),"1.3310250506e-15")</f>
        <v>1.3310250506e-15</v>
      </c>
      <c r="H140" s="62">
        <f t="shared" si="2"/>
        <v>0</v>
      </c>
      <c r="I140" s="60" t="str">
        <f>IFERROR(__xludf.DUMMYFUNCTION("if(regexmatch($B140,""\(""),CONCATENATE(regexreplace(REGEXREPLACE(substitute(left($B140,find(""("",$B140)-1),"" "",""""),""\d"",""0""),""[-0]*\."",""0.""), REGEXEXTRACT($B140,""\((.*)\)""),TRIM(REGEXEXTRACT($B140,""\)(.*)""))),"""")"),"0.000000000089e-15")</f>
        <v>0.000000000089e-15</v>
      </c>
      <c r="J140" s="62">
        <f t="shared" si="3"/>
        <v>0</v>
      </c>
      <c r="K140" s="62" t="b">
        <f t="shared" si="4"/>
        <v>0</v>
      </c>
      <c r="L140" s="62" t="b">
        <f t="shared" si="5"/>
        <v>0</v>
      </c>
      <c r="M140" s="60" t="str">
        <f>IFERROR(__xludf.DUMMYFUNCTION("if(regexmatch(B140,""e(.*)$""),regexextract(B140,""e(.*)$""),"""")"),"-15")</f>
        <v>-15</v>
      </c>
    </row>
    <row r="141">
      <c r="A141" s="80" t="s">
        <v>2134</v>
      </c>
      <c r="B141" s="80" t="s">
        <v>5185</v>
      </c>
      <c r="C141" s="80" t="s">
        <v>181</v>
      </c>
      <c r="D141" s="18" t="str">
        <f t="shared" si="1"/>
        <v>eV</v>
      </c>
      <c r="E141" s="60" t="str">
        <f>VLOOKUP($A141,nist_names_ids!A:B,2,false)</f>
        <v>minvev</v>
      </c>
      <c r="F141" s="61">
        <f>countif(Constants!A:A,E141)</f>
        <v>1</v>
      </c>
      <c r="G141" s="60" t="str">
        <f>IFERROR(__xludf.DUMMYFUNCTION("REGEXREPLACE(substitute(substitute(B141,"" "",""""),""..."",""""),""\(.*\)"","""")"),"1.23984191e-6")</f>
        <v>1.23984191e-6</v>
      </c>
      <c r="H141" s="62">
        <f t="shared" si="2"/>
        <v>0.00000123984191</v>
      </c>
      <c r="I141" s="60" t="str">
        <f>IFERROR(__xludf.DUMMYFUNCTION("if(regexmatch($B141,""\(""),CONCATENATE(regexreplace(REGEXREPLACE(substitute(left($B141,find(""("",$B141)-1),"" "",""""),""\d"",""0""),""[-0]*\."",""0.""), REGEXEXTRACT($B141,""\((.*)\)""),TRIM(REGEXEXTRACT($B141,""\)(.*)""))),"""")"),"0.0000000011e-6")</f>
        <v>0.0000000011e-6</v>
      </c>
      <c r="J141" s="62">
        <f t="shared" si="3"/>
        <v>0</v>
      </c>
      <c r="K141" s="62" t="b">
        <f t="shared" si="4"/>
        <v>0</v>
      </c>
      <c r="L141" s="62" t="b">
        <f t="shared" si="5"/>
        <v>0</v>
      </c>
      <c r="M141" s="60" t="str">
        <f>IFERROR(__xludf.DUMMYFUNCTION("if(regexmatch(B141,""e(.*)$""),regexextract(B141,""e(.*)$""),"""")"),"-6")</f>
        <v>-6</v>
      </c>
    </row>
    <row r="142">
      <c r="A142" s="80" t="s">
        <v>2137</v>
      </c>
      <c r="B142" s="80" t="s">
        <v>4960</v>
      </c>
      <c r="C142" s="80" t="s">
        <v>170</v>
      </c>
      <c r="D142" s="18" t="str">
        <f t="shared" si="1"/>
        <v>E_h</v>
      </c>
      <c r="E142" s="60" t="str">
        <f>VLOOKUP($A142,nist_names_ids!A:B,2,false)</f>
        <v>minvhr</v>
      </c>
      <c r="F142" s="61">
        <f>countif(Constants!A:A,E142)</f>
        <v>1</v>
      </c>
      <c r="G142" s="60" t="str">
        <f>IFERROR(__xludf.DUMMYFUNCTION("REGEXREPLACE(substitute(substitute(B142,"" "",""""),""..."",""""),""\(.*\)"","""")"),"4.556335252760e-8")</f>
        <v>4.556335252760e-8</v>
      </c>
      <c r="H142" s="62">
        <f t="shared" si="2"/>
        <v>0.00000004556335253</v>
      </c>
      <c r="I142" s="60" t="str">
        <f>IFERROR(__xludf.DUMMYFUNCTION("if(regexmatch($B142,""\(""),CONCATENATE(regexreplace(REGEXREPLACE(substitute(left($B142,find(""("",$B142)-1),"" "",""""),""\d"",""0""),""[-0]*\."",""0.""), REGEXEXTRACT($B142,""\((.*)\)""),TRIM(REGEXEXTRACT($B142,""\)(.*)""))),"""")"),"0.00000000000030e-8")</f>
        <v>0.00000000000030e-8</v>
      </c>
      <c r="J142" s="62">
        <f t="shared" si="3"/>
        <v>0</v>
      </c>
      <c r="K142" s="62" t="b">
        <f t="shared" si="4"/>
        <v>0</v>
      </c>
      <c r="L142" s="62" t="b">
        <f t="shared" si="5"/>
        <v>0</v>
      </c>
      <c r="M142" s="60" t="str">
        <f>IFERROR(__xludf.DUMMYFUNCTION("if(regexmatch(B142,""e(.*)$""),regexextract(B142,""e(.*)$""),"""")"),"-8")</f>
        <v>-8</v>
      </c>
    </row>
    <row r="143">
      <c r="A143" s="80" t="s">
        <v>2144</v>
      </c>
      <c r="B143" s="80" t="s">
        <v>2145</v>
      </c>
      <c r="C143" s="80" t="s">
        <v>257</v>
      </c>
      <c r="D143" s="18" t="str">
        <f t="shared" si="1"/>
        <v>Hz</v>
      </c>
      <c r="E143" s="60" t="str">
        <f>VLOOKUP($A143,nist_names_ids!A:B,2,false)</f>
        <v>minvhz</v>
      </c>
      <c r="F143" s="61">
        <f>countif(Constants!A:A,E143)</f>
        <v>1</v>
      </c>
      <c r="G143" s="60" t="str">
        <f>IFERROR(__xludf.DUMMYFUNCTION("REGEXREPLACE(substitute(substitute(B143,"" "",""""),""..."",""""),""\(.*\)"","""")"),"299792458")</f>
        <v>299792458</v>
      </c>
      <c r="H143" s="62">
        <f t="shared" si="2"/>
        <v>299792458</v>
      </c>
      <c r="I143" s="60" t="str">
        <f>IFERROR(__xludf.DUMMYFUNCTION("if(regexmatch($B143,""\(""),CONCATENATE(regexreplace(REGEXREPLACE(substitute(left($B143,find(""("",$B143)-1),"" "",""""),""\d"",""0""),""[-0]*\."",""0.""), REGEXEXTRACT($B143,""\((.*)\)""),TRIM(REGEXEXTRACT($B143,""\)(.*)""))),"""")"),"")</f>
        <v/>
      </c>
      <c r="J143" s="62" t="str">
        <f t="shared" si="3"/>
        <v/>
      </c>
      <c r="K143" s="62" t="b">
        <f t="shared" si="4"/>
        <v>0</v>
      </c>
      <c r="L143" s="62" t="b">
        <f t="shared" si="5"/>
        <v>0</v>
      </c>
      <c r="M143" s="60" t="str">
        <f>IFERROR(__xludf.DUMMYFUNCTION("if(regexmatch(B143,""e(.*)$""),regexextract(B143,""e(.*)$""),"""")"),"")</f>
        <v/>
      </c>
    </row>
    <row r="144">
      <c r="A144" s="80" t="s">
        <v>2147</v>
      </c>
      <c r="B144" s="80" t="s">
        <v>5191</v>
      </c>
      <c r="C144" s="80" t="s">
        <v>173</v>
      </c>
      <c r="D144" s="18" t="str">
        <f t="shared" si="1"/>
        <v>J</v>
      </c>
      <c r="E144" s="60" t="str">
        <f>VLOOKUP($A144,nist_names_ids!A:B,2,false)</f>
        <v>minvj</v>
      </c>
      <c r="F144" s="61">
        <f>countif(Constants!A:A,E144)</f>
        <v>1</v>
      </c>
      <c r="G144" s="60" t="str">
        <f>IFERROR(__xludf.DUMMYFUNCTION("REGEXREPLACE(substitute(substitute(B144,"" "",""""),""..."",""""),""\(.*\)"","""")"),"1.98644561e-25")</f>
        <v>1.98644561e-25</v>
      </c>
      <c r="H144" s="62">
        <f t="shared" si="2"/>
        <v>0</v>
      </c>
      <c r="I144" s="60" t="str">
        <f>IFERROR(__xludf.DUMMYFUNCTION("if(regexmatch($B144,""\(""),CONCATENATE(regexreplace(REGEXREPLACE(substitute(left($B144,find(""("",$B144)-1),"" "",""""),""\d"",""0""),""[-0]*\."",""0.""), REGEXEXTRACT($B144,""\((.*)\)""),TRIM(REGEXEXTRACT($B144,""\)(.*)""))),"""")"),"0.0000000034e-25")</f>
        <v>0.0000000034e-25</v>
      </c>
      <c r="J144" s="62">
        <f t="shared" si="3"/>
        <v>0</v>
      </c>
      <c r="K144" s="62" t="b">
        <f t="shared" si="4"/>
        <v>0</v>
      </c>
      <c r="L144" s="62" t="b">
        <f t="shared" si="5"/>
        <v>0</v>
      </c>
      <c r="M144" s="60" t="str">
        <f>IFERROR(__xludf.DUMMYFUNCTION("if(regexmatch(B144,""e(.*)$""),regexextract(B144,""e(.*)$""),"""")"),"-25")</f>
        <v>-25</v>
      </c>
    </row>
    <row r="145">
      <c r="A145" s="80" t="s">
        <v>2150</v>
      </c>
      <c r="B145" s="80" t="s">
        <v>4972</v>
      </c>
      <c r="C145" s="80" t="s">
        <v>345</v>
      </c>
      <c r="D145" s="18" t="str">
        <f t="shared" si="1"/>
        <v>K</v>
      </c>
      <c r="E145" s="60" t="str">
        <f>VLOOKUP($A145,nist_names_ids!A:B,2,false)</f>
        <v>minvk</v>
      </c>
      <c r="F145" s="61">
        <f>countif(Constants!A:A,E145)</f>
        <v>1</v>
      </c>
      <c r="G145" s="60" t="str">
        <f>IFERROR(__xludf.DUMMYFUNCTION("REGEXREPLACE(substitute(substitute(B145,"" "",""""),""..."",""""),""\(.*\)"","""")"),"1.4387752e-2")</f>
        <v>1.4387752e-2</v>
      </c>
      <c r="H145" s="62">
        <f t="shared" si="2"/>
        <v>0.014387752</v>
      </c>
      <c r="I145" s="60" t="str">
        <f>IFERROR(__xludf.DUMMYFUNCTION("if(regexmatch($B145,""\(""),CONCATENATE(regexreplace(REGEXREPLACE(substitute(left($B145,find(""("",$B145)-1),"" "",""""),""\d"",""0""),""[-0]*\."",""0.""), REGEXEXTRACT($B145,""\((.*)\)""),TRIM(REGEXEXTRACT($B145,""\)(.*)""))),"""")"),"0.000000025e-2")</f>
        <v>0.000000025e-2</v>
      </c>
      <c r="J145" s="62">
        <f t="shared" si="3"/>
        <v>0.00000000025</v>
      </c>
      <c r="K145" s="62" t="b">
        <f t="shared" si="4"/>
        <v>0</v>
      </c>
      <c r="L145" s="62" t="b">
        <f t="shared" si="5"/>
        <v>0</v>
      </c>
      <c r="M145" s="60" t="str">
        <f>IFERROR(__xludf.DUMMYFUNCTION("if(regexmatch(B145,""e(.*)$""),regexextract(B145,""e(.*)$""),"""")"),"-2")</f>
        <v>-2</v>
      </c>
    </row>
    <row r="146">
      <c r="A146" s="80" t="s">
        <v>2153</v>
      </c>
      <c r="B146" s="80" t="s">
        <v>5195</v>
      </c>
      <c r="C146" s="80" t="s">
        <v>98</v>
      </c>
      <c r="D146" s="18" t="str">
        <f t="shared" si="1"/>
        <v>kg</v>
      </c>
      <c r="E146" s="60" t="str">
        <f>VLOOKUP($A146,nist_names_ids!A:B,2,false)</f>
        <v>minvkg</v>
      </c>
      <c r="F146" s="61">
        <f>countif(Constants!A:A,E146)</f>
        <v>1</v>
      </c>
      <c r="G146" s="60" t="str">
        <f>IFERROR(__xludf.DUMMYFUNCTION("REGEXREPLACE(substitute(substitute(B146,"" "",""""),""..."",""""),""\(.*\)"","""")"),"2.21021881e-42")</f>
        <v>2.21021881e-42</v>
      </c>
      <c r="H146" s="62">
        <f t="shared" si="2"/>
        <v>0</v>
      </c>
      <c r="I146" s="60" t="str">
        <f>IFERROR(__xludf.DUMMYFUNCTION("if(regexmatch($B146,""\(""),CONCATENATE(regexreplace(REGEXREPLACE(substitute(left($B146,find(""("",$B146)-1),"" "",""""),""\d"",""0""),""[-0]*\."",""0.""), REGEXEXTRACT($B146,""\((.*)\)""),TRIM(REGEXEXTRACT($B146,""\)(.*)""))),"""")"),"0.0000000038e-42")</f>
        <v>0.0000000038e-42</v>
      </c>
      <c r="J146" s="62">
        <f t="shared" si="3"/>
        <v>0</v>
      </c>
      <c r="K146" s="62" t="b">
        <f t="shared" si="4"/>
        <v>0</v>
      </c>
      <c r="L146" s="62" t="b">
        <f t="shared" si="5"/>
        <v>0</v>
      </c>
      <c r="M146" s="60" t="str">
        <f>IFERROR(__xludf.DUMMYFUNCTION("if(regexmatch(B146,""e(.*)$""),regexextract(B146,""e(.*)$""),"""")"),"-42")</f>
        <v>-42</v>
      </c>
    </row>
    <row r="147">
      <c r="A147" s="80" t="s">
        <v>2159</v>
      </c>
      <c r="B147" s="80" t="s">
        <v>5197</v>
      </c>
      <c r="C147" s="80" t="s">
        <v>506</v>
      </c>
      <c r="D147" s="18" t="str">
        <f t="shared" si="1"/>
        <v>Ohm</v>
      </c>
      <c r="E147" s="60" t="str">
        <f>VLOOKUP($A147,nist_names_ids!A:B,2,false)</f>
        <v>invconqu</v>
      </c>
      <c r="F147" s="61">
        <f>countif(Constants!A:A,E147)</f>
        <v>1</v>
      </c>
      <c r="G147" s="60" t="str">
        <f>IFERROR(__xludf.DUMMYFUNCTION("REGEXREPLACE(substitute(substitute(B147,"" "",""""),""..."",""""),""\(.*\)"","""")"),"12906.403725")</f>
        <v>12906.403725</v>
      </c>
      <c r="H147" s="62">
        <f t="shared" si="2"/>
        <v>12906.40373</v>
      </c>
      <c r="I147" s="60" t="str">
        <f>IFERROR(__xludf.DUMMYFUNCTION("if(regexmatch($B147,""\(""),CONCATENATE(regexreplace(REGEXREPLACE(substitute(left($B147,find(""("",$B147)-1),"" "",""""),""\d"",""0""),""[-0]*\."",""0.""), REGEXEXTRACT($B147,""\((.*)\)""),TRIM(REGEXEXTRACT($B147,""\)(.*)""))),"""")"),"0.00000043")</f>
        <v>0.00000043</v>
      </c>
      <c r="J147" s="62">
        <f t="shared" si="3"/>
        <v>0.00000043</v>
      </c>
      <c r="K147" s="62" t="b">
        <f t="shared" si="4"/>
        <v>0</v>
      </c>
      <c r="L147" s="62" t="b">
        <f t="shared" si="5"/>
        <v>0</v>
      </c>
      <c r="M147" s="60" t="str">
        <f>IFERROR(__xludf.DUMMYFUNCTION("if(regexmatch(B147,""e(.*)$""),regexextract(B147,""e(.*)$""),"""")"),"")</f>
        <v/>
      </c>
    </row>
    <row r="148">
      <c r="A148" s="80" t="s">
        <v>2162</v>
      </c>
      <c r="B148" s="80" t="s">
        <v>5200</v>
      </c>
      <c r="C148" s="80" t="s">
        <v>4534</v>
      </c>
      <c r="D148" s="18" t="str">
        <f t="shared" si="1"/>
        <v>Hz V^-1</v>
      </c>
      <c r="E148" s="60" t="str">
        <f>VLOOKUP($A148,nist_names_ids!A:B,2,false)</f>
        <v>kjos</v>
      </c>
      <c r="F148" s="61">
        <f>countif(Constants!A:A,E148)</f>
        <v>1</v>
      </c>
      <c r="G148" s="60" t="str">
        <f>IFERROR(__xludf.DUMMYFUNCTION("REGEXREPLACE(substitute(substitute(B148,"" "",""""),""..."",""""),""\(.*\)"","""")"),"483597.879e9")</f>
        <v>483597.879e9</v>
      </c>
      <c r="H148" s="62">
        <f t="shared" si="2"/>
        <v>483597879000000</v>
      </c>
      <c r="I148" s="60" t="str">
        <f>IFERROR(__xludf.DUMMYFUNCTION("if(regexmatch($B148,""\(""),CONCATENATE(regexreplace(REGEXREPLACE(substitute(left($B148,find(""("",$B148)-1),"" "",""""),""\d"",""0""),""[-0]*\."",""0.""), REGEXEXTRACT($B148,""\((.*)\)""),TRIM(REGEXEXTRACT($B148,""\)(.*)""))),"""")"),"0.00041e9")</f>
        <v>0.00041e9</v>
      </c>
      <c r="J148" s="62">
        <f t="shared" si="3"/>
        <v>410000</v>
      </c>
      <c r="K148" s="62" t="b">
        <f t="shared" si="4"/>
        <v>0</v>
      </c>
      <c r="L148" s="62" t="b">
        <f t="shared" si="5"/>
        <v>0</v>
      </c>
      <c r="M148" s="60" t="str">
        <f>IFERROR(__xludf.DUMMYFUNCTION("if(regexmatch(B148,""e(.*)$""),regexextract(B148,""e(.*)$""),"""")"),"9")</f>
        <v>9</v>
      </c>
    </row>
    <row r="149">
      <c r="A149" s="80" t="s">
        <v>2166</v>
      </c>
      <c r="B149" s="80" t="s">
        <v>5202</v>
      </c>
      <c r="C149" s="80" t="s">
        <v>249</v>
      </c>
      <c r="D149" s="18" t="str">
        <f t="shared" si="1"/>
        <v>u</v>
      </c>
      <c r="E149" s="60" t="str">
        <f>VLOOKUP($A149,nist_names_ids!A:B,2,false)</f>
        <v>ju</v>
      </c>
      <c r="F149" s="61">
        <f>countif(Constants!A:A,E149)</f>
        <v>1</v>
      </c>
      <c r="G149" s="60" t="str">
        <f>IFERROR(__xludf.DUMMYFUNCTION("REGEXREPLACE(substitute(substitute(B149,"" "",""""),""..."",""""),""\(.*\)"","""")"),"6.7005361e9")</f>
        <v>6.7005361e9</v>
      </c>
      <c r="H149" s="62">
        <f t="shared" si="2"/>
        <v>6700536100</v>
      </c>
      <c r="I149" s="60" t="str">
        <f>IFERROR(__xludf.DUMMYFUNCTION("if(regexmatch($B149,""\(""),CONCATENATE(regexreplace(REGEXREPLACE(substitute(left($B149,find(""("",$B149)-1),"" "",""""),""\d"",""0""),""[-0]*\."",""0.""), REGEXEXTRACT($B149,""\((.*)\)""),TRIM(REGEXEXTRACT($B149,""\)(.*)""))),"""")"),"0.000000011e9")</f>
        <v>0.000000011e9</v>
      </c>
      <c r="J149" s="62">
        <f t="shared" si="3"/>
        <v>11</v>
      </c>
      <c r="K149" s="62" t="b">
        <f t="shared" si="4"/>
        <v>0</v>
      </c>
      <c r="L149" s="62" t="b">
        <f t="shared" si="5"/>
        <v>0</v>
      </c>
      <c r="M149" s="60" t="str">
        <f>IFERROR(__xludf.DUMMYFUNCTION("if(regexmatch(B149,""e(.*)$""),regexextract(B149,""e(.*)$""),"""")"),"9")</f>
        <v>9</v>
      </c>
    </row>
    <row r="150">
      <c r="A150" s="80" t="s">
        <v>2172</v>
      </c>
      <c r="B150" s="80" t="s">
        <v>5204</v>
      </c>
      <c r="C150" s="80" t="s">
        <v>181</v>
      </c>
      <c r="D150" s="18" t="str">
        <f t="shared" si="1"/>
        <v>eV</v>
      </c>
      <c r="E150" s="60" t="str">
        <f>VLOOKUP($A150,nist_names_ids!A:B,2,false)</f>
        <v>jev</v>
      </c>
      <c r="F150" s="61">
        <f>countif(Constants!A:A,E150)</f>
        <v>1</v>
      </c>
      <c r="G150" s="60" t="str">
        <f>IFERROR(__xludf.DUMMYFUNCTION("REGEXREPLACE(substitute(substitute(B150,"" "",""""),""..."",""""),""\(.*\)"","""")"),"6.24150947e18")</f>
        <v>6.24150947e18</v>
      </c>
      <c r="H150" s="62">
        <f t="shared" si="2"/>
        <v>6.24151E+18</v>
      </c>
      <c r="I150" s="60" t="str">
        <f>IFERROR(__xludf.DUMMYFUNCTION("if(regexmatch($B150,""\(""),CONCATENATE(regexreplace(REGEXREPLACE(substitute(left($B150,find(""("",$B150)-1),"" "",""""),""\d"",""0""),""[-0]*\."",""0.""), REGEXEXTRACT($B150,""\((.*)\)""),TRIM(REGEXEXTRACT($B150,""\)(.*)""))),"""")"),"0.0000000053e18")</f>
        <v>0.0000000053e18</v>
      </c>
      <c r="J150" s="62">
        <f t="shared" si="3"/>
        <v>5300000000</v>
      </c>
      <c r="K150" s="62" t="b">
        <f t="shared" si="4"/>
        <v>0</v>
      </c>
      <c r="L150" s="62" t="b">
        <f t="shared" si="5"/>
        <v>0</v>
      </c>
      <c r="M150" s="60" t="str">
        <f>IFERROR(__xludf.DUMMYFUNCTION("if(regexmatch(B150,""e(.*)$""),regexextract(B150,""e(.*)$""),"""")"),"18")</f>
        <v>18</v>
      </c>
    </row>
    <row r="151">
      <c r="A151" s="80" t="s">
        <v>2176</v>
      </c>
      <c r="B151" s="80" t="s">
        <v>5206</v>
      </c>
      <c r="C151" s="80" t="s">
        <v>170</v>
      </c>
      <c r="D151" s="18" t="str">
        <f t="shared" si="1"/>
        <v>E_h</v>
      </c>
      <c r="E151" s="60" t="str">
        <f>VLOOKUP($A151,nist_names_ids!A:B,2,false)</f>
        <v>jhr</v>
      </c>
      <c r="F151" s="61">
        <f>countif(Constants!A:A,E151)</f>
        <v>1</v>
      </c>
      <c r="G151" s="60" t="str">
        <f>IFERROR(__xludf.DUMMYFUNCTION("REGEXREPLACE(substitute(substitute(B151,"" "",""""),""..."",""""),""\(.*\)"","""")"),"2.29371257e17")</f>
        <v>2.29371257e17</v>
      </c>
      <c r="H151" s="62">
        <f t="shared" si="2"/>
        <v>2.29371E+17</v>
      </c>
      <c r="I151" s="60" t="str">
        <f>IFERROR(__xludf.DUMMYFUNCTION("if(regexmatch($B151,""\(""),CONCATENATE(regexreplace(REGEXREPLACE(substitute(left($B151,find(""("",$B151)-1),"" "",""""),""\d"",""0""),""[-0]*\."",""0.""), REGEXEXTRACT($B151,""\((.*)\)""),TRIM(REGEXEXTRACT($B151,""\)(.*)""))),"""")"),"0.0000000039e17")</f>
        <v>0.0000000039e17</v>
      </c>
      <c r="J151" s="62">
        <f t="shared" si="3"/>
        <v>390000000</v>
      </c>
      <c r="K151" s="62" t="b">
        <f t="shared" si="4"/>
        <v>0</v>
      </c>
      <c r="L151" s="62" t="b">
        <f t="shared" si="5"/>
        <v>0</v>
      </c>
      <c r="M151" s="60" t="str">
        <f>IFERROR(__xludf.DUMMYFUNCTION("if(regexmatch(B151,""e(.*)$""),regexextract(B151,""e(.*)$""),"""")"),"17")</f>
        <v>17</v>
      </c>
    </row>
    <row r="152">
      <c r="A152" s="80" t="s">
        <v>2180</v>
      </c>
      <c r="B152" s="80" t="s">
        <v>5215</v>
      </c>
      <c r="C152" s="80" t="s">
        <v>257</v>
      </c>
      <c r="D152" s="18" t="str">
        <f t="shared" si="1"/>
        <v>Hz</v>
      </c>
      <c r="E152" s="60" t="str">
        <f>VLOOKUP($A152,nist_names_ids!A:B,2,false)</f>
        <v>jhz</v>
      </c>
      <c r="F152" s="61">
        <f>countif(Constants!A:A,E152)</f>
        <v>1</v>
      </c>
      <c r="G152" s="60" t="str">
        <f>IFERROR(__xludf.DUMMYFUNCTION("REGEXREPLACE(substitute(substitute(B152,"" "",""""),""..."",""""),""\(.*\)"","""")"),"1.50919037e33")</f>
        <v>1.50919037e33</v>
      </c>
      <c r="H152" s="62">
        <f t="shared" si="2"/>
        <v>1.50919E+33</v>
      </c>
      <c r="I152" s="60" t="str">
        <f>IFERROR(__xludf.DUMMYFUNCTION("if(regexmatch($B152,""\(""),CONCATENATE(regexreplace(REGEXREPLACE(substitute(left($B152,find(""("",$B152)-1),"" "",""""),""\d"",""0""),""[-0]*\."",""0.""), REGEXEXTRACT($B152,""\((.*)\)""),TRIM(REGEXEXTRACT($B152,""\)(.*)""))),"""")"),"0.0000000026e33")</f>
        <v>0.0000000026e33</v>
      </c>
      <c r="J152" s="62">
        <f t="shared" si="3"/>
        <v>2.6E+24</v>
      </c>
      <c r="K152" s="62" t="b">
        <f t="shared" si="4"/>
        <v>0</v>
      </c>
      <c r="L152" s="62" t="b">
        <f t="shared" si="5"/>
        <v>0</v>
      </c>
      <c r="M152" s="60" t="str">
        <f>IFERROR(__xludf.DUMMYFUNCTION("if(regexmatch(B152,""e(.*)$""),regexextract(B152,""e(.*)$""),"""")"),"33")</f>
        <v>33</v>
      </c>
    </row>
    <row r="153">
      <c r="A153" s="80" t="s">
        <v>2184</v>
      </c>
      <c r="B153" s="80" t="s">
        <v>5217</v>
      </c>
      <c r="C153" s="80" t="s">
        <v>4359</v>
      </c>
      <c r="D153" s="18" t="str">
        <f t="shared" si="1"/>
        <v>m^-1</v>
      </c>
      <c r="E153" s="60" t="str">
        <f>VLOOKUP($A153,nist_names_ids!A:B,2,false)</f>
        <v>jminv</v>
      </c>
      <c r="F153" s="61">
        <f>countif(Constants!A:A,E153)</f>
        <v>1</v>
      </c>
      <c r="G153" s="60" t="str">
        <f>IFERROR(__xludf.DUMMYFUNCTION("REGEXREPLACE(substitute(substitute(B153,"" "",""""),""..."",""""),""\(.*\)"","""")"),"5.03411721e24")</f>
        <v>5.03411721e24</v>
      </c>
      <c r="H153" s="62">
        <f t="shared" si="2"/>
        <v>5.03412E+24</v>
      </c>
      <c r="I153" s="60" t="str">
        <f>IFERROR(__xludf.DUMMYFUNCTION("if(regexmatch($B153,""\(""),CONCATENATE(regexreplace(REGEXREPLACE(substitute(left($B153,find(""("",$B153)-1),"" "",""""),""\d"",""0""),""[-0]*\."",""0.""), REGEXEXTRACT($B153,""\((.*)\)""),TRIM(REGEXEXTRACT($B153,""\)(.*)""))),"""")"),"0.0000000086e24")</f>
        <v>0.0000000086e24</v>
      </c>
      <c r="J153" s="62">
        <f t="shared" si="3"/>
        <v>8.6E+15</v>
      </c>
      <c r="K153" s="62" t="b">
        <f t="shared" si="4"/>
        <v>0</v>
      </c>
      <c r="L153" s="62" t="b">
        <f t="shared" si="5"/>
        <v>0</v>
      </c>
      <c r="M153" s="60" t="str">
        <f>IFERROR(__xludf.DUMMYFUNCTION("if(regexmatch(B153,""e(.*)$""),regexextract(B153,""e(.*)$""),"""")"),"24")</f>
        <v>24</v>
      </c>
    </row>
    <row r="154">
      <c r="A154" s="80" t="s">
        <v>2190</v>
      </c>
      <c r="B154" s="80" t="s">
        <v>5023</v>
      </c>
      <c r="C154" s="80" t="s">
        <v>345</v>
      </c>
      <c r="D154" s="18" t="str">
        <f t="shared" si="1"/>
        <v>K</v>
      </c>
      <c r="E154" s="60" t="str">
        <f>VLOOKUP($A154,nist_names_ids!A:B,2,false)</f>
        <v>jk</v>
      </c>
      <c r="F154" s="61">
        <f>countif(Constants!A:A,E154)</f>
        <v>1</v>
      </c>
      <c r="G154" s="60" t="str">
        <f>IFERROR(__xludf.DUMMYFUNCTION("REGEXREPLACE(substitute(substitute(B154,"" "",""""),""..."",""""),""\(.*\)"","""")"),"7.242963e22")</f>
        <v>7.242963e22</v>
      </c>
      <c r="H154" s="62">
        <f t="shared" si="2"/>
        <v>7.24296E+22</v>
      </c>
      <c r="I154" s="60" t="str">
        <f>IFERROR(__xludf.DUMMYFUNCTION("if(regexmatch($B154,""\(""),CONCATENATE(regexreplace(REGEXREPLACE(substitute(left($B154,find(""("",$B154)-1),"" "",""""),""\d"",""0""),""[-0]*\."",""0.""), REGEXEXTRACT($B154,""\((.*)\)""),TRIM(REGEXEXTRACT($B154,""\)(.*)""))),"""")"),"0.00000013e22")</f>
        <v>0.00000013e22</v>
      </c>
      <c r="J154" s="62">
        <f t="shared" si="3"/>
        <v>1.3E+15</v>
      </c>
      <c r="K154" s="62" t="b">
        <f t="shared" si="4"/>
        <v>0</v>
      </c>
      <c r="L154" s="62" t="b">
        <f t="shared" si="5"/>
        <v>0</v>
      </c>
      <c r="M154" s="60" t="str">
        <f>IFERROR(__xludf.DUMMYFUNCTION("if(regexmatch(B154,""e(.*)$""),regexextract(B154,""e(.*)$""),"""")"),"22")</f>
        <v>22</v>
      </c>
    </row>
    <row r="155">
      <c r="A155" s="80" t="s">
        <v>2193</v>
      </c>
      <c r="B155" s="80" t="s">
        <v>5054</v>
      </c>
      <c r="C155" s="80" t="s">
        <v>98</v>
      </c>
      <c r="D155" s="18" t="str">
        <f t="shared" si="1"/>
        <v>kg</v>
      </c>
      <c r="E155" s="60" t="str">
        <f>VLOOKUP($A155,nist_names_ids!A:B,2,false)</f>
        <v>jkg</v>
      </c>
      <c r="F155" s="61">
        <f>countif(Constants!A:A,E155)</f>
        <v>1</v>
      </c>
      <c r="G155" s="60" t="str">
        <f>IFERROR(__xludf.DUMMYFUNCTION("REGEXREPLACE(substitute(substitute(B155,"" "",""""),""..."",""""),""\(.*\)"","""")"),"1.112650056e-17")</f>
        <v>1.112650056e-17</v>
      </c>
      <c r="H155" s="62">
        <f t="shared" si="2"/>
        <v>0</v>
      </c>
      <c r="I155" s="60" t="str">
        <f>IFERROR(__xludf.DUMMYFUNCTION("if(regexmatch($B155,""\(""),CONCATENATE(regexreplace(REGEXREPLACE(substitute(left($B155,find(""("",$B155)-1),"" "",""""),""\d"",""0""),""[-0]*\."",""0.""), REGEXEXTRACT($B155,""\((.*)\)""),TRIM(REGEXEXTRACT($B155,""\)(.*)""))),"""")"),"")</f>
        <v/>
      </c>
      <c r="J155" s="62" t="str">
        <f t="shared" si="3"/>
        <v/>
      </c>
      <c r="K155" s="62" t="b">
        <f t="shared" si="4"/>
        <v>0</v>
      </c>
      <c r="L155" s="62" t="b">
        <f t="shared" si="5"/>
        <v>1</v>
      </c>
      <c r="M155" s="60" t="str">
        <f>IFERROR(__xludf.DUMMYFUNCTION("if(regexmatch(B155,""e(.*)$""),regexextract(B155,""e(.*)$""),"""")"),"-17")</f>
        <v>-17</v>
      </c>
    </row>
    <row r="156">
      <c r="A156" s="80" t="s">
        <v>2196</v>
      </c>
      <c r="B156" s="80" t="s">
        <v>5059</v>
      </c>
      <c r="C156" s="80" t="s">
        <v>249</v>
      </c>
      <c r="D156" s="18" t="str">
        <f t="shared" si="1"/>
        <v>u</v>
      </c>
      <c r="E156" s="60" t="str">
        <f>VLOOKUP($A156,nist_names_ids!A:B,2,false)</f>
        <v>ku</v>
      </c>
      <c r="F156" s="61">
        <f>countif(Constants!A:A,E156)</f>
        <v>1</v>
      </c>
      <c r="G156" s="60" t="str">
        <f>IFERROR(__xludf.DUMMYFUNCTION("REGEXREPLACE(substitute(substitute(B156,"" "",""""),""..."",""""),""\(.*\)"","""")"),"9.251098e-14")</f>
        <v>9.251098e-14</v>
      </c>
      <c r="H156" s="62">
        <f t="shared" si="2"/>
        <v>0</v>
      </c>
      <c r="I156" s="60" t="str">
        <f>IFERROR(__xludf.DUMMYFUNCTION("if(regexmatch($B156,""\(""),CONCATENATE(regexreplace(REGEXREPLACE(substitute(left($B156,find(""("",$B156)-1),"" "",""""),""\d"",""0""),""[-0]*\."",""0.""), REGEXEXTRACT($B156,""\((.*)\)""),TRIM(REGEXEXTRACT($B156,""\)(.*)""))),"""")"),"0.00000016e-14")</f>
        <v>0.00000016e-14</v>
      </c>
      <c r="J156" s="62">
        <f t="shared" si="3"/>
        <v>0</v>
      </c>
      <c r="K156" s="62" t="b">
        <f t="shared" si="4"/>
        <v>0</v>
      </c>
      <c r="L156" s="62" t="b">
        <f t="shared" si="5"/>
        <v>0</v>
      </c>
      <c r="M156" s="60" t="str">
        <f>IFERROR(__xludf.DUMMYFUNCTION("if(regexmatch(B156,""e(.*)$""),regexextract(B156,""e(.*)$""),"""")"),"-14")</f>
        <v>-14</v>
      </c>
    </row>
    <row r="157">
      <c r="A157" s="80" t="s">
        <v>2200</v>
      </c>
      <c r="B157" s="80" t="s">
        <v>4490</v>
      </c>
      <c r="C157" s="80" t="s">
        <v>181</v>
      </c>
      <c r="D157" s="18" t="str">
        <f t="shared" si="1"/>
        <v>eV</v>
      </c>
      <c r="E157" s="60" t="str">
        <f>VLOOKUP($A157,nist_names_ids!A:B,2,false)</f>
        <v>kev</v>
      </c>
      <c r="F157" s="61">
        <f>countif(Constants!A:A,E157)</f>
        <v>1</v>
      </c>
      <c r="G157" s="60" t="str">
        <f>IFERROR(__xludf.DUMMYFUNCTION("REGEXREPLACE(substitute(substitute(B157,"" "",""""),""..."",""""),""\(.*\)"","""")"),"8.617343e-5")</f>
        <v>8.617343e-5</v>
      </c>
      <c r="H157" s="62">
        <f t="shared" si="2"/>
        <v>0.00008617343</v>
      </c>
      <c r="I157" s="60" t="str">
        <f>IFERROR(__xludf.DUMMYFUNCTION("if(regexmatch($B157,""\(""),CONCATENATE(regexreplace(REGEXREPLACE(substitute(left($B157,find(""("",$B157)-1),"" "",""""),""\d"",""0""),""[-0]*\."",""0.""), REGEXEXTRACT($B157,""\((.*)\)""),TRIM(REGEXEXTRACT($B157,""\)(.*)""))),"""")"),"0.00000015e-5")</f>
        <v>0.00000015e-5</v>
      </c>
      <c r="J157" s="62">
        <f t="shared" si="3"/>
        <v>0</v>
      </c>
      <c r="K157" s="62" t="b">
        <f t="shared" si="4"/>
        <v>0</v>
      </c>
      <c r="L157" s="62" t="b">
        <f t="shared" si="5"/>
        <v>0</v>
      </c>
      <c r="M157" s="60" t="str">
        <f>IFERROR(__xludf.DUMMYFUNCTION("if(regexmatch(B157,""e(.*)$""),regexextract(B157,""e(.*)$""),"""")"),"-5")</f>
        <v>-5</v>
      </c>
    </row>
    <row r="158">
      <c r="A158" s="80" t="s">
        <v>2204</v>
      </c>
      <c r="B158" s="80" t="s">
        <v>5067</v>
      </c>
      <c r="C158" s="80" t="s">
        <v>170</v>
      </c>
      <c r="D158" s="18" t="str">
        <f t="shared" si="1"/>
        <v>E_h</v>
      </c>
      <c r="E158" s="60" t="str">
        <f>VLOOKUP($A158,nist_names_ids!A:B,2,false)</f>
        <v>khr</v>
      </c>
      <c r="F158" s="61">
        <f>countif(Constants!A:A,E158)</f>
        <v>1</v>
      </c>
      <c r="G158" s="60" t="str">
        <f>IFERROR(__xludf.DUMMYFUNCTION("REGEXREPLACE(substitute(substitute(B158,"" "",""""),""..."",""""),""\(.*\)"","""")"),"3.1668153e-6")</f>
        <v>3.1668153e-6</v>
      </c>
      <c r="H158" s="62">
        <f t="shared" si="2"/>
        <v>0.0000031668153</v>
      </c>
      <c r="I158" s="60" t="str">
        <f>IFERROR(__xludf.DUMMYFUNCTION("if(regexmatch($B158,""\(""),CONCATENATE(regexreplace(REGEXREPLACE(substitute(left($B158,find(""("",$B158)-1),"" "",""""),""\d"",""0""),""[-0]*\."",""0.""), REGEXEXTRACT($B158,""\((.*)\)""),TRIM(REGEXEXTRACT($B158,""\)(.*)""))),"""")"),"0.000000055e-6")</f>
        <v>0.000000055e-6</v>
      </c>
      <c r="J158" s="62">
        <f t="shared" si="3"/>
        <v>0</v>
      </c>
      <c r="K158" s="62" t="b">
        <f t="shared" si="4"/>
        <v>0</v>
      </c>
      <c r="L158" s="62" t="b">
        <f t="shared" si="5"/>
        <v>0</v>
      </c>
      <c r="M158" s="60" t="str">
        <f>IFERROR(__xludf.DUMMYFUNCTION("if(regexmatch(B158,""e(.*)$""),regexextract(B158,""e(.*)$""),"""")"),"-6")</f>
        <v>-6</v>
      </c>
    </row>
    <row r="159">
      <c r="A159" s="80" t="s">
        <v>2208</v>
      </c>
      <c r="B159" s="80" t="s">
        <v>4485</v>
      </c>
      <c r="C159" s="80" t="s">
        <v>257</v>
      </c>
      <c r="D159" s="18" t="str">
        <f t="shared" si="1"/>
        <v>Hz</v>
      </c>
      <c r="E159" s="60" t="str">
        <f>VLOOKUP($A159,nist_names_ids!A:B,2,false)</f>
        <v>khz</v>
      </c>
      <c r="F159" s="61">
        <f>countif(Constants!A:A,E159)</f>
        <v>1</v>
      </c>
      <c r="G159" s="60" t="str">
        <f>IFERROR(__xludf.DUMMYFUNCTION("REGEXREPLACE(substitute(substitute(B159,"" "",""""),""..."",""""),""\(.*\)"","""")"),"2.0836644e10")</f>
        <v>2.0836644e10</v>
      </c>
      <c r="H159" s="62">
        <f t="shared" si="2"/>
        <v>20836644000</v>
      </c>
      <c r="I159" s="60" t="str">
        <f>IFERROR(__xludf.DUMMYFUNCTION("if(regexmatch($B159,""\(""),CONCATENATE(regexreplace(REGEXREPLACE(substitute(left($B159,find(""("",$B159)-1),"" "",""""),""\d"",""0""),""[-0]*\."",""0.""), REGEXEXTRACT($B159,""\((.*)\)""),TRIM(REGEXEXTRACT($B159,""\)(.*)""))),"""")"),"0.000000036e10")</f>
        <v>0.000000036e10</v>
      </c>
      <c r="J159" s="62">
        <f t="shared" si="3"/>
        <v>360</v>
      </c>
      <c r="K159" s="62" t="b">
        <f t="shared" si="4"/>
        <v>0</v>
      </c>
      <c r="L159" s="62" t="b">
        <f t="shared" si="5"/>
        <v>0</v>
      </c>
      <c r="M159" s="60" t="str">
        <f>IFERROR(__xludf.DUMMYFUNCTION("if(regexmatch(B159,""e(.*)$""),regexextract(B159,""e(.*)$""),"""")"),"10")</f>
        <v>10</v>
      </c>
    </row>
    <row r="160">
      <c r="A160" s="80" t="s">
        <v>2217</v>
      </c>
      <c r="B160" s="80" t="s">
        <v>4517</v>
      </c>
      <c r="C160" s="80" t="s">
        <v>4359</v>
      </c>
      <c r="D160" s="18" t="str">
        <f t="shared" si="1"/>
        <v>m^-1</v>
      </c>
      <c r="E160" s="60" t="str">
        <f>VLOOKUP($A160,nist_names_ids!A:B,2,false)</f>
        <v>kminv</v>
      </c>
      <c r="F160" s="61">
        <f>countif(Constants!A:A,E160)</f>
        <v>1</v>
      </c>
      <c r="G160" s="60" t="str">
        <f>IFERROR(__xludf.DUMMYFUNCTION("REGEXREPLACE(substitute(substitute(B160,"" "",""""),""..."",""""),""\(.*\)"","""")"),"69.50356")</f>
        <v>69.50356</v>
      </c>
      <c r="H160" s="62">
        <f t="shared" si="2"/>
        <v>69.50356</v>
      </c>
      <c r="I160" s="60" t="str">
        <f>IFERROR(__xludf.DUMMYFUNCTION("if(regexmatch($B160,""\(""),CONCATENATE(regexreplace(REGEXREPLACE(substitute(left($B160,find(""("",$B160)-1),"" "",""""),""\d"",""0""),""[-0]*\."",""0.""), REGEXEXTRACT($B160,""\((.*)\)""),TRIM(REGEXEXTRACT($B160,""\)(.*)""))),"""")"),"0.0000012")</f>
        <v>0.0000012</v>
      </c>
      <c r="J160" s="62">
        <f t="shared" si="3"/>
        <v>0.0000012</v>
      </c>
      <c r="K160" s="62" t="b">
        <f t="shared" si="4"/>
        <v>0</v>
      </c>
      <c r="L160" s="62" t="b">
        <f t="shared" si="5"/>
        <v>0</v>
      </c>
      <c r="M160" s="60" t="str">
        <f>IFERROR(__xludf.DUMMYFUNCTION("if(regexmatch(B160,""e(.*)$""),regexextract(B160,""e(.*)$""),"""")"),"")</f>
        <v/>
      </c>
    </row>
    <row r="161">
      <c r="A161" s="80" t="s">
        <v>2219</v>
      </c>
      <c r="B161" s="80" t="s">
        <v>4480</v>
      </c>
      <c r="C161" s="80" t="s">
        <v>173</v>
      </c>
      <c r="D161" s="18" t="str">
        <f t="shared" si="1"/>
        <v>J</v>
      </c>
      <c r="E161" s="60" t="str">
        <f>VLOOKUP($A161,nist_names_ids!A:B,2,false)</f>
        <v>kj</v>
      </c>
      <c r="F161" s="61">
        <f>countif(Constants!A:A,E161)</f>
        <v>1</v>
      </c>
      <c r="G161" s="60" t="str">
        <f>IFERROR(__xludf.DUMMYFUNCTION("REGEXREPLACE(substitute(substitute(B161,"" "",""""),""..."",""""),""\(.*\)"","""")"),"1.3806504e-23")</f>
        <v>1.3806504e-23</v>
      </c>
      <c r="H161" s="62">
        <f t="shared" si="2"/>
        <v>0</v>
      </c>
      <c r="I161" s="60" t="str">
        <f>IFERROR(__xludf.DUMMYFUNCTION("if(regexmatch($B161,""\(""),CONCATENATE(regexreplace(REGEXREPLACE(substitute(left($B161,find(""("",$B161)-1),"" "",""""),""\d"",""0""),""[-0]*\."",""0.""), REGEXEXTRACT($B161,""\((.*)\)""),TRIM(REGEXEXTRACT($B161,""\)(.*)""))),"""")"),"0.000000024e-23")</f>
        <v>0.000000024e-23</v>
      </c>
      <c r="J161" s="62">
        <f t="shared" si="3"/>
        <v>0</v>
      </c>
      <c r="K161" s="62" t="b">
        <f t="shared" si="4"/>
        <v>0</v>
      </c>
      <c r="L161" s="62" t="b">
        <f t="shared" si="5"/>
        <v>0</v>
      </c>
      <c r="M161" s="60" t="str">
        <f>IFERROR(__xludf.DUMMYFUNCTION("if(regexmatch(B161,""e(.*)$""),regexextract(B161,""e(.*)$""),"""")"),"-23")</f>
        <v>-23</v>
      </c>
    </row>
    <row r="162">
      <c r="A162" s="80" t="s">
        <v>2222</v>
      </c>
      <c r="B162" s="80" t="s">
        <v>5240</v>
      </c>
      <c r="C162" s="80" t="s">
        <v>98</v>
      </c>
      <c r="D162" s="18" t="str">
        <f t="shared" si="1"/>
        <v>kg</v>
      </c>
      <c r="E162" s="60" t="str">
        <f>VLOOKUP($A162,nist_names_ids!A:B,2,false)</f>
        <v>kkg</v>
      </c>
      <c r="F162" s="61">
        <f>countif(Constants!A:A,E162)</f>
        <v>1</v>
      </c>
      <c r="G162" s="60" t="str">
        <f>IFERROR(__xludf.DUMMYFUNCTION("REGEXREPLACE(substitute(substitute(B162,"" "",""""),""..."",""""),""\(.*\)"","""")"),"1.5361808e-40")</f>
        <v>1.5361808e-40</v>
      </c>
      <c r="H162" s="62">
        <f t="shared" si="2"/>
        <v>0</v>
      </c>
      <c r="I162" s="60" t="str">
        <f>IFERROR(__xludf.DUMMYFUNCTION("if(regexmatch($B162,""\(""),CONCATENATE(regexreplace(REGEXREPLACE(substitute(left($B162,find(""("",$B162)-1),"" "",""""),""\d"",""0""),""[-0]*\."",""0.""), REGEXEXTRACT($B162,""\((.*)\)""),TRIM(REGEXEXTRACT($B162,""\)(.*)""))),"""")"),"0.000000027e-40")</f>
        <v>0.000000027e-40</v>
      </c>
      <c r="J162" s="62">
        <f t="shared" si="3"/>
        <v>0</v>
      </c>
      <c r="K162" s="62" t="b">
        <f t="shared" si="4"/>
        <v>0</v>
      </c>
      <c r="L162" s="62" t="b">
        <f t="shared" si="5"/>
        <v>0</v>
      </c>
      <c r="M162" s="60" t="str">
        <f>IFERROR(__xludf.DUMMYFUNCTION("if(regexmatch(B162,""e(.*)$""),regexextract(B162,""e(.*)$""),"""")"),"-40")</f>
        <v>-40</v>
      </c>
    </row>
    <row r="163">
      <c r="A163" s="80" t="s">
        <v>2226</v>
      </c>
      <c r="B163" s="80" t="s">
        <v>5241</v>
      </c>
      <c r="C163" s="80" t="s">
        <v>249</v>
      </c>
      <c r="D163" s="18" t="str">
        <f t="shared" si="1"/>
        <v>u</v>
      </c>
      <c r="E163" s="60" t="str">
        <f>VLOOKUP($A163,nist_names_ids!A:B,2,false)</f>
        <v>kgu</v>
      </c>
      <c r="F163" s="61">
        <f>countif(Constants!A:A,E163)</f>
        <v>1</v>
      </c>
      <c r="G163" s="60" t="str">
        <f>IFERROR(__xludf.DUMMYFUNCTION("REGEXREPLACE(substitute(substitute(B163,"" "",""""),""..."",""""),""\(.*\)"","""")"),"6.0221415e26")</f>
        <v>6.0221415e26</v>
      </c>
      <c r="H163" s="62">
        <f t="shared" si="2"/>
        <v>6.02214E+26</v>
      </c>
      <c r="I163" s="60" t="str">
        <f>IFERROR(__xludf.DUMMYFUNCTION("if(regexmatch($B163,""\(""),CONCATENATE(regexreplace(REGEXREPLACE(substitute(left($B163,find(""("",$B163)-1),"" "",""""),""\d"",""0""),""[-0]*\."",""0.""), REGEXEXTRACT($B163,""\((.*)\)""),TRIM(REGEXEXTRACT($B163,""\)(.*)""))),"""")"),"0.000000010e26")</f>
        <v>0.000000010e26</v>
      </c>
      <c r="J163" s="62">
        <f t="shared" si="3"/>
        <v>1E+18</v>
      </c>
      <c r="K163" s="62" t="b">
        <f t="shared" si="4"/>
        <v>0</v>
      </c>
      <c r="L163" s="62" t="b">
        <f t="shared" si="5"/>
        <v>0</v>
      </c>
      <c r="M163" s="60" t="str">
        <f>IFERROR(__xludf.DUMMYFUNCTION("if(regexmatch(B163,""e(.*)$""),regexextract(B163,""e(.*)$""),"""")"),"26")</f>
        <v>26</v>
      </c>
    </row>
    <row r="164">
      <c r="A164" s="80" t="s">
        <v>2232</v>
      </c>
      <c r="B164" s="80" t="s">
        <v>5244</v>
      </c>
      <c r="C164" s="80" t="s">
        <v>181</v>
      </c>
      <c r="D164" s="18" t="str">
        <f t="shared" si="1"/>
        <v>eV</v>
      </c>
      <c r="E164" s="60" t="str">
        <f>VLOOKUP($A164,nist_names_ids!A:B,2,false)</f>
        <v>kgev</v>
      </c>
      <c r="F164" s="61">
        <f>countif(Constants!A:A,E164)</f>
        <v>1</v>
      </c>
      <c r="G164" s="60" t="str">
        <f>IFERROR(__xludf.DUMMYFUNCTION("REGEXREPLACE(substitute(substitute(B164,"" "",""""),""..."",""""),""\(.*\)"","""")"),"5.60958896e35")</f>
        <v>5.60958896e35</v>
      </c>
      <c r="H164" s="62">
        <f t="shared" si="2"/>
        <v>5.60959E+35</v>
      </c>
      <c r="I164" s="60" t="str">
        <f>IFERROR(__xludf.DUMMYFUNCTION("if(regexmatch($B164,""\(""),CONCATENATE(regexreplace(REGEXREPLACE(substitute(left($B164,find(""("",$B164)-1),"" "",""""),""\d"",""0""),""[-0]*\."",""0.""), REGEXEXTRACT($B164,""\((.*)\)""),TRIM(REGEXEXTRACT($B164,""\)(.*)""))),"""")"),"0.0000000048e35")</f>
        <v>0.0000000048e35</v>
      </c>
      <c r="J164" s="62">
        <f t="shared" si="3"/>
        <v>4.8E+26</v>
      </c>
      <c r="K164" s="62" t="b">
        <f t="shared" si="4"/>
        <v>0</v>
      </c>
      <c r="L164" s="62" t="b">
        <f t="shared" si="5"/>
        <v>0</v>
      </c>
      <c r="M164" s="60" t="str">
        <f>IFERROR(__xludf.DUMMYFUNCTION("if(regexmatch(B164,""e(.*)$""),regexextract(B164,""e(.*)$""),"""")"),"35")</f>
        <v>35</v>
      </c>
    </row>
    <row r="165">
      <c r="A165" s="80" t="s">
        <v>2236</v>
      </c>
      <c r="B165" s="80" t="s">
        <v>5245</v>
      </c>
      <c r="C165" s="80" t="s">
        <v>170</v>
      </c>
      <c r="D165" s="18" t="str">
        <f t="shared" si="1"/>
        <v>E_h</v>
      </c>
      <c r="E165" s="60" t="str">
        <f>VLOOKUP($A165,nist_names_ids!A:B,2,false)</f>
        <v>kghr</v>
      </c>
      <c r="F165" s="61">
        <f>countif(Constants!A:A,E165)</f>
        <v>1</v>
      </c>
      <c r="G165" s="60" t="str">
        <f>IFERROR(__xludf.DUMMYFUNCTION("REGEXREPLACE(substitute(substitute(B165,"" "",""""),""..."",""""),""\(.*\)"","""")"),"2.06148605e34")</f>
        <v>2.06148605e34</v>
      </c>
      <c r="H165" s="62">
        <f t="shared" si="2"/>
        <v>2.06149E+34</v>
      </c>
      <c r="I165" s="60" t="str">
        <f>IFERROR(__xludf.DUMMYFUNCTION("if(regexmatch($B165,""\(""),CONCATENATE(regexreplace(REGEXREPLACE(substitute(left($B165,find(""("",$B165)-1),"" "",""""),""\d"",""0""),""[-0]*\."",""0.""), REGEXEXTRACT($B165,""\((.*)\)""),TRIM(REGEXEXTRACT($B165,""\)(.*)""))),"""")"),"0.0000000035e34")</f>
        <v>0.0000000035e34</v>
      </c>
      <c r="J165" s="62">
        <f t="shared" si="3"/>
        <v>3.5E+25</v>
      </c>
      <c r="K165" s="62" t="b">
        <f t="shared" si="4"/>
        <v>0</v>
      </c>
      <c r="L165" s="62" t="b">
        <f t="shared" si="5"/>
        <v>0</v>
      </c>
      <c r="M165" s="60" t="str">
        <f>IFERROR(__xludf.DUMMYFUNCTION("if(regexmatch(B165,""e(.*)$""),regexextract(B165,""e(.*)$""),"""")"),"34")</f>
        <v>34</v>
      </c>
    </row>
    <row r="166">
      <c r="A166" s="80" t="s">
        <v>2243</v>
      </c>
      <c r="B166" s="80" t="s">
        <v>5247</v>
      </c>
      <c r="C166" s="80" t="s">
        <v>257</v>
      </c>
      <c r="D166" s="18" t="str">
        <f t="shared" si="1"/>
        <v>Hz</v>
      </c>
      <c r="E166" s="60" t="str">
        <f>VLOOKUP($A166,nist_names_ids!A:B,2,false)</f>
        <v>kghz</v>
      </c>
      <c r="F166" s="61">
        <f>countif(Constants!A:A,E166)</f>
        <v>1</v>
      </c>
      <c r="G166" s="60" t="str">
        <f>IFERROR(__xludf.DUMMYFUNCTION("REGEXREPLACE(substitute(substitute(B166,"" "",""""),""..."",""""),""\(.*\)"","""")"),"1.35639266e50")</f>
        <v>1.35639266e50</v>
      </c>
      <c r="H166" s="62">
        <f t="shared" si="2"/>
        <v>1.35639E+50</v>
      </c>
      <c r="I166" s="60" t="str">
        <f>IFERROR(__xludf.DUMMYFUNCTION("if(regexmatch($B166,""\(""),CONCATENATE(regexreplace(REGEXREPLACE(substitute(left($B166,find(""("",$B166)-1),"" "",""""),""\d"",""0""),""[-0]*\."",""0.""), REGEXEXTRACT($B166,""\((.*)\)""),TRIM(REGEXEXTRACT($B166,""\)(.*)""))),"""")"),"0.0000000023e50")</f>
        <v>0.0000000023e50</v>
      </c>
      <c r="J166" s="62">
        <f t="shared" si="3"/>
        <v>2.3E+41</v>
      </c>
      <c r="K166" s="62" t="b">
        <f t="shared" si="4"/>
        <v>0</v>
      </c>
      <c r="L166" s="62" t="b">
        <f t="shared" si="5"/>
        <v>0</v>
      </c>
      <c r="M166" s="60" t="str">
        <f>IFERROR(__xludf.DUMMYFUNCTION("if(regexmatch(B166,""e(.*)$""),regexextract(B166,""e(.*)$""),"""")"),"50")</f>
        <v>50</v>
      </c>
    </row>
    <row r="167">
      <c r="A167" s="80" t="s">
        <v>2247</v>
      </c>
      <c r="B167" s="80" t="s">
        <v>5249</v>
      </c>
      <c r="C167" s="80" t="s">
        <v>4359</v>
      </c>
      <c r="D167" s="18" t="str">
        <f t="shared" si="1"/>
        <v>m^-1</v>
      </c>
      <c r="E167" s="60" t="str">
        <f>VLOOKUP($A167,nist_names_ids!A:B,2,false)</f>
        <v>kgminv</v>
      </c>
      <c r="F167" s="61">
        <f>countif(Constants!A:A,E167)</f>
        <v>1</v>
      </c>
      <c r="G167" s="60" t="str">
        <f>IFERROR(__xludf.DUMMYFUNCTION("REGEXREPLACE(substitute(substitute(B167,"" "",""""),""..."",""""),""\(.*\)"","""")"),"4.52443891e41")</f>
        <v>4.52443891e41</v>
      </c>
      <c r="H167" s="62">
        <f t="shared" si="2"/>
        <v>4.52444E+41</v>
      </c>
      <c r="I167" s="60" t="str">
        <f>IFERROR(__xludf.DUMMYFUNCTION("if(regexmatch($B167,""\(""),CONCATENATE(regexreplace(REGEXREPLACE(substitute(left($B167,find(""("",$B167)-1),"" "",""""),""\d"",""0""),""[-0]*\."",""0.""), REGEXEXTRACT($B167,""\((.*)\)""),TRIM(REGEXEXTRACT($B167,""\)(.*)""))),"""")"),"0.0000000077e41")</f>
        <v>0.0000000077e41</v>
      </c>
      <c r="J167" s="62">
        <f t="shared" si="3"/>
        <v>7.7E+32</v>
      </c>
      <c r="K167" s="62" t="b">
        <f t="shared" si="4"/>
        <v>0</v>
      </c>
      <c r="L167" s="62" t="b">
        <f t="shared" si="5"/>
        <v>0</v>
      </c>
      <c r="M167" s="60" t="str">
        <f>IFERROR(__xludf.DUMMYFUNCTION("if(regexmatch(B167,""e(.*)$""),regexextract(B167,""e(.*)$""),"""")"),"41")</f>
        <v>41</v>
      </c>
    </row>
    <row r="168">
      <c r="A168" s="80" t="s">
        <v>2253</v>
      </c>
      <c r="B168" s="80" t="s">
        <v>5095</v>
      </c>
      <c r="C168" s="80" t="s">
        <v>173</v>
      </c>
      <c r="D168" s="18" t="str">
        <f t="shared" si="1"/>
        <v>J</v>
      </c>
      <c r="E168" s="60" t="str">
        <f>VLOOKUP($A168,nist_names_ids!A:B,2,false)</f>
        <v>kgj</v>
      </c>
      <c r="F168" s="61">
        <f>countif(Constants!A:A,E169)</f>
        <v>1</v>
      </c>
      <c r="G168" s="60" t="str">
        <f>IFERROR(__xludf.DUMMYFUNCTION("REGEXREPLACE(substitute(substitute(B168,"" "",""""),""..."",""""),""\(.*\)"","""")"),"8.987551787e16")</f>
        <v>8.987551787e16</v>
      </c>
      <c r="H168" s="62">
        <f t="shared" si="2"/>
        <v>8.98755E+16</v>
      </c>
      <c r="I168" s="60" t="str">
        <f>IFERROR(__xludf.DUMMYFUNCTION("if(regexmatch($B168,""\(""),CONCATENATE(regexreplace(REGEXREPLACE(substitute(left($B168,find(""("",$B168)-1),"" "",""""),""\d"",""0""),""[-0]*\."",""0.""), REGEXEXTRACT($B168,""\((.*)\)""),TRIM(REGEXEXTRACT($B168,""\)(.*)""))),"""")"),"")</f>
        <v/>
      </c>
      <c r="J168" s="62" t="str">
        <f t="shared" si="3"/>
        <v/>
      </c>
      <c r="K168" s="62" t="b">
        <f t="shared" si="4"/>
        <v>0</v>
      </c>
      <c r="L168" s="62" t="b">
        <f t="shared" si="5"/>
        <v>1</v>
      </c>
      <c r="M168" s="60" t="str">
        <f>IFERROR(__xludf.DUMMYFUNCTION("if(regexmatch(B168,""e(.*)$""),regexextract(B168,""e(.*)$""),"""")"),"16")</f>
        <v>16</v>
      </c>
    </row>
    <row r="169">
      <c r="A169" s="80" t="s">
        <v>2257</v>
      </c>
      <c r="B169" s="80" t="s">
        <v>5253</v>
      </c>
      <c r="C169" s="80" t="s">
        <v>345</v>
      </c>
      <c r="D169" s="18" t="str">
        <f t="shared" si="1"/>
        <v>K</v>
      </c>
      <c r="E169" s="60" t="str">
        <f>VLOOKUP($A169,nist_names_ids!A:B,2,false)</f>
        <v>kgk</v>
      </c>
      <c r="G169" s="60" t="str">
        <f>IFERROR(__xludf.DUMMYFUNCTION("REGEXREPLACE(substitute(substitute(B169,"" "",""""),""..."",""""),""\(.*\)"","""")"),"6.509650e39")</f>
        <v>6.509650e39</v>
      </c>
      <c r="H169" s="62">
        <f t="shared" si="2"/>
        <v>6.50965E+39</v>
      </c>
      <c r="I169" s="60" t="str">
        <f>IFERROR(__xludf.DUMMYFUNCTION("if(regexmatch($B169,""\(""),CONCATENATE(regexreplace(REGEXREPLACE(substitute(left($B169,find(""("",$B169)-1),"" "",""""),""\d"",""0""),""[-0]*\."",""0.""), REGEXEXTRACT($B169,""\((.*)\)""),TRIM(REGEXEXTRACT($B169,""\)(.*)""))),"""")"),"0.00000011e39")</f>
        <v>0.00000011e39</v>
      </c>
      <c r="J169" s="62">
        <f t="shared" si="3"/>
        <v>1.1E+32</v>
      </c>
      <c r="K169" s="62" t="b">
        <f t="shared" si="4"/>
        <v>0</v>
      </c>
      <c r="L169" s="62" t="b">
        <f t="shared" si="5"/>
        <v>0</v>
      </c>
      <c r="M169" s="60" t="str">
        <f>IFERROR(__xludf.DUMMYFUNCTION("if(regexmatch(B169,""e(.*)$""),regexextract(B169,""e(.*)$""),"""")"),"39")</f>
        <v>39</v>
      </c>
    </row>
    <row r="170">
      <c r="A170" s="80" t="s">
        <v>2260</v>
      </c>
      <c r="B170" s="80" t="s">
        <v>5255</v>
      </c>
      <c r="C170" s="80" t="s">
        <v>381</v>
      </c>
      <c r="D170" s="18" t="str">
        <f t="shared" si="1"/>
        <v>m</v>
      </c>
      <c r="E170" s="60" t="str">
        <f>VLOOKUP($A170,nist_names_ids!A:B,2,false)</f>
        <v>asil</v>
      </c>
      <c r="F170" s="61">
        <f>countif(Constants!A:A,E170)</f>
        <v>1</v>
      </c>
      <c r="G170" s="60" t="str">
        <f>IFERROR(__xludf.DUMMYFUNCTION("REGEXREPLACE(substitute(substitute(B170,"" "",""""),""..."",""""),""\(.*\)"","""")"),"543.102122e-12")</f>
        <v>543.102122e-12</v>
      </c>
      <c r="H170" s="62">
        <f t="shared" si="2"/>
        <v>0.000000000543102122</v>
      </c>
      <c r="I170" s="60" t="str">
        <f>IFERROR(__xludf.DUMMYFUNCTION("if(regexmatch($B170,""\(""),CONCATENATE(regexreplace(REGEXREPLACE(substitute(left($B170,find(""("",$B170)-1),"" "",""""),""\d"",""0""),""[-0]*\."",""0.""), REGEXEXTRACT($B170,""\((.*)\)""),TRIM(REGEXEXTRACT($B170,""\)(.*)""))),"""")"),"0.00000020e-12")</f>
        <v>0.00000020e-12</v>
      </c>
      <c r="J170" s="62">
        <f t="shared" si="3"/>
        <v>0</v>
      </c>
      <c r="K170" s="62" t="b">
        <f t="shared" si="4"/>
        <v>0</v>
      </c>
      <c r="L170" s="62" t="b">
        <f t="shared" si="5"/>
        <v>0</v>
      </c>
      <c r="M170" s="60" t="str">
        <f>IFERROR(__xludf.DUMMYFUNCTION("if(regexmatch(B170,""e(.*)$""),regexextract(B170,""e(.*)$""),"""")"),"-12")</f>
        <v>-12</v>
      </c>
    </row>
    <row r="171">
      <c r="A171" s="80" t="s">
        <v>3275</v>
      </c>
      <c r="B171" s="80" t="s">
        <v>5259</v>
      </c>
      <c r="C171" s="80" t="s">
        <v>381</v>
      </c>
      <c r="D171" s="18" t="str">
        <f t="shared" si="1"/>
        <v>m</v>
      </c>
      <c r="E171" s="60" t="str">
        <f>VLOOKUP($A171,nist_names_ids!A:B,2,false)</f>
        <v>d220sil</v>
      </c>
      <c r="F171" s="61">
        <f>countif(Constants!A:A,E171)</f>
        <v>1</v>
      </c>
      <c r="G171" s="60" t="str">
        <f>IFERROR(__xludf.DUMMYFUNCTION("REGEXREPLACE(substitute(substitute(B171,"" "",""""),""..."",""""),""\(.*\)"","""")"),"192.0155965e-12")</f>
        <v>192.0155965e-12</v>
      </c>
      <c r="H171" s="62">
        <f t="shared" si="2"/>
        <v>0.0000000001920155965</v>
      </c>
      <c r="I171" s="60" t="str">
        <f>IFERROR(__xludf.DUMMYFUNCTION("if(regexmatch($B171,""\(""),CONCATENATE(regexreplace(REGEXREPLACE(substitute(left($B171,find(""("",$B171)-1),"" "",""""),""\d"",""0""),""[-0]*\."",""0.""), REGEXEXTRACT($B171,""\((.*)\)""),TRIM(REGEXEXTRACT($B171,""\)(.*)""))),"""")"),"0.000000070e-12")</f>
        <v>0.000000070e-12</v>
      </c>
      <c r="J171" s="62">
        <f t="shared" si="3"/>
        <v>0</v>
      </c>
      <c r="K171" s="62" t="b">
        <f t="shared" si="4"/>
        <v>0</v>
      </c>
      <c r="L171" s="62" t="b">
        <f t="shared" si="5"/>
        <v>0</v>
      </c>
      <c r="M171" s="60" t="str">
        <f>IFERROR(__xludf.DUMMYFUNCTION("if(regexmatch(B171,""e(.*)$""),regexextract(B171,""e(.*)$""),"""")"),"-12")</f>
        <v>-12</v>
      </c>
    </row>
    <row r="172">
      <c r="A172" s="80" t="s">
        <v>2273</v>
      </c>
      <c r="B172" s="80" t="s">
        <v>5260</v>
      </c>
      <c r="C172" s="80" t="s">
        <v>5107</v>
      </c>
      <c r="D172" s="18" t="str">
        <f t="shared" si="1"/>
        <v>m^-3</v>
      </c>
      <c r="E172" s="60" t="str">
        <f>VLOOKUP($A172,nist_names_ids!A:B,2,false)</f>
        <v>n0std</v>
      </c>
      <c r="F172" s="61">
        <f>countif(Constants!A:A,E172)</f>
        <v>1</v>
      </c>
      <c r="G172" s="60" t="str">
        <f>IFERROR(__xludf.DUMMYFUNCTION("REGEXREPLACE(substitute(substitute(B172,"" "",""""),""..."",""""),""\(.*\)"","""")"),"2.6867773e25")</f>
        <v>2.6867773e25</v>
      </c>
      <c r="H172" s="62">
        <f t="shared" si="2"/>
        <v>2.68678E+25</v>
      </c>
      <c r="I172" s="60" t="str">
        <f>IFERROR(__xludf.DUMMYFUNCTION("if(regexmatch($B172,""\(""),CONCATENATE(regexreplace(REGEXREPLACE(substitute(left($B172,find(""("",$B172)-1),"" "",""""),""\d"",""0""),""[-0]*\."",""0.""), REGEXEXTRACT($B172,""\((.*)\)""),TRIM(REGEXEXTRACT($B172,""\)(.*)""))),"""")"),"0.000000047e25")</f>
        <v>0.000000047e25</v>
      </c>
      <c r="J172" s="62">
        <f t="shared" si="3"/>
        <v>4.7E+17</v>
      </c>
      <c r="K172" s="62" t="b">
        <f t="shared" si="4"/>
        <v>0</v>
      </c>
      <c r="L172" s="62" t="b">
        <f t="shared" si="5"/>
        <v>0</v>
      </c>
      <c r="M172" s="60" t="str">
        <f>IFERROR(__xludf.DUMMYFUNCTION("if(regexmatch(B172,""e(.*)$""),regexextract(B172,""e(.*)$""),"""")"),"25")</f>
        <v>25</v>
      </c>
    </row>
    <row r="173">
      <c r="A173" s="80" t="s">
        <v>3305</v>
      </c>
      <c r="B173" s="80" t="s">
        <v>5110</v>
      </c>
      <c r="C173" s="80" t="s">
        <v>5111</v>
      </c>
      <c r="D173" s="18" t="str">
        <f t="shared" si="1"/>
        <v>N A^-2</v>
      </c>
      <c r="E173" s="60" t="str">
        <f>VLOOKUP($A173,nist_names_ids!A:B,2,false)</f>
        <v>mu0</v>
      </c>
      <c r="F173" s="61">
        <f>countif(Constants!A:A,E173)</f>
        <v>1</v>
      </c>
      <c r="G173" s="60" t="str">
        <f>IFERROR(__xludf.DUMMYFUNCTION("REGEXREPLACE(substitute(substitute(B173,"" "",""""),""..."",""""),""\(.*\)"","""")"),"12.566370614e-7")</f>
        <v>12.566370614e-7</v>
      </c>
      <c r="H173" s="62">
        <f t="shared" si="2"/>
        <v>0.000001256637061</v>
      </c>
      <c r="I173" s="60" t="str">
        <f>IFERROR(__xludf.DUMMYFUNCTION("if(regexmatch($B173,""\(""),CONCATENATE(regexreplace(REGEXREPLACE(substitute(left($B173,find(""("",$B173)-1),"" "",""""),""\d"",""0""),""[-0]*\."",""0.""), REGEXEXTRACT($B173,""\((.*)\)""),TRIM(REGEXEXTRACT($B173,""\)(.*)""))),"""")"),"")</f>
        <v/>
      </c>
      <c r="J173" s="62" t="str">
        <f t="shared" si="3"/>
        <v/>
      </c>
      <c r="K173" s="62" t="b">
        <f t="shared" si="4"/>
        <v>0</v>
      </c>
      <c r="L173" s="62" t="b">
        <f t="shared" si="5"/>
        <v>1</v>
      </c>
      <c r="M173" s="60" t="str">
        <f>IFERROR(__xludf.DUMMYFUNCTION("if(regexmatch(B173,""e(.*)$""),regexextract(B173,""e(.*)$""),"""")"),"-7")</f>
        <v>-7</v>
      </c>
    </row>
    <row r="174">
      <c r="A174" s="80" t="s">
        <v>3252</v>
      </c>
      <c r="B174" s="80" t="s">
        <v>5264</v>
      </c>
      <c r="C174" s="80" t="s">
        <v>622</v>
      </c>
      <c r="D174" s="18" t="str">
        <f t="shared" si="1"/>
        <v>Wb</v>
      </c>
      <c r="E174" s="60" t="str">
        <f>VLOOKUP($A174,nist_names_ids!A:B,2,false)</f>
        <v>flxquhs2e</v>
      </c>
      <c r="F174" s="61">
        <f>countif(Constants!A:A,E174)</f>
        <v>1</v>
      </c>
      <c r="G174" s="60" t="str">
        <f>IFERROR(__xludf.DUMMYFUNCTION("REGEXREPLACE(substitute(substitute(B174,"" "",""""),""..."",""""),""\(.*\)"","""")"),"2.06783372e-15")</f>
        <v>2.06783372e-15</v>
      </c>
      <c r="H174" s="62">
        <f t="shared" si="2"/>
        <v>0</v>
      </c>
      <c r="I174" s="60" t="str">
        <f>IFERROR(__xludf.DUMMYFUNCTION("if(regexmatch($B174,""\(""),CONCATENATE(regexreplace(REGEXREPLACE(substitute(left($B174,find(""("",$B174)-1),"" "",""""),""\d"",""0""),""[-0]*\."",""0.""), REGEXEXTRACT($B174,""\((.*)\)""),TRIM(REGEXEXTRACT($B174,""\)(.*)""))),"""")"),"0.0000000018e-15")</f>
        <v>0.0000000018e-15</v>
      </c>
      <c r="J174" s="62">
        <f t="shared" si="3"/>
        <v>0</v>
      </c>
      <c r="K174" s="62" t="b">
        <f t="shared" si="4"/>
        <v>0</v>
      </c>
      <c r="L174" s="62" t="b">
        <f t="shared" si="5"/>
        <v>0</v>
      </c>
      <c r="M174" s="60" t="str">
        <f>IFERROR(__xludf.DUMMYFUNCTION("if(regexmatch(B174,""e(.*)$""),regexextract(B174,""e(.*)$""),"""")"),"-15")</f>
        <v>-15</v>
      </c>
    </row>
    <row r="175">
      <c r="A175" s="80" t="s">
        <v>3323</v>
      </c>
      <c r="B175" s="80" t="s">
        <v>5266</v>
      </c>
      <c r="C175" s="80" t="s">
        <v>381</v>
      </c>
      <c r="D175" s="18" t="str">
        <f t="shared" si="1"/>
        <v>m</v>
      </c>
      <c r="E175" s="60" t="str">
        <f>VLOOKUP($A175,nist_names_ids!A:B,2,false)</f>
        <v>xumokalph1</v>
      </c>
      <c r="F175" s="61">
        <f>countif(Constants!A:A,E175)</f>
        <v>1</v>
      </c>
      <c r="G175" s="60" t="str">
        <f>IFERROR(__xludf.DUMMYFUNCTION("REGEXREPLACE(substitute(substitute(B175,"" "",""""),""..."",""""),""\(.*\)"","""")"),"1.00209966e-13")</f>
        <v>1.00209966e-13</v>
      </c>
      <c r="H175" s="62">
        <f t="shared" si="2"/>
        <v>0</v>
      </c>
      <c r="I175" s="60" t="str">
        <f>IFERROR(__xludf.DUMMYFUNCTION("if(regexmatch($B175,""\(""),CONCATENATE(regexreplace(REGEXREPLACE(substitute(left($B175,find(""("",$B175)-1),"" "",""""),""\d"",""0""),""[-0]*\."",""0.""), REGEXEXTRACT($B175,""\((.*)\)""),TRIM(REGEXEXTRACT($B175,""\)(.*)""))),"""")"),"0.0000000053e-13")</f>
        <v>0.0000000053e-13</v>
      </c>
      <c r="J175" s="62">
        <f t="shared" si="3"/>
        <v>0</v>
      </c>
      <c r="K175" s="62" t="b">
        <f t="shared" si="4"/>
        <v>0</v>
      </c>
      <c r="L175" s="62" t="b">
        <f t="shared" si="5"/>
        <v>0</v>
      </c>
      <c r="M175" s="60" t="str">
        <f>IFERROR(__xludf.DUMMYFUNCTION("if(regexmatch(B175,""e(.*)$""),regexextract(B175,""e(.*)$""),"""")"),"-13")</f>
        <v>-13</v>
      </c>
    </row>
    <row r="176">
      <c r="A176" s="80" t="s">
        <v>2295</v>
      </c>
      <c r="B176" s="80" t="s">
        <v>5269</v>
      </c>
      <c r="C176" s="80" t="s">
        <v>5118</v>
      </c>
      <c r="D176" s="18" t="str">
        <f t="shared" si="1"/>
        <v>J s mol^-1</v>
      </c>
      <c r="E176" s="60" t="str">
        <f>VLOOKUP($A176,nist_names_ids!A:B,2,false)</f>
        <v>nah</v>
      </c>
      <c r="F176" s="61">
        <f>countif(Constants!A:A,E176)</f>
        <v>1</v>
      </c>
      <c r="G176" s="60" t="str">
        <f>IFERROR(__xludf.DUMMYFUNCTION("REGEXREPLACE(substitute(substitute(B176,"" "",""""),""..."",""""),""\(.*\)"","""")"),"3.990312716e-10")</f>
        <v>3.990312716e-10</v>
      </c>
      <c r="H176" s="62">
        <f t="shared" si="2"/>
        <v>0.0000000003990312716</v>
      </c>
      <c r="I176" s="60" t="str">
        <f>IFERROR(__xludf.DUMMYFUNCTION("if(regexmatch($B176,""\(""),CONCATENATE(regexreplace(REGEXREPLACE(substitute(left($B176,find(""("",$B176)-1),"" "",""""),""\d"",""0""),""[-0]*\."",""0.""), REGEXEXTRACT($B176,""\((.*)\)""),TRIM(REGEXEXTRACT($B176,""\)(.*)""))),"""")"),"0.00000000027e-10")</f>
        <v>0.00000000027e-10</v>
      </c>
      <c r="J176" s="62">
        <f t="shared" si="3"/>
        <v>0</v>
      </c>
      <c r="K176" s="62" t="b">
        <f t="shared" si="4"/>
        <v>0</v>
      </c>
      <c r="L176" s="62" t="b">
        <f t="shared" si="5"/>
        <v>0</v>
      </c>
      <c r="M176" s="60" t="str">
        <f>IFERROR(__xludf.DUMMYFUNCTION("if(regexmatch(B176,""e(.*)$""),regexextract(B176,""e(.*)$""),"""")"),"-10")</f>
        <v>-10</v>
      </c>
    </row>
    <row r="177">
      <c r="A177" s="80" t="s">
        <v>3311</v>
      </c>
      <c r="B177" s="80" t="s">
        <v>5271</v>
      </c>
      <c r="C177" s="80" t="s">
        <v>5122</v>
      </c>
      <c r="D177" s="18" t="str">
        <f t="shared" si="1"/>
        <v>J m mol^-1</v>
      </c>
      <c r="E177" s="60" t="str">
        <f>VLOOKUP($A177,nist_names_ids!A:B,2,false)</f>
        <v>nahc</v>
      </c>
      <c r="F177" s="61">
        <f>countif(Constants!A:A,E177)</f>
        <v>1</v>
      </c>
      <c r="G177" s="60" t="str">
        <f>IFERROR(__xludf.DUMMYFUNCTION("REGEXREPLACE(substitute(substitute(B177,"" "",""""),""..."",""""),""\(.*\)"","""")"),"0.11962656572")</f>
        <v>0.11962656572</v>
      </c>
      <c r="H177" s="62">
        <f t="shared" si="2"/>
        <v>0.1196265657</v>
      </c>
      <c r="I177" s="60" t="str">
        <f>IFERROR(__xludf.DUMMYFUNCTION("if(regexmatch($B177,""\(""),CONCATENATE(regexreplace(REGEXREPLACE(substitute(left($B177,find(""("",$B177)-1),"" "",""""),""\d"",""0""),""[-0]*\."",""0.""), REGEXEXTRACT($B177,""\((.*)\)""),TRIM(REGEXEXTRACT($B177,""\)(.*)""))),"""")"),"0.0000000000080")</f>
        <v>0.0000000000080</v>
      </c>
      <c r="J177" s="62">
        <f t="shared" si="3"/>
        <v>0</v>
      </c>
      <c r="K177" s="62" t="b">
        <f t="shared" si="4"/>
        <v>0</v>
      </c>
      <c r="L177" s="62" t="b">
        <f t="shared" si="5"/>
        <v>0</v>
      </c>
      <c r="M177" s="60" t="str">
        <f>IFERROR(__xludf.DUMMYFUNCTION("if(regexmatch(B177,""e(.*)$""),regexextract(B177,""e(.*)$""),"""")"),"")</f>
        <v/>
      </c>
    </row>
    <row r="178">
      <c r="A178" s="80" t="s">
        <v>2284</v>
      </c>
      <c r="B178" s="80" t="s">
        <v>5126</v>
      </c>
      <c r="C178" s="80" t="s">
        <v>5127</v>
      </c>
      <c r="D178" s="18" t="str">
        <f t="shared" si="1"/>
        <v>J mol^-1 K^-1</v>
      </c>
      <c r="E178" s="60" t="str">
        <f>VLOOKUP($A178,nist_names_ids!A:B,2,false)</f>
        <v>r</v>
      </c>
      <c r="F178" s="61">
        <f>countif(Constants!A:A,E178)</f>
        <v>1</v>
      </c>
      <c r="G178" s="60" t="str">
        <f>IFERROR(__xludf.DUMMYFUNCTION("REGEXREPLACE(substitute(substitute(B178,"" "",""""),""..."",""""),""\(.*\)"","""")"),"8.314472")</f>
        <v>8.314472</v>
      </c>
      <c r="H178" s="62">
        <f t="shared" si="2"/>
        <v>8.314472</v>
      </c>
      <c r="I178" s="60" t="str">
        <f>IFERROR(__xludf.DUMMYFUNCTION("if(regexmatch($B178,""\(""),CONCATENATE(regexreplace(REGEXREPLACE(substitute(left($B178,find(""("",$B178)-1),"" "",""""),""\d"",""0""),""[-0]*\."",""0.""), REGEXEXTRACT($B178,""\((.*)\)""),TRIM(REGEXEXTRACT($B178,""\)(.*)""))),"""")"),"0.00000015")</f>
        <v>0.00000015</v>
      </c>
      <c r="J178" s="62">
        <f t="shared" si="3"/>
        <v>0.00000015</v>
      </c>
      <c r="K178" s="62" t="b">
        <f t="shared" si="4"/>
        <v>0</v>
      </c>
      <c r="L178" s="62" t="b">
        <f t="shared" si="5"/>
        <v>0</v>
      </c>
      <c r="M178" s="60" t="str">
        <f>IFERROR(__xludf.DUMMYFUNCTION("if(regexmatch(B178,""e(.*)$""),regexextract(B178,""e(.*)$""),"""")"),"")</f>
        <v/>
      </c>
    </row>
    <row r="179">
      <c r="A179" s="80" t="s">
        <v>2287</v>
      </c>
      <c r="B179" s="80" t="s">
        <v>5129</v>
      </c>
      <c r="C179" s="80" t="s">
        <v>4309</v>
      </c>
      <c r="D179" s="18" t="str">
        <f t="shared" si="1"/>
        <v>kg mol^-1</v>
      </c>
      <c r="E179" s="60" t="str">
        <f>VLOOKUP($A179,nist_names_ids!A:B,2,false)</f>
        <v>mu</v>
      </c>
      <c r="F179" s="61">
        <f>countif(Constants!A:A,E179)</f>
        <v>1</v>
      </c>
      <c r="G179" s="60" t="str">
        <f>IFERROR(__xludf.DUMMYFUNCTION("REGEXREPLACE(substitute(substitute(B179,"" "",""""),""..."",""""),""\(.*\)"","""")"),"1e-3")</f>
        <v>1e-3</v>
      </c>
      <c r="H179" s="62">
        <f t="shared" si="2"/>
        <v>0.001</v>
      </c>
      <c r="I179" s="60" t="str">
        <f>IFERROR(__xludf.DUMMYFUNCTION("if(regexmatch($B179,""\(""),CONCATENATE(regexreplace(REGEXREPLACE(substitute(left($B179,find(""("",$B179)-1),"" "",""""),""\d"",""0""),""[-0]*\."",""0.""), REGEXEXTRACT($B179,""\((.*)\)""),TRIM(REGEXEXTRACT($B179,""\)(.*)""))),"""")"),"")</f>
        <v/>
      </c>
      <c r="J179" s="62" t="str">
        <f t="shared" si="3"/>
        <v/>
      </c>
      <c r="K179" s="62" t="b">
        <f t="shared" si="4"/>
        <v>0</v>
      </c>
      <c r="L179" s="62" t="b">
        <f t="shared" si="5"/>
        <v>0</v>
      </c>
      <c r="M179" s="60" t="str">
        <f>IFERROR(__xludf.DUMMYFUNCTION("if(regexmatch(B179,""e(.*)$""),regexextract(B179,""e(.*)$""),"""")"),"-3")</f>
        <v>-3</v>
      </c>
    </row>
    <row r="180">
      <c r="A180" s="80" t="s">
        <v>2290</v>
      </c>
      <c r="B180" s="80" t="s">
        <v>5131</v>
      </c>
      <c r="C180" s="80" t="s">
        <v>4309</v>
      </c>
      <c r="D180" s="18" t="str">
        <f t="shared" si="1"/>
        <v>kg mol^-1</v>
      </c>
      <c r="E180" s="60" t="str">
        <f>VLOOKUP($A180,nist_names_ids!A:B,2,false)</f>
        <v>mm12c</v>
      </c>
      <c r="F180" s="61">
        <f>countif(Constants!A:A,E180)</f>
        <v>1</v>
      </c>
      <c r="G180" s="60" t="str">
        <f>IFERROR(__xludf.DUMMYFUNCTION("REGEXREPLACE(substitute(substitute(B180,"" "",""""),""..."",""""),""\(.*\)"","""")"),"12e-3")</f>
        <v>12e-3</v>
      </c>
      <c r="H180" s="62">
        <f t="shared" si="2"/>
        <v>0.012</v>
      </c>
      <c r="I180" s="60" t="str">
        <f>IFERROR(__xludf.DUMMYFUNCTION("if(regexmatch($B180,""\(""),CONCATENATE(regexreplace(REGEXREPLACE(substitute(left($B180,find(""("",$B180)-1),"" "",""""),""\d"",""0""),""[-0]*\."",""0.""), REGEXEXTRACT($B180,""\((.*)\)""),TRIM(REGEXEXTRACT($B180,""\)(.*)""))),"""")"),"")</f>
        <v/>
      </c>
      <c r="J180" s="62" t="str">
        <f t="shared" si="3"/>
        <v/>
      </c>
      <c r="K180" s="62" t="b">
        <f t="shared" si="4"/>
        <v>0</v>
      </c>
      <c r="L180" s="62" t="b">
        <f t="shared" si="5"/>
        <v>0</v>
      </c>
      <c r="M180" s="60" t="str">
        <f>IFERROR(__xludf.DUMMYFUNCTION("if(regexmatch(B180,""e(.*)$""),regexextract(B180,""e(.*)$""),"""")"),"-3")</f>
        <v>-3</v>
      </c>
    </row>
    <row r="181">
      <c r="A181" s="80" t="s">
        <v>2300</v>
      </c>
      <c r="B181" s="80" t="s">
        <v>5132</v>
      </c>
      <c r="C181" s="80" t="s">
        <v>5133</v>
      </c>
      <c r="D181" s="18" t="str">
        <f t="shared" si="1"/>
        <v>m^3 mol^-1</v>
      </c>
      <c r="E181" s="60" t="str">
        <f>VLOOKUP($A181,nist_names_ids!A:B,2,false)</f>
        <v>mvol</v>
      </c>
      <c r="F181" s="61">
        <f>countif(Constants!A:A,E181)</f>
        <v>1</v>
      </c>
      <c r="G181" s="60" t="str">
        <f>IFERROR(__xludf.DUMMYFUNCTION("REGEXREPLACE(substitute(substitute(B181,"" "",""""),""..."",""""),""\(.*\)"","""")"),"22.710981e-3")</f>
        <v>22.710981e-3</v>
      </c>
      <c r="H181" s="62">
        <f t="shared" si="2"/>
        <v>0.022710981</v>
      </c>
      <c r="I181" s="60" t="str">
        <f>IFERROR(__xludf.DUMMYFUNCTION("if(regexmatch($B181,""\(""),CONCATENATE(regexreplace(REGEXREPLACE(substitute(left($B181,find(""("",$B181)-1),"" "",""""),""\d"",""0""),""[-0]*\."",""0.""), REGEXEXTRACT($B181,""\((.*)\)""),TRIM(REGEXEXTRACT($B181,""\)(.*)""))),"""")"),"0.00000040e-3")</f>
        <v>0.00000040e-3</v>
      </c>
      <c r="J181" s="62">
        <f t="shared" si="3"/>
        <v>0.0000000004</v>
      </c>
      <c r="K181" s="62" t="b">
        <f t="shared" si="4"/>
        <v>0</v>
      </c>
      <c r="L181" s="62" t="b">
        <f t="shared" si="5"/>
        <v>0</v>
      </c>
      <c r="M181" s="60" t="str">
        <f>IFERROR(__xludf.DUMMYFUNCTION("if(regexmatch(B181,""e(.*)$""),regexextract(B181,""e(.*)$""),"""")"),"-3")</f>
        <v>-3</v>
      </c>
    </row>
    <row r="182">
      <c r="A182" s="80" t="s">
        <v>2303</v>
      </c>
      <c r="B182" s="80" t="s">
        <v>5135</v>
      </c>
      <c r="C182" s="80" t="s">
        <v>5133</v>
      </c>
      <c r="D182" s="18" t="str">
        <f t="shared" si="1"/>
        <v>m^3 mol^-1</v>
      </c>
      <c r="E182" s="60" t="str">
        <f>VLOOKUP($A182,nist_names_ids!A:B,2,false)</f>
        <v>mvolstd</v>
      </c>
      <c r="F182" s="61">
        <f>countif(Constants!A:A,E182)</f>
        <v>1</v>
      </c>
      <c r="G182" s="60" t="str">
        <f>IFERROR(__xludf.DUMMYFUNCTION("REGEXREPLACE(substitute(substitute(B182,"" "",""""),""..."",""""),""\(.*\)"","""")"),"22.413996e-3")</f>
        <v>22.413996e-3</v>
      </c>
      <c r="H182" s="62">
        <f t="shared" si="2"/>
        <v>0.022413996</v>
      </c>
      <c r="I182" s="60" t="str">
        <f>IFERROR(__xludf.DUMMYFUNCTION("if(regexmatch($B182,""\(""),CONCATENATE(regexreplace(REGEXREPLACE(substitute(left($B182,find(""("",$B182)-1),"" "",""""),""\d"",""0""),""[-0]*\."",""0.""), REGEXEXTRACT($B182,""\((.*)\)""),TRIM(REGEXEXTRACT($B182,""\)(.*)""))),"""")"),"0.00000039e-3")</f>
        <v>0.00000039e-3</v>
      </c>
      <c r="J182" s="62">
        <f t="shared" si="3"/>
        <v>0.00000000039</v>
      </c>
      <c r="K182" s="62" t="b">
        <f t="shared" si="4"/>
        <v>0</v>
      </c>
      <c r="L182" s="62" t="b">
        <f t="shared" si="5"/>
        <v>0</v>
      </c>
      <c r="M182" s="60" t="str">
        <f>IFERROR(__xludf.DUMMYFUNCTION("if(regexmatch(B182,""e(.*)$""),regexextract(B182,""e(.*)$""),"""")"),"-3")</f>
        <v>-3</v>
      </c>
    </row>
    <row r="183">
      <c r="A183" s="80" t="s">
        <v>2308</v>
      </c>
      <c r="B183" s="80" t="s">
        <v>5281</v>
      </c>
      <c r="C183" s="80" t="s">
        <v>5133</v>
      </c>
      <c r="D183" s="18" t="str">
        <f t="shared" si="1"/>
        <v>m^3 mol^-1</v>
      </c>
      <c r="E183" s="60" t="str">
        <f>VLOOKUP($A183,nist_names_ids!A:B,2,false)</f>
        <v>mvolsil</v>
      </c>
      <c r="F183" s="61">
        <f>countif(Constants!A:A,E183)</f>
        <v>1</v>
      </c>
      <c r="G183" s="60" t="str">
        <f>IFERROR(__xludf.DUMMYFUNCTION("REGEXREPLACE(substitute(substitute(B183,"" "",""""),""..."",""""),""\(.*\)"","""")"),"12.0588382e-6")</f>
        <v>12.0588382e-6</v>
      </c>
      <c r="H183" s="62">
        <f t="shared" si="2"/>
        <v>0.0000120588382</v>
      </c>
      <c r="I183" s="60" t="str">
        <f>IFERROR(__xludf.DUMMYFUNCTION("if(regexmatch($B183,""\(""),CONCATENATE(regexreplace(REGEXREPLACE(substitute(left($B183,find(""("",$B183)-1),"" "",""""),""\d"",""0""),""[-0]*\."",""0.""), REGEXEXTRACT($B183,""\((.*)\)""),TRIM(REGEXEXTRACT($B183,""\)(.*)""))),"""")"),"0.000000024e-6")</f>
        <v>0.000000024e-6</v>
      </c>
      <c r="J183" s="62">
        <f t="shared" si="3"/>
        <v>0</v>
      </c>
      <c r="K183" s="62" t="b">
        <f t="shared" si="4"/>
        <v>0</v>
      </c>
      <c r="L183" s="62" t="b">
        <f t="shared" si="5"/>
        <v>0</v>
      </c>
      <c r="M183" s="60" t="str">
        <f>IFERROR(__xludf.DUMMYFUNCTION("if(regexmatch(B183,""e(.*)$""),regexextract(B183,""e(.*)$""),"""")"),"-6")</f>
        <v>-6</v>
      </c>
    </row>
    <row r="184">
      <c r="A184" s="80" t="s">
        <v>2318</v>
      </c>
      <c r="B184" s="80" t="s">
        <v>5284</v>
      </c>
      <c r="C184" s="80" t="s">
        <v>381</v>
      </c>
      <c r="D184" s="18" t="str">
        <f t="shared" si="1"/>
        <v>m</v>
      </c>
      <c r="E184" s="60" t="str">
        <f>VLOOKUP($A184,nist_names_ids!A:B,2,false)</f>
        <v>mcomwl</v>
      </c>
      <c r="F184" s="61">
        <f>countif(Constants!A:A,E184)</f>
        <v>1</v>
      </c>
      <c r="G184" s="60" t="str">
        <f>IFERROR(__xludf.DUMMYFUNCTION("REGEXREPLACE(substitute(substitute(B184,"" "",""""),""..."",""""),""\(.*\)"","""")"),"11.73444105e-15")</f>
        <v>11.73444105e-15</v>
      </c>
      <c r="H184" s="62">
        <f t="shared" si="2"/>
        <v>0</v>
      </c>
      <c r="I184" s="60" t="str">
        <f>IFERROR(__xludf.DUMMYFUNCTION("if(regexmatch($B184,""\(""),CONCATENATE(regexreplace(REGEXREPLACE(substitute(left($B184,find(""("",$B184)-1),"" "",""""),""\d"",""0""),""[-0]*\."",""0.""), REGEXEXTRACT($B184,""\((.*)\)""),TRIM(REGEXEXTRACT($B184,""\)(.*)""))),"""")"),"0.0000000030e-15")</f>
        <v>0.0000000030e-15</v>
      </c>
      <c r="J184" s="62">
        <f t="shared" si="3"/>
        <v>0</v>
      </c>
      <c r="K184" s="62" t="b">
        <f t="shared" si="4"/>
        <v>0</v>
      </c>
      <c r="L184" s="62" t="b">
        <f t="shared" si="5"/>
        <v>0</v>
      </c>
      <c r="M184" s="60" t="str">
        <f>IFERROR(__xludf.DUMMYFUNCTION("if(regexmatch(B184,""e(.*)$""),regexextract(B184,""e(.*)$""),"""")"),"-15")</f>
        <v>-15</v>
      </c>
    </row>
    <row r="185">
      <c r="A185" s="80" t="s">
        <v>3398</v>
      </c>
      <c r="B185" s="80" t="s">
        <v>5288</v>
      </c>
      <c r="C185" s="80" t="s">
        <v>381</v>
      </c>
      <c r="D185" s="18" t="str">
        <f t="shared" si="1"/>
        <v>m</v>
      </c>
      <c r="E185" s="60" t="str">
        <f>VLOOKUP($A185,nist_names_ids!A:B,2,false)</f>
        <v>mcomwlbar</v>
      </c>
      <c r="F185" s="61">
        <f>countif(Constants!A:A,E185)</f>
        <v>1</v>
      </c>
      <c r="G185" s="60" t="str">
        <f>IFERROR(__xludf.DUMMYFUNCTION("REGEXREPLACE(substitute(substitute(B185,"" "",""""),""..."",""""),""\(.*\)"","""")"),"1.867594298e-15")</f>
        <v>1.867594298e-15</v>
      </c>
      <c r="H185" s="62">
        <f t="shared" si="2"/>
        <v>0</v>
      </c>
      <c r="I185" s="60" t="str">
        <f>IFERROR(__xludf.DUMMYFUNCTION("if(regexmatch($B185,""\(""),CONCATENATE(regexreplace(REGEXREPLACE(substitute(left($B185,find(""("",$B185)-1),"" "",""""),""\d"",""0""),""[-0]*\."",""0.""), REGEXEXTRACT($B185,""\((.*)\)""),TRIM(REGEXEXTRACT($B185,""\)(.*)""))),"""")"),"0.00000000047e-15")</f>
        <v>0.00000000047e-15</v>
      </c>
      <c r="J185" s="62">
        <f t="shared" si="3"/>
        <v>0</v>
      </c>
      <c r="K185" s="62" t="b">
        <f t="shared" si="4"/>
        <v>0</v>
      </c>
      <c r="L185" s="62" t="b">
        <f t="shared" si="5"/>
        <v>0</v>
      </c>
      <c r="M185" s="60" t="str">
        <f>IFERROR(__xludf.DUMMYFUNCTION("if(regexmatch(B185,""e(.*)$""),regexextract(B185,""e(.*)$""),"""")"),"-15")</f>
        <v>-15</v>
      </c>
    </row>
    <row r="186">
      <c r="A186" s="80" t="s">
        <v>2330</v>
      </c>
      <c r="B186" s="80" t="s">
        <v>5290</v>
      </c>
      <c r="C186" s="80"/>
      <c r="D186" s="18" t="str">
        <f t="shared" si="1"/>
        <v/>
      </c>
      <c r="E186" s="60" t="str">
        <f>VLOOKUP($A186,nist_names_ids!A:B,2,false)</f>
        <v>gmum</v>
      </c>
      <c r="F186" s="61">
        <f>countif(Constants!A:A,E186)</f>
        <v>1</v>
      </c>
      <c r="G186" s="60" t="str">
        <f>IFERROR(__xludf.DUMMYFUNCTION("REGEXREPLACE(substitute(substitute(B186,"" "",""""),""..."",""""),""\(.*\)"","""")"),"-2.0023318396")</f>
        <v>-2.0023318396</v>
      </c>
      <c r="H186" s="62">
        <f t="shared" si="2"/>
        <v>-2.00233184</v>
      </c>
      <c r="I186" s="60" t="str">
        <f>IFERROR(__xludf.DUMMYFUNCTION("if(regexmatch($B186,""\(""),CONCATENATE(regexreplace(REGEXREPLACE(substitute(left($B186,find(""("",$B186)-1),"" "",""""),""\d"",""0""),""[-0]*\."",""0.""), REGEXEXTRACT($B186,""\((.*)\)""),TRIM(REGEXEXTRACT($B186,""\)(.*)""))),"""")"),"0.000000000012")</f>
        <v>0.000000000012</v>
      </c>
      <c r="J186" s="62">
        <f t="shared" si="3"/>
        <v>0</v>
      </c>
      <c r="K186" s="62" t="b">
        <f t="shared" si="4"/>
        <v>0</v>
      </c>
      <c r="L186" s="62" t="b">
        <f t="shared" si="5"/>
        <v>0</v>
      </c>
      <c r="M186" s="60" t="str">
        <f>IFERROR(__xludf.DUMMYFUNCTION("if(regexmatch(B186,""e(.*)$""),regexextract(B186,""e(.*)$""),"""")"),"")</f>
        <v/>
      </c>
    </row>
    <row r="187">
      <c r="A187" s="80" t="s">
        <v>3416</v>
      </c>
      <c r="B187" s="80" t="s">
        <v>5292</v>
      </c>
      <c r="C187" s="80" t="s">
        <v>4421</v>
      </c>
      <c r="D187" s="18" t="str">
        <f t="shared" si="1"/>
        <v>J T^-1</v>
      </c>
      <c r="E187" s="60" t="str">
        <f>VLOOKUP($A187,nist_names_ids!A:B,2,false)</f>
        <v>mumum</v>
      </c>
      <c r="F187" s="61">
        <f>countif(Constants!A:A,E187)</f>
        <v>1</v>
      </c>
      <c r="G187" s="60" t="str">
        <f>IFERROR(__xludf.DUMMYFUNCTION("REGEXREPLACE(substitute(substitute(B187,"" "",""""),""..."",""""),""\(.*\)"","""")"),"-4.49044799e-26")</f>
        <v>-4.49044799e-26</v>
      </c>
      <c r="H187" s="62">
        <f t="shared" si="2"/>
        <v>0</v>
      </c>
      <c r="I187" s="60" t="str">
        <f>IFERROR(__xludf.DUMMYFUNCTION("if(regexmatch($B187,""\(""),CONCATENATE(regexreplace(REGEXREPLACE(substitute(left($B187,find(""("",$B187)-1),"" "",""""),""\d"",""0""),""[-0]*\."",""0.""), REGEXEXTRACT($B187,""\((.*)\)""),TRIM(REGEXEXTRACT($B187,""\)(.*)""))),"""")"),"0.0000000040e-26")</f>
        <v>0.0000000040e-26</v>
      </c>
      <c r="J187" s="62">
        <f t="shared" si="3"/>
        <v>0</v>
      </c>
      <c r="K187" s="62" t="b">
        <f t="shared" si="4"/>
        <v>0</v>
      </c>
      <c r="L187" s="62" t="b">
        <f t="shared" si="5"/>
        <v>0</v>
      </c>
      <c r="M187" s="60" t="str">
        <f>IFERROR(__xludf.DUMMYFUNCTION("if(regexmatch(B187,""e(.*)$""),regexextract(B187,""e(.*)$""),"""")"),"-26")</f>
        <v>-26</v>
      </c>
    </row>
    <row r="188">
      <c r="A188" s="80" t="s">
        <v>3426</v>
      </c>
      <c r="B188" s="80" t="s">
        <v>5294</v>
      </c>
      <c r="C188" s="80"/>
      <c r="D188" s="18" t="str">
        <f t="shared" si="1"/>
        <v/>
      </c>
      <c r="E188" s="60" t="str">
        <f>VLOOKUP($A188,nist_names_ids!A:B,2,false)</f>
        <v>amu</v>
      </c>
      <c r="F188" s="61">
        <f>countif(Constants!A:A,E188)</f>
        <v>1</v>
      </c>
      <c r="G188" s="60" t="str">
        <f>IFERROR(__xludf.DUMMYFUNCTION("REGEXREPLACE(substitute(substitute(B188,"" "",""""),""..."",""""),""\(.*\)"","""")"),"1.16591981e-3")</f>
        <v>1.16591981e-3</v>
      </c>
      <c r="H188" s="62">
        <f t="shared" si="2"/>
        <v>0.00116591981</v>
      </c>
      <c r="I188" s="60" t="str">
        <f>IFERROR(__xludf.DUMMYFUNCTION("if(regexmatch($B188,""\(""),CONCATENATE(regexreplace(REGEXREPLACE(substitute(left($B188,find(""("",$B188)-1),"" "",""""),""\d"",""0""),""[-0]*\."",""0.""), REGEXEXTRACT($B188,""\((.*)\)""),TRIM(REGEXEXTRACT($B188,""\)(.*)""))),"""")"),"0.0000000062e-3")</f>
        <v>0.0000000062e-3</v>
      </c>
      <c r="J188" s="62">
        <f t="shared" si="3"/>
        <v>0</v>
      </c>
      <c r="K188" s="62" t="b">
        <f t="shared" si="4"/>
        <v>0</v>
      </c>
      <c r="L188" s="62" t="b">
        <f t="shared" si="5"/>
        <v>0</v>
      </c>
      <c r="M188" s="60" t="str">
        <f>IFERROR(__xludf.DUMMYFUNCTION("if(regexmatch(B188,""e(.*)$""),regexextract(B188,""e(.*)$""),"""")"),"-3")</f>
        <v>-3</v>
      </c>
    </row>
    <row r="189">
      <c r="A189" s="80" t="s">
        <v>3435</v>
      </c>
      <c r="B189" s="80" t="s">
        <v>5296</v>
      </c>
      <c r="C189" s="80"/>
      <c r="D189" s="18" t="str">
        <f t="shared" si="1"/>
        <v/>
      </c>
      <c r="E189" s="60" t="str">
        <f>VLOOKUP($A189,nist_names_ids!A:B,2,false)</f>
        <v>mumumsmub</v>
      </c>
      <c r="F189" s="61">
        <f>countif(Constants!A:A,E189)</f>
        <v>1</v>
      </c>
      <c r="G189" s="60" t="str">
        <f>IFERROR(__xludf.DUMMYFUNCTION("REGEXREPLACE(substitute(substitute(B189,"" "",""""),""..."",""""),""\(.*\)"","""")"),"-4.84197045e-3")</f>
        <v>-4.84197045e-3</v>
      </c>
      <c r="H189" s="62">
        <f t="shared" si="2"/>
        <v>-0.00484197045</v>
      </c>
      <c r="I189" s="60" t="str">
        <f>IFERROR(__xludf.DUMMYFUNCTION("if(regexmatch($B189,""\(""),CONCATENATE(regexreplace(REGEXREPLACE(substitute(left($B189,find(""("",$B189)-1),"" "",""""),""\d"",""0""),""[-0]*\."",""0.""), REGEXEXTRACT($B189,""\((.*)\)""),TRIM(REGEXEXTRACT($B189,""\)(.*)""))),"""")"),"0.0000000013e-3")</f>
        <v>0.0000000013e-3</v>
      </c>
      <c r="J189" s="62">
        <f t="shared" si="3"/>
        <v>0</v>
      </c>
      <c r="K189" s="62" t="b">
        <f t="shared" si="4"/>
        <v>0</v>
      </c>
      <c r="L189" s="62" t="b">
        <f t="shared" si="5"/>
        <v>0</v>
      </c>
      <c r="M189" s="60" t="str">
        <f>IFERROR(__xludf.DUMMYFUNCTION("if(regexmatch(B189,""e(.*)$""),regexextract(B189,""e(.*)$""),"""")"),"-3")</f>
        <v>-3</v>
      </c>
    </row>
    <row r="190">
      <c r="A190" s="80" t="s">
        <v>3446</v>
      </c>
      <c r="B190" s="80" t="s">
        <v>5298</v>
      </c>
      <c r="C190" s="80"/>
      <c r="D190" s="18" t="str">
        <f t="shared" si="1"/>
        <v/>
      </c>
      <c r="E190" s="60" t="str">
        <f>VLOOKUP($A190,nist_names_ids!A:B,2,false)</f>
        <v>mumumsmun</v>
      </c>
      <c r="F190" s="61">
        <f>countif(Constants!A:A,E190)</f>
        <v>1</v>
      </c>
      <c r="G190" s="60" t="str">
        <f>IFERROR(__xludf.DUMMYFUNCTION("REGEXREPLACE(substitute(substitute(B190,"" "",""""),""..."",""""),""\(.*\)"","""")"),"-8.89059698")</f>
        <v>-8.89059698</v>
      </c>
      <c r="H190" s="62">
        <f t="shared" si="2"/>
        <v>-8.89059698</v>
      </c>
      <c r="I190" s="60" t="str">
        <f>IFERROR(__xludf.DUMMYFUNCTION("if(regexmatch($B190,""\(""),CONCATENATE(regexreplace(REGEXREPLACE(substitute(left($B190,find(""("",$B190)-1),"" "",""""),""\d"",""0""),""[-0]*\."",""0.""), REGEXEXTRACT($B190,""\((.*)\)""),TRIM(REGEXEXTRACT($B190,""\)(.*)""))),"""")"),"0.0000000023")</f>
        <v>0.0000000023</v>
      </c>
      <c r="J190" s="62">
        <f t="shared" si="3"/>
        <v>0.0000000023</v>
      </c>
      <c r="K190" s="62" t="b">
        <f t="shared" si="4"/>
        <v>0</v>
      </c>
      <c r="L190" s="62" t="b">
        <f t="shared" si="5"/>
        <v>0</v>
      </c>
      <c r="M190" s="60" t="str">
        <f>IFERROR(__xludf.DUMMYFUNCTION("if(regexmatch(B190,""e(.*)$""),regexextract(B190,""e(.*)$""),"""")"),"")</f>
        <v/>
      </c>
    </row>
    <row r="191">
      <c r="A191" s="80" t="s">
        <v>2349</v>
      </c>
      <c r="B191" s="80" t="s">
        <v>5300</v>
      </c>
      <c r="C191" s="80" t="s">
        <v>98</v>
      </c>
      <c r="D191" s="18" t="str">
        <f t="shared" si="1"/>
        <v>kg</v>
      </c>
      <c r="E191" s="60" t="str">
        <f>VLOOKUP($A191,nist_names_ids!A:B,2,false)</f>
        <v>mmu</v>
      </c>
      <c r="F191" s="61">
        <f>countif(Constants!A:A,E191)</f>
        <v>1</v>
      </c>
      <c r="G191" s="60" t="str">
        <f>IFERROR(__xludf.DUMMYFUNCTION("REGEXREPLACE(substitute(substitute(B191,"" "",""""),""..."",""""),""\(.*\)"","""")"),"1.88353140e-28")</f>
        <v>1.88353140e-28</v>
      </c>
      <c r="H191" s="62">
        <f t="shared" si="2"/>
        <v>0</v>
      </c>
      <c r="I191" s="60" t="str">
        <f>IFERROR(__xludf.DUMMYFUNCTION("if(regexmatch($B191,""\(""),CONCATENATE(regexreplace(REGEXREPLACE(substitute(left($B191,find(""("",$B191)-1),"" "",""""),""\d"",""0""),""[-0]*\."",""0.""), REGEXEXTRACT($B191,""\((.*)\)""),TRIM(REGEXEXTRACT($B191,""\)(.*)""))),"""")"),"0.0000000033e-28")</f>
        <v>0.0000000033e-28</v>
      </c>
      <c r="J191" s="62">
        <f t="shared" si="3"/>
        <v>0</v>
      </c>
      <c r="K191" s="62" t="b">
        <f t="shared" si="4"/>
        <v>0</v>
      </c>
      <c r="L191" s="62" t="b">
        <f t="shared" si="5"/>
        <v>0</v>
      </c>
      <c r="M191" s="60" t="str">
        <f>IFERROR(__xludf.DUMMYFUNCTION("if(regexmatch(B191,""e(.*)$""),regexextract(B191,""e(.*)$""),"""")"),"-28")</f>
        <v>-28</v>
      </c>
    </row>
    <row r="192">
      <c r="A192" s="80" t="s">
        <v>2357</v>
      </c>
      <c r="B192" s="80" t="s">
        <v>5301</v>
      </c>
      <c r="C192" s="80" t="s">
        <v>173</v>
      </c>
      <c r="D192" s="18" t="str">
        <f t="shared" si="1"/>
        <v>J</v>
      </c>
      <c r="E192" s="60" t="str">
        <f>VLOOKUP($A192,nist_names_ids!A:B,2,false)</f>
        <v>mmuc2</v>
      </c>
      <c r="F192" s="61">
        <f>countif(Constants!A:A,E192)</f>
        <v>1</v>
      </c>
      <c r="G192" s="60" t="str">
        <f>IFERROR(__xludf.DUMMYFUNCTION("REGEXREPLACE(substitute(substitute(B192,"" "",""""),""..."",""""),""\(.*\)"","""")"),"1.69283360e-11")</f>
        <v>1.69283360e-11</v>
      </c>
      <c r="H192" s="62">
        <f t="shared" si="2"/>
        <v>0</v>
      </c>
      <c r="I192" s="60" t="str">
        <f>IFERROR(__xludf.DUMMYFUNCTION("if(regexmatch($B192,""\(""),CONCATENATE(regexreplace(REGEXREPLACE(substitute(left($B192,find(""("",$B192)-1),"" "",""""),""\d"",""0""),""[-0]*\."",""0.""), REGEXEXTRACT($B192,""\((.*)\)""),TRIM(REGEXEXTRACT($B192,""\)(.*)""))),"""")"),"0.0000000029e-11")</f>
        <v>0.0000000029e-11</v>
      </c>
      <c r="J192" s="62">
        <f t="shared" si="3"/>
        <v>0</v>
      </c>
      <c r="K192" s="62" t="b">
        <f t="shared" si="4"/>
        <v>0</v>
      </c>
      <c r="L192" s="62" t="b">
        <f t="shared" si="5"/>
        <v>0</v>
      </c>
      <c r="M192" s="60" t="str">
        <f>IFERROR(__xludf.DUMMYFUNCTION("if(regexmatch(B192,""e(.*)$""),regexextract(B192,""e(.*)$""),"""")"),"-11")</f>
        <v>-11</v>
      </c>
    </row>
    <row r="193">
      <c r="A193" s="80" t="s">
        <v>2362</v>
      </c>
      <c r="B193" s="80" t="s">
        <v>5303</v>
      </c>
      <c r="C193" s="80" t="s">
        <v>224</v>
      </c>
      <c r="D193" s="18" t="str">
        <f t="shared" si="1"/>
        <v>MeV</v>
      </c>
      <c r="E193" s="60" t="str">
        <f>VLOOKUP($A193,nist_names_ids!A:B,2,false)</f>
        <v>mmuc2mev</v>
      </c>
      <c r="F193" s="61">
        <f>countif(Constants!A:A,E193)</f>
        <v>1</v>
      </c>
      <c r="G193" s="60" t="str">
        <f>IFERROR(__xludf.DUMMYFUNCTION("REGEXREPLACE(substitute(substitute(B193,"" "",""""),""..."",""""),""\(.*\)"","""")"),"105.6583692")</f>
        <v>105.6583692</v>
      </c>
      <c r="H193" s="62">
        <f t="shared" si="2"/>
        <v>105.6583692</v>
      </c>
      <c r="I193" s="60" t="str">
        <f>IFERROR(__xludf.DUMMYFUNCTION("if(regexmatch($B193,""\(""),CONCATENATE(regexreplace(REGEXREPLACE(substitute(left($B193,find(""("",$B193)-1),"" "",""""),""\d"",""0""),""[-0]*\."",""0.""), REGEXEXTRACT($B193,""\((.*)\)""),TRIM(REGEXEXTRACT($B193,""\)(.*)""))),"""")"),"0.000000094")</f>
        <v>0.000000094</v>
      </c>
      <c r="J193" s="62">
        <f t="shared" si="3"/>
        <v>0.000000094</v>
      </c>
      <c r="K193" s="62" t="b">
        <f t="shared" si="4"/>
        <v>0</v>
      </c>
      <c r="L193" s="62" t="b">
        <f t="shared" si="5"/>
        <v>0</v>
      </c>
      <c r="M193" s="60" t="str">
        <f>IFERROR(__xludf.DUMMYFUNCTION("if(regexmatch(B193,""e(.*)$""),regexextract(B193,""e(.*)$""),"""")"),"")</f>
        <v/>
      </c>
    </row>
    <row r="194">
      <c r="A194" s="80" t="s">
        <v>2367</v>
      </c>
      <c r="B194" s="80" t="s">
        <v>5305</v>
      </c>
      <c r="C194" s="80" t="s">
        <v>249</v>
      </c>
      <c r="D194" s="18" t="str">
        <f t="shared" si="1"/>
        <v>u</v>
      </c>
      <c r="E194" s="60" t="str">
        <f>VLOOKUP($A194,nist_names_ids!A:B,2,false)</f>
        <v>mmuu</v>
      </c>
      <c r="F194" s="61">
        <f>countif(Constants!A:A,E194)</f>
        <v>1</v>
      </c>
      <c r="G194" s="60" t="str">
        <f>IFERROR(__xludf.DUMMYFUNCTION("REGEXREPLACE(substitute(substitute(B194,"" "",""""),""..."",""""),""\(.*\)"","""")"),"0.1134289264")</f>
        <v>0.1134289264</v>
      </c>
      <c r="H194" s="62">
        <f t="shared" si="2"/>
        <v>0.1134289264</v>
      </c>
      <c r="I194" s="60" t="str">
        <f>IFERROR(__xludf.DUMMYFUNCTION("if(regexmatch($B194,""\(""),CONCATENATE(regexreplace(REGEXREPLACE(substitute(left($B194,find(""("",$B194)-1),"" "",""""),""\d"",""0""),""[-0]*\."",""0.""), REGEXEXTRACT($B194,""\((.*)\)""),TRIM(REGEXEXTRACT($B194,""\)(.*)""))),"""")"),"0.000000000030")</f>
        <v>0.000000000030</v>
      </c>
      <c r="J194" s="62">
        <f t="shared" si="3"/>
        <v>0</v>
      </c>
      <c r="K194" s="62" t="b">
        <f t="shared" si="4"/>
        <v>0</v>
      </c>
      <c r="L194" s="62" t="b">
        <f t="shared" si="5"/>
        <v>0</v>
      </c>
      <c r="M194" s="60" t="str">
        <f>IFERROR(__xludf.DUMMYFUNCTION("if(regexmatch(B194,""e(.*)$""),regexextract(B194,""e(.*)$""),"""")"),"")</f>
        <v/>
      </c>
    </row>
    <row r="195">
      <c r="A195" s="80" t="s">
        <v>2372</v>
      </c>
      <c r="B195" s="80" t="s">
        <v>5308</v>
      </c>
      <c r="C195" s="80" t="s">
        <v>4309</v>
      </c>
      <c r="D195" s="18" t="str">
        <f t="shared" si="1"/>
        <v>kg mol^-1</v>
      </c>
      <c r="E195" s="60" t="str">
        <f>VLOOKUP($A195,nist_names_ids!A:B,2,false)</f>
        <v>mmmu</v>
      </c>
      <c r="F195" s="61">
        <f>countif(Constants!A:A,E195)</f>
        <v>1</v>
      </c>
      <c r="G195" s="60" t="str">
        <f>IFERROR(__xludf.DUMMYFUNCTION("REGEXREPLACE(substitute(substitute(B195,"" "",""""),""..."",""""),""\(.*\)"","""")"),"0.1134289264e-3")</f>
        <v>0.1134289264e-3</v>
      </c>
      <c r="H195" s="62">
        <f t="shared" si="2"/>
        <v>0.0001134289264</v>
      </c>
      <c r="I195" s="60" t="str">
        <f>IFERROR(__xludf.DUMMYFUNCTION("if(regexmatch($B195,""\(""),CONCATENATE(regexreplace(REGEXREPLACE(substitute(left($B195,find(""("",$B195)-1),"" "",""""),""\d"",""0""),""[-0]*\."",""0.""), REGEXEXTRACT($B195,""\((.*)\)""),TRIM(REGEXEXTRACT($B195,""\)(.*)""))),"""")"),"0.000000000030e-3")</f>
        <v>0.000000000030e-3</v>
      </c>
      <c r="J195" s="62">
        <f t="shared" si="3"/>
        <v>0</v>
      </c>
      <c r="K195" s="62" t="b">
        <f t="shared" si="4"/>
        <v>0</v>
      </c>
      <c r="L195" s="62" t="b">
        <f t="shared" si="5"/>
        <v>0</v>
      </c>
      <c r="M195" s="60" t="str">
        <f>IFERROR(__xludf.DUMMYFUNCTION("if(regexmatch(B195,""e(.*)$""),regexextract(B195,""e(.*)$""),"""")"),"-3")</f>
        <v>-3</v>
      </c>
    </row>
    <row r="196">
      <c r="A196" s="80" t="s">
        <v>2326</v>
      </c>
      <c r="B196" s="80" t="s">
        <v>5310</v>
      </c>
      <c r="C196" s="80"/>
      <c r="D196" s="18" t="str">
        <f t="shared" si="1"/>
        <v/>
      </c>
      <c r="E196" s="60" t="str">
        <f>VLOOKUP($A196,nist_names_ids!A:B,2,false)</f>
        <v>mmusme</v>
      </c>
      <c r="F196" s="61">
        <f>countif(Constants!A:A,E196)</f>
        <v>1</v>
      </c>
      <c r="G196" s="60" t="str">
        <f>IFERROR(__xludf.DUMMYFUNCTION("REGEXREPLACE(substitute(substitute(B196,"" "",""""),""..."",""""),""\(.*\)"","""")"),"206.7682838")</f>
        <v>206.7682838</v>
      </c>
      <c r="H196" s="62">
        <f t="shared" si="2"/>
        <v>206.7682838</v>
      </c>
      <c r="I196" s="60" t="str">
        <f>IFERROR(__xludf.DUMMYFUNCTION("if(regexmatch($B196,""\(""),CONCATENATE(regexreplace(REGEXREPLACE(substitute(left($B196,find(""("",$B196)-1),"" "",""""),""\d"",""0""),""[-0]*\."",""0.""), REGEXEXTRACT($B196,""\((.*)\)""),TRIM(REGEXEXTRACT($B196,""\)(.*)""))),"""")"),"0.000000054")</f>
        <v>0.000000054</v>
      </c>
      <c r="J196" s="62">
        <f t="shared" si="3"/>
        <v>0.000000054</v>
      </c>
      <c r="K196" s="62" t="b">
        <f t="shared" si="4"/>
        <v>0</v>
      </c>
      <c r="L196" s="62" t="b">
        <f t="shared" si="5"/>
        <v>0</v>
      </c>
      <c r="M196" s="60" t="str">
        <f>IFERROR(__xludf.DUMMYFUNCTION("if(regexmatch(B196,""e(.*)$""),regexextract(B196,""e(.*)$""),"""")"),"")</f>
        <v/>
      </c>
    </row>
    <row r="197">
      <c r="A197" s="80" t="s">
        <v>2381</v>
      </c>
      <c r="B197" s="80" t="s">
        <v>5313</v>
      </c>
      <c r="C197" s="80"/>
      <c r="D197" s="18" t="str">
        <f t="shared" si="1"/>
        <v/>
      </c>
      <c r="E197" s="60" t="str">
        <f>VLOOKUP($A197,nist_names_ids!A:B,2,false)</f>
        <v>mmusmn</v>
      </c>
      <c r="F197" s="61">
        <f>countif(Constants!A:A,E197)</f>
        <v>1</v>
      </c>
      <c r="G197" s="60" t="str">
        <f>IFERROR(__xludf.DUMMYFUNCTION("REGEXREPLACE(substitute(substitute(B197,"" "",""""),""..."",""""),""\(.*\)"","""")"),"0.1124545175")</f>
        <v>0.1124545175</v>
      </c>
      <c r="H197" s="62">
        <f t="shared" si="2"/>
        <v>0.1124545175</v>
      </c>
      <c r="I197" s="60" t="str">
        <f>IFERROR(__xludf.DUMMYFUNCTION("if(regexmatch($B197,""\(""),CONCATENATE(regexreplace(REGEXREPLACE(substitute(left($B197,find(""("",$B197)-1),"" "",""""),""\d"",""0""),""[-0]*\."",""0.""), REGEXEXTRACT($B197,""\((.*)\)""),TRIM(REGEXEXTRACT($B197,""\)(.*)""))),"""")"),"0.000000000029")</f>
        <v>0.000000000029</v>
      </c>
      <c r="J197" s="62">
        <f t="shared" si="3"/>
        <v>0</v>
      </c>
      <c r="K197" s="62" t="b">
        <f t="shared" si="4"/>
        <v>0</v>
      </c>
      <c r="L197" s="62" t="b">
        <f t="shared" si="5"/>
        <v>0</v>
      </c>
      <c r="M197" s="60" t="str">
        <f>IFERROR(__xludf.DUMMYFUNCTION("if(regexmatch(B197,""e(.*)$""),regexextract(B197,""e(.*)$""),"""")"),"")</f>
        <v/>
      </c>
    </row>
    <row r="198">
      <c r="A198" s="80" t="s">
        <v>3533</v>
      </c>
      <c r="B198" s="80" t="s">
        <v>5317</v>
      </c>
      <c r="C198" s="80"/>
      <c r="D198" s="18" t="str">
        <f t="shared" si="1"/>
        <v/>
      </c>
      <c r="E198" s="60" t="str">
        <f>VLOOKUP($A198,nist_names_ids!A:B,2,false)</f>
        <v>mumumsmup</v>
      </c>
      <c r="F198" s="61">
        <f>countif(Constants!A:A,E198)</f>
        <v>1</v>
      </c>
      <c r="G198" s="60" t="str">
        <f>IFERROR(__xludf.DUMMYFUNCTION("REGEXREPLACE(substitute(substitute(B198,"" "",""""),""..."",""""),""\(.*\)"","""")"),"-3.183345118")</f>
        <v>-3.183345118</v>
      </c>
      <c r="H198" s="62">
        <f t="shared" si="2"/>
        <v>-3.183345118</v>
      </c>
      <c r="I198" s="60" t="str">
        <f>IFERROR(__xludf.DUMMYFUNCTION("if(regexmatch($B198,""\(""),CONCATENATE(regexreplace(REGEXREPLACE(substitute(left($B198,find(""("",$B198)-1),"" "",""""),""\d"",""0""),""[-0]*\."",""0.""), REGEXEXTRACT($B198,""\((.*)\)""),TRIM(REGEXEXTRACT($B198,""\)(.*)""))),"""")"),"0.00000000089")</f>
        <v>0.00000000089</v>
      </c>
      <c r="J198" s="62">
        <f t="shared" si="3"/>
        <v>0.00000000089</v>
      </c>
      <c r="K198" s="62" t="b">
        <f t="shared" si="4"/>
        <v>0</v>
      </c>
      <c r="L198" s="62" t="b">
        <f t="shared" si="5"/>
        <v>0</v>
      </c>
      <c r="M198" s="60" t="str">
        <f>IFERROR(__xludf.DUMMYFUNCTION("if(regexmatch(B198,""e(.*)$""),regexextract(B198,""e(.*)$""),"""")"),"")</f>
        <v/>
      </c>
    </row>
    <row r="199">
      <c r="A199" s="80" t="s">
        <v>2388</v>
      </c>
      <c r="B199" s="80" t="s">
        <v>5320</v>
      </c>
      <c r="C199" s="80"/>
      <c r="D199" s="18" t="str">
        <f t="shared" si="1"/>
        <v/>
      </c>
      <c r="E199" s="60" t="str">
        <f>VLOOKUP($A199,nist_names_ids!A:B,2,false)</f>
        <v>mmusmp</v>
      </c>
      <c r="F199" s="61">
        <f>countif(Constants!A:A,E199)</f>
        <v>1</v>
      </c>
      <c r="G199" s="60" t="str">
        <f>IFERROR(__xludf.DUMMYFUNCTION("REGEXREPLACE(substitute(substitute(B199,"" "",""""),""..."",""""),""\(.*\)"","""")"),"0.1126095269")</f>
        <v>0.1126095269</v>
      </c>
      <c r="H199" s="62">
        <f t="shared" si="2"/>
        <v>0.1126095269</v>
      </c>
      <c r="I199" s="60" t="str">
        <f>IFERROR(__xludf.DUMMYFUNCTION("if(regexmatch($B199,""\(""),CONCATENATE(regexreplace(REGEXREPLACE(substitute(left($B199,find(""("",$B199)-1),"" "",""""),""\d"",""0""),""[-0]*\."",""0.""), REGEXEXTRACT($B199,""\((.*)\)""),TRIM(REGEXEXTRACT($B199,""\)(.*)""))),"""")"),"0.000000000029")</f>
        <v>0.000000000029</v>
      </c>
      <c r="J199" s="62">
        <f t="shared" si="3"/>
        <v>0</v>
      </c>
      <c r="K199" s="62" t="b">
        <f t="shared" si="4"/>
        <v>0</v>
      </c>
      <c r="L199" s="62" t="b">
        <f t="shared" si="5"/>
        <v>0</v>
      </c>
      <c r="M199" s="60" t="str">
        <f>IFERROR(__xludf.DUMMYFUNCTION("if(regexmatch(B199,""e(.*)$""),regexextract(B199,""e(.*)$""),"""")"),"")</f>
        <v/>
      </c>
    </row>
    <row r="200">
      <c r="A200" s="80" t="s">
        <v>2392</v>
      </c>
      <c r="B200" s="80" t="s">
        <v>5174</v>
      </c>
      <c r="C200" s="80"/>
      <c r="D200" s="18" t="str">
        <f t="shared" si="1"/>
        <v/>
      </c>
      <c r="E200" s="60" t="str">
        <f>VLOOKUP($A200,nist_names_ids!A:B,2,false)</f>
        <v>mmusmtau</v>
      </c>
      <c r="F200" s="61">
        <f>countif(Constants!A:A,E200)</f>
        <v>1</v>
      </c>
      <c r="G200" s="60" t="str">
        <f>IFERROR(__xludf.DUMMYFUNCTION("REGEXREPLACE(substitute(substitute(B200,"" "",""""),""..."",""""),""\(.*\)"","""")"),"5.94592e-2")</f>
        <v>5.94592e-2</v>
      </c>
      <c r="H200" s="62">
        <f t="shared" si="2"/>
        <v>0.0594592</v>
      </c>
      <c r="I200" s="60" t="str">
        <f>IFERROR(__xludf.DUMMYFUNCTION("if(regexmatch($B200,""\(""),CONCATENATE(regexreplace(REGEXREPLACE(substitute(left($B200,find(""("",$B200)-1),"" "",""""),""\d"",""0""),""[-0]*\."",""0.""), REGEXEXTRACT($B200,""\((.*)\)""),TRIM(REGEXEXTRACT($B200,""\)(.*)""))),"""")"),"0.0000097e-2")</f>
        <v>0.0000097e-2</v>
      </c>
      <c r="J200" s="62">
        <f t="shared" si="3"/>
        <v>0.000000097</v>
      </c>
      <c r="K200" s="62" t="b">
        <f t="shared" si="4"/>
        <v>0</v>
      </c>
      <c r="L200" s="62" t="b">
        <f t="shared" si="5"/>
        <v>0</v>
      </c>
      <c r="M200" s="60" t="str">
        <f>IFERROR(__xludf.DUMMYFUNCTION("if(regexmatch(B200,""e(.*)$""),regexextract(B200,""e(.*)$""),"""")"),"-2")</f>
        <v>-2</v>
      </c>
    </row>
    <row r="201">
      <c r="A201" s="80" t="s">
        <v>2399</v>
      </c>
      <c r="B201" s="80" t="s">
        <v>4924</v>
      </c>
      <c r="C201" s="80" t="s">
        <v>714</v>
      </c>
      <c r="D201" s="18" t="str">
        <f t="shared" si="1"/>
        <v>J s</v>
      </c>
      <c r="E201" s="60" t="str">
        <f>VLOOKUP($A201,nist_names_ids!A:B,2,false)</f>
        <v>thbar</v>
      </c>
      <c r="F201" s="61">
        <f>countif(Constants!A:A,E201)</f>
        <v>1</v>
      </c>
      <c r="G201" s="60" t="str">
        <f>IFERROR(__xludf.DUMMYFUNCTION("REGEXREPLACE(substitute(substitute(B201,"" "",""""),""..."",""""),""\(.*\)"","""")"),"1.05457168e-34")</f>
        <v>1.05457168e-34</v>
      </c>
      <c r="H201" s="62">
        <f t="shared" si="2"/>
        <v>0</v>
      </c>
      <c r="I201" s="60" t="str">
        <f>IFERROR(__xludf.DUMMYFUNCTION("if(regexmatch($B201,""\(""),CONCATENATE(regexreplace(REGEXREPLACE(substitute(left($B201,find(""("",$B201)-1),"" "",""""),""\d"",""0""),""[-0]*\."",""0.""), REGEXEXTRACT($B201,""\((.*)\)""),TRIM(REGEXEXTRACT($B201,""\)(.*)""))),"""")"),"0.0000000018e-34")</f>
        <v>0.0000000018e-34</v>
      </c>
      <c r="J201" s="62">
        <f t="shared" si="3"/>
        <v>0</v>
      </c>
      <c r="K201" s="62" t="b">
        <f t="shared" si="4"/>
        <v>0</v>
      </c>
      <c r="L201" s="62" t="b">
        <f t="shared" si="5"/>
        <v>0</v>
      </c>
      <c r="M201" s="60" t="str">
        <f>IFERROR(__xludf.DUMMYFUNCTION("if(regexmatch(B201,""e(.*)$""),regexextract(B201,""e(.*)$""),"""")"),"-34")</f>
        <v>-34</v>
      </c>
    </row>
    <row r="202">
      <c r="A202" s="80" t="s">
        <v>2400</v>
      </c>
      <c r="B202" s="80" t="s">
        <v>5328</v>
      </c>
      <c r="C202" s="80" t="s">
        <v>2402</v>
      </c>
      <c r="D202" s="18" t="str">
        <f t="shared" si="1"/>
        <v>eV s</v>
      </c>
      <c r="E202" s="60" t="str">
        <f>VLOOKUP($A202,nist_names_ids!A:B,2,false)</f>
        <v>thbarev</v>
      </c>
      <c r="F202" s="61">
        <f>countif(Constants!A:A,E202)</f>
        <v>1</v>
      </c>
      <c r="G202" s="60" t="str">
        <f>IFERROR(__xludf.DUMMYFUNCTION("REGEXREPLACE(substitute(substitute(B202,"" "",""""),""..."",""""),""\(.*\)"","""")"),"6.58211915e-16")</f>
        <v>6.58211915e-16</v>
      </c>
      <c r="H202" s="62">
        <f t="shared" si="2"/>
        <v>0</v>
      </c>
      <c r="I202" s="60" t="str">
        <f>IFERROR(__xludf.DUMMYFUNCTION("if(regexmatch($B202,""\(""),CONCATENATE(regexreplace(REGEXREPLACE(substitute(left($B202,find(""("",$B202)-1),"" "",""""),""\d"",""0""),""[-0]*\."",""0.""), REGEXEXTRACT($B202,""\((.*)\)""),TRIM(REGEXEXTRACT($B202,""\)(.*)""))),"""")"),"0.0000000056e-16")</f>
        <v>0.0000000056e-16</v>
      </c>
      <c r="J202" s="62">
        <f t="shared" si="3"/>
        <v>0</v>
      </c>
      <c r="K202" s="62" t="b">
        <f t="shared" si="4"/>
        <v>0</v>
      </c>
      <c r="L202" s="62" t="b">
        <f t="shared" si="5"/>
        <v>0</v>
      </c>
      <c r="M202" s="60" t="str">
        <f>IFERROR(__xludf.DUMMYFUNCTION("if(regexmatch(B202,""e(.*)$""),regexextract(B202,""e(.*)$""),"""")"),"-16")</f>
        <v>-16</v>
      </c>
    </row>
    <row r="203">
      <c r="A203" s="80" t="s">
        <v>2405</v>
      </c>
      <c r="B203" s="80" t="s">
        <v>5071</v>
      </c>
      <c r="C203" s="80" t="s">
        <v>173</v>
      </c>
      <c r="D203" s="18" t="str">
        <f t="shared" si="1"/>
        <v>J</v>
      </c>
      <c r="E203" s="60" t="str">
        <f>VLOOKUP($A203,nist_names_ids!A:B,2,false)</f>
        <v>tmec2</v>
      </c>
      <c r="F203" s="61">
        <f>countif(Constants!A:A,E203)</f>
        <v>1</v>
      </c>
      <c r="G203" s="60" t="str">
        <f>IFERROR(__xludf.DUMMYFUNCTION("REGEXREPLACE(substitute(substitute(B203,"" "",""""),""..."",""""),""\(.*\)"","""")"),"8.1871047e-14")</f>
        <v>8.1871047e-14</v>
      </c>
      <c r="H203" s="62">
        <f t="shared" si="2"/>
        <v>0</v>
      </c>
      <c r="I203" s="60" t="str">
        <f>IFERROR(__xludf.DUMMYFUNCTION("if(regexmatch($B203,""\(""),CONCATENATE(regexreplace(REGEXREPLACE(substitute(left($B203,find(""("",$B203)-1),"" "",""""),""\d"",""0""),""[-0]*\."",""0.""), REGEXEXTRACT($B203,""\((.*)\)""),TRIM(REGEXEXTRACT($B203,""\)(.*)""))),"""")"),"0.000000014e-14")</f>
        <v>0.000000014e-14</v>
      </c>
      <c r="J203" s="62">
        <f t="shared" si="3"/>
        <v>0</v>
      </c>
      <c r="K203" s="62" t="b">
        <f t="shared" si="4"/>
        <v>0</v>
      </c>
      <c r="L203" s="62" t="b">
        <f t="shared" si="5"/>
        <v>0</v>
      </c>
      <c r="M203" s="60" t="str">
        <f>IFERROR(__xludf.DUMMYFUNCTION("if(regexmatch(B203,""e(.*)$""),regexextract(B203,""e(.*)$""),"""")"),"-14")</f>
        <v>-14</v>
      </c>
    </row>
    <row r="204">
      <c r="A204" s="80" t="s">
        <v>2409</v>
      </c>
      <c r="B204" s="80" t="s">
        <v>5072</v>
      </c>
      <c r="C204" s="80" t="s">
        <v>224</v>
      </c>
      <c r="D204" s="18" t="str">
        <f t="shared" si="1"/>
        <v>MeV</v>
      </c>
      <c r="E204" s="60" t="str">
        <f>VLOOKUP($A204,nist_names_ids!A:B,2,false)</f>
        <v>tmec2mev</v>
      </c>
      <c r="F204" s="61">
        <f>countif(Constants!A:A,E204)</f>
        <v>1</v>
      </c>
      <c r="G204" s="60" t="str">
        <f>IFERROR(__xludf.DUMMYFUNCTION("REGEXREPLACE(substitute(substitute(B204,"" "",""""),""..."",""""),""\(.*\)"","""")"),"0.510998918")</f>
        <v>0.510998918</v>
      </c>
      <c r="H204" s="62">
        <f t="shared" si="2"/>
        <v>0.510998918</v>
      </c>
      <c r="I204" s="60" t="str">
        <f>IFERROR(__xludf.DUMMYFUNCTION("if(regexmatch($B204,""\(""),CONCATENATE(regexreplace(REGEXREPLACE(substitute(left($B204,find(""("",$B204)-1),"" "",""""),""\d"",""0""),""[-0]*\."",""0.""), REGEXEXTRACT($B204,""\((.*)\)""),TRIM(REGEXEXTRACT($B204,""\)(.*)""))),"""")"),"0.00000000044")</f>
        <v>0.00000000044</v>
      </c>
      <c r="J204" s="62">
        <f t="shared" si="3"/>
        <v>0.00000000044</v>
      </c>
      <c r="K204" s="62" t="b">
        <f t="shared" si="4"/>
        <v>0</v>
      </c>
      <c r="L204" s="62" t="b">
        <f t="shared" si="5"/>
        <v>0</v>
      </c>
      <c r="M204" s="60" t="str">
        <f>IFERROR(__xludf.DUMMYFUNCTION("if(regexmatch(B204,""e(.*)$""),regexextract(B204,""e(.*)$""),"""")"),"")</f>
        <v/>
      </c>
    </row>
    <row r="205">
      <c r="A205" s="80" t="s">
        <v>2410</v>
      </c>
      <c r="B205" s="80" t="s">
        <v>5028</v>
      </c>
      <c r="C205" s="80" t="s">
        <v>381</v>
      </c>
      <c r="D205" s="18" t="str">
        <f t="shared" si="1"/>
        <v>m</v>
      </c>
      <c r="E205" s="60" t="str">
        <f>VLOOKUP($A205,nist_names_ids!A:B,2,false)</f>
        <v>tecomwlbar</v>
      </c>
      <c r="F205" s="61">
        <f>countif(Constants!A:A,E205)</f>
        <v>1</v>
      </c>
      <c r="G205" s="60" t="str">
        <f>IFERROR(__xludf.DUMMYFUNCTION("REGEXREPLACE(substitute(substitute(B205,"" "",""""),""..."",""""),""\(.*\)"","""")"),"386.1592678e-15")</f>
        <v>386.1592678e-15</v>
      </c>
      <c r="H205" s="62">
        <f t="shared" si="2"/>
        <v>0</v>
      </c>
      <c r="I205" s="60" t="str">
        <f>IFERROR(__xludf.DUMMYFUNCTION("if(regexmatch($B205,""\(""),CONCATENATE(regexreplace(REGEXREPLACE(substitute(left($B205,find(""("",$B205)-1),"" "",""""),""\d"",""0""),""[-0]*\."",""0.""), REGEXEXTRACT($B205,""\((.*)\)""),TRIM(REGEXEXTRACT($B205,""\)(.*)""))),"""")"),"0.000000026e-15")</f>
        <v>0.000000026e-15</v>
      </c>
      <c r="J205" s="62">
        <f t="shared" si="3"/>
        <v>0</v>
      </c>
      <c r="K205" s="62" t="b">
        <f t="shared" si="4"/>
        <v>0</v>
      </c>
      <c r="L205" s="62" t="b">
        <f t="shared" si="5"/>
        <v>0</v>
      </c>
      <c r="M205" s="60" t="str">
        <f>IFERROR(__xludf.DUMMYFUNCTION("if(regexmatch(B205,""e(.*)$""),regexextract(B205,""e(.*)$""),"""")"),"-15")</f>
        <v>-15</v>
      </c>
    </row>
    <row r="206">
      <c r="A206" s="80" t="s">
        <v>2414</v>
      </c>
      <c r="B206" s="80" t="s">
        <v>4993</v>
      </c>
      <c r="C206" s="80" t="s">
        <v>98</v>
      </c>
      <c r="D206" s="18" t="str">
        <f t="shared" si="1"/>
        <v>kg</v>
      </c>
      <c r="E206" s="60" t="str">
        <f>VLOOKUP($A206,nist_names_ids!A:B,2,false)</f>
        <v>tme</v>
      </c>
      <c r="F206" s="61">
        <f>countif(Constants!A:A,E206)</f>
        <v>1</v>
      </c>
      <c r="G206" s="60" t="str">
        <f>IFERROR(__xludf.DUMMYFUNCTION("REGEXREPLACE(substitute(substitute(B206,"" "",""""),""..."",""""),""\(.*\)"","""")"),"9.1093826e-31")</f>
        <v>9.1093826e-31</v>
      </c>
      <c r="H206" s="62">
        <f t="shared" si="2"/>
        <v>0</v>
      </c>
      <c r="I206" s="60" t="str">
        <f>IFERROR(__xludf.DUMMYFUNCTION("if(regexmatch($B206,""\(""),CONCATENATE(regexreplace(REGEXREPLACE(substitute(left($B206,find(""("",$B206)-1),"" "",""""),""\d"",""0""),""[-0]*\."",""0.""), REGEXEXTRACT($B206,""\((.*)\)""),TRIM(REGEXEXTRACT($B206,""\)(.*)""))),"""")"),"0.000000016e-31")</f>
        <v>0.000000016e-31</v>
      </c>
      <c r="J206" s="62">
        <f t="shared" si="3"/>
        <v>0</v>
      </c>
      <c r="K206" s="62" t="b">
        <f t="shared" si="4"/>
        <v>0</v>
      </c>
      <c r="L206" s="62" t="b">
        <f t="shared" si="5"/>
        <v>0</v>
      </c>
      <c r="M206" s="60" t="str">
        <f>IFERROR(__xludf.DUMMYFUNCTION("if(regexmatch(B206,""e(.*)$""),regexextract(B206,""e(.*)$""),"""")"),"-31")</f>
        <v>-31</v>
      </c>
    </row>
    <row r="207">
      <c r="A207" s="80" t="s">
        <v>2417</v>
      </c>
      <c r="B207" s="80" t="s">
        <v>5335</v>
      </c>
      <c r="C207" s="80" t="s">
        <v>4436</v>
      </c>
      <c r="D207" s="18" t="str">
        <f t="shared" si="1"/>
        <v>kg m s^-1</v>
      </c>
      <c r="E207" s="60" t="str">
        <f>VLOOKUP($A207,nist_names_ids!A:B,2,false)</f>
        <v>mec</v>
      </c>
      <c r="F207" s="61">
        <f>countif(Constants!A:A,E207)</f>
        <v>1</v>
      </c>
      <c r="G207" s="60" t="str">
        <f>IFERROR(__xludf.DUMMYFUNCTION("REGEXREPLACE(substitute(substitute(B207,"" "",""""),""..."",""""),""\(.*\)"","""")"),"2.73092419e-22")</f>
        <v>2.73092419e-22</v>
      </c>
      <c r="H207" s="62">
        <f t="shared" si="2"/>
        <v>0</v>
      </c>
      <c r="I207" s="60" t="str">
        <f>IFERROR(__xludf.DUMMYFUNCTION("if(regexmatch($B207,""\(""),CONCATENATE(regexreplace(REGEXREPLACE(substitute(left($B207,find(""("",$B207)-1),"" "",""""),""\d"",""0""),""[-0]*\."",""0.""), REGEXEXTRACT($B207,""\((.*)\)""),TRIM(REGEXEXTRACT($B207,""\)(.*)""))),"""")"),"0.0000000047e-22")</f>
        <v>0.0000000047e-22</v>
      </c>
      <c r="J207" s="62">
        <f t="shared" si="3"/>
        <v>0</v>
      </c>
      <c r="K207" s="62" t="b">
        <f t="shared" si="4"/>
        <v>0</v>
      </c>
      <c r="L207" s="62" t="b">
        <f t="shared" si="5"/>
        <v>0</v>
      </c>
      <c r="M207" s="60" t="str">
        <f>IFERROR(__xludf.DUMMYFUNCTION("if(regexmatch(B207,""e(.*)$""),regexextract(B207,""e(.*)$""),"""")"),"-22")</f>
        <v>-22</v>
      </c>
    </row>
    <row r="208">
      <c r="A208" s="80" t="s">
        <v>2424</v>
      </c>
      <c r="B208" s="80" t="s">
        <v>5072</v>
      </c>
      <c r="C208" s="80" t="s">
        <v>2425</v>
      </c>
      <c r="D208" s="18" t="str">
        <f t="shared" si="1"/>
        <v>MeV/c</v>
      </c>
      <c r="E208" s="60" t="str">
        <f>VLOOKUP($A208,nist_names_ids!A:B,2,false)</f>
        <v>mecmevsc</v>
      </c>
      <c r="F208" s="61">
        <f>countif(Constants!A:A,E208)</f>
        <v>1</v>
      </c>
      <c r="G208" s="60" t="str">
        <f>IFERROR(__xludf.DUMMYFUNCTION("REGEXREPLACE(substitute(substitute(B208,"" "",""""),""..."",""""),""\(.*\)"","""")"),"0.510998918")</f>
        <v>0.510998918</v>
      </c>
      <c r="H208" s="62">
        <f t="shared" si="2"/>
        <v>0.510998918</v>
      </c>
      <c r="I208" s="60" t="str">
        <f>IFERROR(__xludf.DUMMYFUNCTION("if(regexmatch($B208,""\(""),CONCATENATE(regexreplace(REGEXREPLACE(substitute(left($B208,find(""("",$B208)-1),"" "",""""),""\d"",""0""),""[-0]*\."",""0.""), REGEXEXTRACT($B208,""\((.*)\)""),TRIM(REGEXEXTRACT($B208,""\)(.*)""))),"""")"),"0.00000000044")</f>
        <v>0.00000000044</v>
      </c>
      <c r="J208" s="62">
        <f t="shared" si="3"/>
        <v>0.00000000044</v>
      </c>
      <c r="K208" s="62" t="b">
        <f t="shared" si="4"/>
        <v>0</v>
      </c>
      <c r="L208" s="62" t="b">
        <f t="shared" si="5"/>
        <v>0</v>
      </c>
      <c r="M208" s="60" t="str">
        <f>IFERROR(__xludf.DUMMYFUNCTION("if(regexmatch(B208,""e(.*)$""),regexextract(B208,""e(.*)$""),"""")"),"")</f>
        <v/>
      </c>
    </row>
    <row r="209">
      <c r="A209" s="80" t="s">
        <v>2427</v>
      </c>
      <c r="B209" s="80" t="s">
        <v>5341</v>
      </c>
      <c r="C209" s="80" t="s">
        <v>520</v>
      </c>
      <c r="D209" s="18" t="str">
        <f t="shared" si="1"/>
        <v>s</v>
      </c>
      <c r="E209" s="60" t="str">
        <f>VLOOKUP($A209,nist_names_ids!A:B,2,false)</f>
        <v>nut</v>
      </c>
      <c r="F209" s="61">
        <f>countif(Constants!A:A,E209)</f>
        <v>1</v>
      </c>
      <c r="G209" s="60" t="str">
        <f>IFERROR(__xludf.DUMMYFUNCTION("REGEXREPLACE(substitute(substitute(B209,"" "",""""),""..."",""""),""\(.*\)"","""")"),"1.2880886677e-21")</f>
        <v>1.2880886677e-21</v>
      </c>
      <c r="H209" s="62">
        <f t="shared" si="2"/>
        <v>0</v>
      </c>
      <c r="I209" s="60" t="str">
        <f>IFERROR(__xludf.DUMMYFUNCTION("if(regexmatch($B209,""\(""),CONCATENATE(regexreplace(REGEXREPLACE(substitute(left($B209,find(""("",$B209)-1),"" "",""""),""\d"",""0""),""[-0]*\."",""0.""), REGEXEXTRACT($B209,""\((.*)\)""),TRIM(REGEXEXTRACT($B209,""\)(.*)""))),"""")"),"0.000000000086e-21")</f>
        <v>0.000000000086e-21</v>
      </c>
      <c r="J209" s="62">
        <f t="shared" si="3"/>
        <v>0</v>
      </c>
      <c r="K209" s="62" t="b">
        <f t="shared" si="4"/>
        <v>0</v>
      </c>
      <c r="L209" s="62" t="b">
        <f t="shared" si="5"/>
        <v>0</v>
      </c>
      <c r="M209" s="60" t="str">
        <f>IFERROR(__xludf.DUMMYFUNCTION("if(regexmatch(B209,""e(.*)$""),regexextract(B209,""e(.*)$""),"""")"),"-21")</f>
        <v>-21</v>
      </c>
    </row>
    <row r="210">
      <c r="A210" s="80" t="s">
        <v>2433</v>
      </c>
      <c r="B210" s="80" t="s">
        <v>2145</v>
      </c>
      <c r="C210" s="80" t="s">
        <v>4447</v>
      </c>
      <c r="D210" s="18" t="str">
        <f t="shared" si="1"/>
        <v>m s^-1</v>
      </c>
      <c r="E210" s="60" t="str">
        <f>VLOOKUP($A210,nist_names_ids!A:B,2,false)</f>
        <v>tc</v>
      </c>
      <c r="F210" s="61">
        <f>countif(Constants!A:A,E210)</f>
        <v>1</v>
      </c>
      <c r="G210" s="60" t="str">
        <f>IFERROR(__xludf.DUMMYFUNCTION("REGEXREPLACE(substitute(substitute(B210,"" "",""""),""..."",""""),""\(.*\)"","""")"),"299792458")</f>
        <v>299792458</v>
      </c>
      <c r="H210" s="62">
        <f t="shared" si="2"/>
        <v>299792458</v>
      </c>
      <c r="I210" s="60" t="str">
        <f>IFERROR(__xludf.DUMMYFUNCTION("if(regexmatch($B210,""\(""),CONCATENATE(regexreplace(REGEXREPLACE(substitute(left($B210,find(""("",$B210)-1),"" "",""""),""\d"",""0""),""[-0]*\."",""0.""), REGEXEXTRACT($B210,""\((.*)\)""),TRIM(REGEXEXTRACT($B210,""\)(.*)""))),"""")"),"")</f>
        <v/>
      </c>
      <c r="J210" s="62" t="str">
        <f t="shared" si="3"/>
        <v/>
      </c>
      <c r="K210" s="62" t="b">
        <f t="shared" si="4"/>
        <v>0</v>
      </c>
      <c r="L210" s="62" t="b">
        <f t="shared" si="5"/>
        <v>0</v>
      </c>
      <c r="M210" s="60" t="str">
        <f>IFERROR(__xludf.DUMMYFUNCTION("if(regexmatch(B210,""e(.*)$""),regexextract(B210,""e(.*)$""),"""")"),"")</f>
        <v/>
      </c>
    </row>
    <row r="211">
      <c r="A211" s="80" t="s">
        <v>2439</v>
      </c>
      <c r="B211" s="80" t="s">
        <v>5346</v>
      </c>
      <c r="C211" s="80" t="s">
        <v>381</v>
      </c>
      <c r="D211" s="18" t="str">
        <f t="shared" si="1"/>
        <v>m</v>
      </c>
      <c r="E211" s="60" t="str">
        <f>VLOOKUP($A211,nist_names_ids!A:B,2,false)</f>
        <v>ncomwl</v>
      </c>
      <c r="F211" s="61">
        <f>countif(Constants!A:A,E211)</f>
        <v>1</v>
      </c>
      <c r="G211" s="60" t="str">
        <f>IFERROR(__xludf.DUMMYFUNCTION("REGEXREPLACE(substitute(substitute(B211,"" "",""""),""..."",""""),""\(.*\)"","""")"),"1.3195909067e-15")</f>
        <v>1.3195909067e-15</v>
      </c>
      <c r="H211" s="62">
        <f t="shared" si="2"/>
        <v>0</v>
      </c>
      <c r="I211" s="60" t="str">
        <f>IFERROR(__xludf.DUMMYFUNCTION("if(regexmatch($B211,""\(""),CONCATENATE(regexreplace(REGEXREPLACE(substitute(left($B211,find(""("",$B211)-1),"" "",""""),""\d"",""0""),""[-0]*\."",""0.""), REGEXEXTRACT($B211,""\((.*)\)""),TRIM(REGEXEXTRACT($B211,""\)(.*)""))),"""")"),"0.000000000088e-15")</f>
        <v>0.000000000088e-15</v>
      </c>
      <c r="J211" s="62">
        <f t="shared" si="3"/>
        <v>0</v>
      </c>
      <c r="K211" s="62" t="b">
        <f t="shared" si="4"/>
        <v>0</v>
      </c>
      <c r="L211" s="62" t="b">
        <f t="shared" si="5"/>
        <v>0</v>
      </c>
      <c r="M211" s="60" t="str">
        <f>IFERROR(__xludf.DUMMYFUNCTION("if(regexmatch(B211,""e(.*)$""),regexextract(B211,""e(.*)$""),"""")"),"-15")</f>
        <v>-15</v>
      </c>
    </row>
    <row r="212">
      <c r="A212" s="80" t="s">
        <v>3674</v>
      </c>
      <c r="B212" s="80" t="s">
        <v>5349</v>
      </c>
      <c r="C212" s="80" t="s">
        <v>381</v>
      </c>
      <c r="D212" s="18" t="str">
        <f t="shared" si="1"/>
        <v>m</v>
      </c>
      <c r="E212" s="60" t="str">
        <f>VLOOKUP($A212,nist_names_ids!A:B,2,false)</f>
        <v>ncomwlbar</v>
      </c>
      <c r="F212" s="61">
        <f>countif(Constants!A:A,E212)</f>
        <v>1</v>
      </c>
      <c r="G212" s="60" t="str">
        <f>IFERROR(__xludf.DUMMYFUNCTION("REGEXREPLACE(substitute(substitute(B212,"" "",""""),""..."",""""),""\(.*\)"","""")"),"0.2100194157e-15")</f>
        <v>0.2100194157e-15</v>
      </c>
      <c r="H212" s="62">
        <f t="shared" si="2"/>
        <v>0</v>
      </c>
      <c r="I212" s="60" t="str">
        <f>IFERROR(__xludf.DUMMYFUNCTION("if(regexmatch($B212,""\(""),CONCATENATE(regexreplace(REGEXREPLACE(substitute(left($B212,find(""("",$B212)-1),"" "",""""),""\d"",""0""),""[-0]*\."",""0.""), REGEXEXTRACT($B212,""\((.*)\)""),TRIM(REGEXEXTRACT($B212,""\)(.*)""))),"""")"),"0.000000000014e-15")</f>
        <v>0.000000000014e-15</v>
      </c>
      <c r="J212" s="62">
        <f t="shared" si="3"/>
        <v>0</v>
      </c>
      <c r="K212" s="62" t="b">
        <f t="shared" si="4"/>
        <v>0</v>
      </c>
      <c r="L212" s="62" t="b">
        <f t="shared" si="5"/>
        <v>0</v>
      </c>
      <c r="M212" s="60" t="str">
        <f>IFERROR(__xludf.DUMMYFUNCTION("if(regexmatch(B212,""e(.*)$""),regexextract(B212,""e(.*)$""),"""")"),"-15")</f>
        <v>-15</v>
      </c>
    </row>
    <row r="213">
      <c r="A213" s="80" t="s">
        <v>2454</v>
      </c>
      <c r="B213" s="80" t="s">
        <v>5351</v>
      </c>
      <c r="C213" s="80"/>
      <c r="D213" s="18" t="str">
        <f t="shared" si="1"/>
        <v/>
      </c>
      <c r="E213" s="60" t="str">
        <f>VLOOKUP($A213,nist_names_ids!A:B,2,false)</f>
        <v>gnn</v>
      </c>
      <c r="F213" s="61">
        <f>countif(Constants!A:A,E213)</f>
        <v>1</v>
      </c>
      <c r="G213" s="60" t="str">
        <f>IFERROR(__xludf.DUMMYFUNCTION("REGEXREPLACE(substitute(substitute(B213,"" "",""""),""..."",""""),""\(.*\)"","""")"),"-3.82608546")</f>
        <v>-3.82608546</v>
      </c>
      <c r="H213" s="62">
        <f t="shared" si="2"/>
        <v>-3.82608546</v>
      </c>
      <c r="I213" s="60" t="str">
        <f>IFERROR(__xludf.DUMMYFUNCTION("if(regexmatch($B213,""\(""),CONCATENATE(regexreplace(REGEXREPLACE(substitute(left($B213,find(""("",$B213)-1),"" "",""""),""\d"",""0""),""[-0]*\."",""0.""), REGEXEXTRACT($B213,""\((.*)\)""),TRIM(REGEXEXTRACT($B213,""\)(.*)""))),"""")"),"0.0000000090")</f>
        <v>0.0000000090</v>
      </c>
      <c r="J213" s="62">
        <f t="shared" si="3"/>
        <v>0.000000009</v>
      </c>
      <c r="K213" s="62" t="b">
        <f t="shared" si="4"/>
        <v>0</v>
      </c>
      <c r="L213" s="62" t="b">
        <f t="shared" si="5"/>
        <v>0</v>
      </c>
      <c r="M213" s="60" t="str">
        <f>IFERROR(__xludf.DUMMYFUNCTION("if(regexmatch(B213,""e(.*)$""),regexextract(B213,""e(.*)$""),"""")"),"")</f>
        <v/>
      </c>
    </row>
    <row r="214">
      <c r="A214" s="80" t="s">
        <v>3700</v>
      </c>
      <c r="B214" s="80" t="s">
        <v>5354</v>
      </c>
      <c r="C214" s="80" t="s">
        <v>4596</v>
      </c>
      <c r="D214" s="18" t="str">
        <f t="shared" si="1"/>
        <v>s^-1 T^-1</v>
      </c>
      <c r="E214" s="60" t="str">
        <f>VLOOKUP($A214,nist_names_ids!A:B,2,false)</f>
        <v>gamman</v>
      </c>
      <c r="F214" s="61">
        <f>countif(Constants!A:A,E214)</f>
        <v>1</v>
      </c>
      <c r="G214" s="60" t="str">
        <f>IFERROR(__xludf.DUMMYFUNCTION("REGEXREPLACE(substitute(substitute(B214,"" "",""""),""..."",""""),""\(.*\)"","""")"),"1.83247183e8")</f>
        <v>1.83247183e8</v>
      </c>
      <c r="H214" s="62">
        <f t="shared" si="2"/>
        <v>183247183</v>
      </c>
      <c r="I214" s="60" t="str">
        <f>IFERROR(__xludf.DUMMYFUNCTION("if(regexmatch($B214,""\(""),CONCATENATE(regexreplace(REGEXREPLACE(substitute(left($B214,find(""("",$B214)-1),"" "",""""),""\d"",""0""),""[-0]*\."",""0.""), REGEXEXTRACT($B214,""\((.*)\)""),TRIM(REGEXEXTRACT($B214,""\)(.*)""))),"""")"),"0.0000000046e8")</f>
        <v>0.0000000046e8</v>
      </c>
      <c r="J214" s="62">
        <f t="shared" si="3"/>
        <v>0.46</v>
      </c>
      <c r="K214" s="62" t="b">
        <f t="shared" si="4"/>
        <v>0</v>
      </c>
      <c r="L214" s="62" t="b">
        <f t="shared" si="5"/>
        <v>0</v>
      </c>
      <c r="M214" s="60" t="str">
        <f>IFERROR(__xludf.DUMMYFUNCTION("if(regexmatch(B214,""e(.*)$""),regexextract(B214,""e(.*)$""),"""")"),"8")</f>
        <v>8</v>
      </c>
    </row>
    <row r="215">
      <c r="A215" s="80" t="s">
        <v>3723</v>
      </c>
      <c r="B215" s="80" t="s">
        <v>5356</v>
      </c>
      <c r="C215" s="80" t="s">
        <v>4602</v>
      </c>
      <c r="D215" s="18" t="str">
        <f t="shared" si="1"/>
        <v>MHz T^-1</v>
      </c>
      <c r="E215" s="60" t="str">
        <f>VLOOKUP($A215,nist_names_ids!A:B,2,false)</f>
        <v>gammanbar</v>
      </c>
      <c r="F215" s="61">
        <f>countif(Constants!A:A,E215)</f>
        <v>1</v>
      </c>
      <c r="G215" s="60" t="str">
        <f>IFERROR(__xludf.DUMMYFUNCTION("REGEXREPLACE(substitute(substitute(B215,"" "",""""),""..."",""""),""\(.*\)"","""")"),"29.1646950")</f>
        <v>29.1646950</v>
      </c>
      <c r="H215" s="62">
        <f t="shared" si="2"/>
        <v>29.164695</v>
      </c>
      <c r="I215" s="60" t="str">
        <f>IFERROR(__xludf.DUMMYFUNCTION("if(regexmatch($B215,""\(""),CONCATENATE(regexreplace(REGEXREPLACE(substitute(left($B215,find(""("",$B215)-1),"" "",""""),""\d"",""0""),""[-0]*\."",""0.""), REGEXEXTRACT($B215,""\((.*)\)""),TRIM(REGEXEXTRACT($B215,""\)(.*)""))),"""")"),"0.000000073")</f>
        <v>0.000000073</v>
      </c>
      <c r="J215" s="62">
        <f t="shared" si="3"/>
        <v>0.000000073</v>
      </c>
      <c r="K215" s="62" t="b">
        <f t="shared" si="4"/>
        <v>0</v>
      </c>
      <c r="L215" s="62" t="b">
        <f t="shared" si="5"/>
        <v>0</v>
      </c>
      <c r="M215" s="60" t="str">
        <f>IFERROR(__xludf.DUMMYFUNCTION("if(regexmatch(B215,""e(.*)$""),regexextract(B215,""e(.*)$""),"""")"),"")</f>
        <v/>
      </c>
    </row>
    <row r="216">
      <c r="A216" s="80" t="s">
        <v>3738</v>
      </c>
      <c r="B216" s="80" t="s">
        <v>5357</v>
      </c>
      <c r="C216" s="80" t="s">
        <v>4421</v>
      </c>
      <c r="D216" s="18" t="str">
        <f t="shared" si="1"/>
        <v>J T^-1</v>
      </c>
      <c r="E216" s="60" t="str">
        <f>VLOOKUP($A216,nist_names_ids!A:B,2,false)</f>
        <v>munn</v>
      </c>
      <c r="F216" s="61">
        <f>countif(Constants!A:A,E216)</f>
        <v>1</v>
      </c>
      <c r="G216" s="60" t="str">
        <f>IFERROR(__xludf.DUMMYFUNCTION("REGEXREPLACE(substitute(substitute(B216,"" "",""""),""..."",""""),""\(.*\)"","""")"),"-0.96623645e-26")</f>
        <v>-0.96623645e-26</v>
      </c>
      <c r="H216" s="62">
        <f t="shared" si="2"/>
        <v>0</v>
      </c>
      <c r="I216" s="60" t="str">
        <f>IFERROR(__xludf.DUMMYFUNCTION("if(regexmatch($B216,""\(""),CONCATENATE(regexreplace(REGEXREPLACE(substitute(left($B216,find(""("",$B216)-1),"" "",""""),""\d"",""0""),""[-0]*\."",""0.""), REGEXEXTRACT($B216,""\((.*)\)""),TRIM(REGEXEXTRACT($B216,""\)(.*)""))),"""")"),"0.0000000024e-26")</f>
        <v>0.0000000024e-26</v>
      </c>
      <c r="J216" s="62">
        <f t="shared" si="3"/>
        <v>0</v>
      </c>
      <c r="K216" s="62" t="b">
        <f t="shared" si="4"/>
        <v>0</v>
      </c>
      <c r="L216" s="62" t="b">
        <f t="shared" si="5"/>
        <v>0</v>
      </c>
      <c r="M216" s="60" t="str">
        <f>IFERROR(__xludf.DUMMYFUNCTION("if(regexmatch(B216,""e(.*)$""),regexextract(B216,""e(.*)$""),"""")"),"-26")</f>
        <v>-26</v>
      </c>
    </row>
    <row r="217">
      <c r="A217" s="80" t="s">
        <v>3757</v>
      </c>
      <c r="B217" s="80" t="s">
        <v>5196</v>
      </c>
      <c r="C217" s="80"/>
      <c r="D217" s="18" t="str">
        <f t="shared" si="1"/>
        <v/>
      </c>
      <c r="E217" s="60" t="str">
        <f>VLOOKUP($A217,nist_names_ids!A:B,2,false)</f>
        <v>munsmub</v>
      </c>
      <c r="F217" s="61">
        <f>countif(Constants!A:A,E217)</f>
        <v>1</v>
      </c>
      <c r="G217" s="60" t="str">
        <f>IFERROR(__xludf.DUMMYFUNCTION("REGEXREPLACE(substitute(substitute(B217,"" "",""""),""..."",""""),""\(.*\)"","""")"),"-1.04187563e-3")</f>
        <v>-1.04187563e-3</v>
      </c>
      <c r="H217" s="62">
        <f t="shared" si="2"/>
        <v>-0.00104187563</v>
      </c>
      <c r="I217" s="60" t="str">
        <f>IFERROR(__xludf.DUMMYFUNCTION("if(regexmatch($B217,""\(""),CONCATENATE(regexreplace(REGEXREPLACE(substitute(left($B217,find(""("",$B217)-1),"" "",""""),""\d"",""0""),""[-0]*\."",""0.""), REGEXEXTRACT($B217,""\((.*)\)""),TRIM(REGEXEXTRACT($B217,""\)(.*)""))),"""")"),"0.0000000025e-3")</f>
        <v>0.0000000025e-3</v>
      </c>
      <c r="J217" s="62">
        <f t="shared" si="3"/>
        <v>0</v>
      </c>
      <c r="K217" s="62" t="b">
        <f t="shared" si="4"/>
        <v>0</v>
      </c>
      <c r="L217" s="62" t="b">
        <f t="shared" si="5"/>
        <v>0</v>
      </c>
      <c r="M217" s="60" t="str">
        <f>IFERROR(__xludf.DUMMYFUNCTION("if(regexmatch(B217,""e(.*)$""),regexextract(B217,""e(.*)$""),"""")"),"-3")</f>
        <v>-3</v>
      </c>
    </row>
    <row r="218">
      <c r="A218" s="80" t="s">
        <v>3767</v>
      </c>
      <c r="B218" s="80" t="s">
        <v>5198</v>
      </c>
      <c r="C218" s="80"/>
      <c r="D218" s="18" t="str">
        <f t="shared" si="1"/>
        <v/>
      </c>
      <c r="E218" s="60" t="str">
        <f>VLOOKUP($A218,nist_names_ids!A:B,2,false)</f>
        <v>munsmun</v>
      </c>
      <c r="F218" s="61">
        <f>countif(Constants!A:A,E218)</f>
        <v>1</v>
      </c>
      <c r="G218" s="60" t="str">
        <f>IFERROR(__xludf.DUMMYFUNCTION("REGEXREPLACE(substitute(substitute(B218,"" "",""""),""..."",""""),""\(.*\)"","""")"),"-1.91304273")</f>
        <v>-1.91304273</v>
      </c>
      <c r="H218" s="62">
        <f t="shared" si="2"/>
        <v>-1.91304273</v>
      </c>
      <c r="I218" s="60" t="str">
        <f>IFERROR(__xludf.DUMMYFUNCTION("if(regexmatch($B218,""\(""),CONCATENATE(regexreplace(REGEXREPLACE(substitute(left($B218,find(""("",$B218)-1),"" "",""""),""\d"",""0""),""[-0]*\."",""0.""), REGEXEXTRACT($B218,""\((.*)\)""),TRIM(REGEXEXTRACT($B218,""\)(.*)""))),"""")"),"0.0000000045")</f>
        <v>0.0000000045</v>
      </c>
      <c r="J218" s="62">
        <f t="shared" si="3"/>
        <v>0.0000000045</v>
      </c>
      <c r="K218" s="62" t="b">
        <f t="shared" si="4"/>
        <v>0</v>
      </c>
      <c r="L218" s="62" t="b">
        <f t="shared" si="5"/>
        <v>0</v>
      </c>
      <c r="M218" s="60" t="str">
        <f>IFERROR(__xludf.DUMMYFUNCTION("if(regexmatch(B218,""e(.*)$""),regexextract(B218,""e(.*)$""),"""")"),"")</f>
        <v/>
      </c>
    </row>
    <row r="219">
      <c r="A219" s="80" t="s">
        <v>2483</v>
      </c>
      <c r="B219" s="80" t="s">
        <v>5361</v>
      </c>
      <c r="C219" s="80" t="s">
        <v>98</v>
      </c>
      <c r="D219" s="18" t="str">
        <f t="shared" si="1"/>
        <v>kg</v>
      </c>
      <c r="E219" s="60" t="str">
        <f>VLOOKUP($A219,nist_names_ids!A:B,2,false)</f>
        <v>mn</v>
      </c>
      <c r="F219" s="61">
        <f>countif(Constants!A:A,E219)</f>
        <v>1</v>
      </c>
      <c r="G219" s="60" t="str">
        <f>IFERROR(__xludf.DUMMYFUNCTION("REGEXREPLACE(substitute(substitute(B219,"" "",""""),""..."",""""),""\(.*\)"","""")"),"1.67492728e-27")</f>
        <v>1.67492728e-27</v>
      </c>
      <c r="H219" s="62">
        <f t="shared" si="2"/>
        <v>0</v>
      </c>
      <c r="I219" s="60" t="str">
        <f>IFERROR(__xludf.DUMMYFUNCTION("if(regexmatch($B219,""\(""),CONCATENATE(regexreplace(REGEXREPLACE(substitute(left($B219,find(""("",$B219)-1),"" "",""""),""\d"",""0""),""[-0]*\."",""0.""), REGEXEXTRACT($B219,""\((.*)\)""),TRIM(REGEXEXTRACT($B219,""\)(.*)""))),"""")"),"0.0000000029e-27")</f>
        <v>0.0000000029e-27</v>
      </c>
      <c r="J219" s="62">
        <f t="shared" si="3"/>
        <v>0</v>
      </c>
      <c r="K219" s="62" t="b">
        <f t="shared" si="4"/>
        <v>0</v>
      </c>
      <c r="L219" s="62" t="b">
        <f t="shared" si="5"/>
        <v>0</v>
      </c>
      <c r="M219" s="60" t="str">
        <f>IFERROR(__xludf.DUMMYFUNCTION("if(regexmatch(B219,""e(.*)$""),regexextract(B219,""e(.*)$""),"""")"),"-27")</f>
        <v>-27</v>
      </c>
    </row>
    <row r="220">
      <c r="A220" s="80" t="s">
        <v>2490</v>
      </c>
      <c r="B220" s="80" t="s">
        <v>5367</v>
      </c>
      <c r="C220" s="80" t="s">
        <v>173</v>
      </c>
      <c r="D220" s="18" t="str">
        <f t="shared" si="1"/>
        <v>J</v>
      </c>
      <c r="E220" s="60" t="str">
        <f>VLOOKUP($A220,nist_names_ids!A:B,2,false)</f>
        <v>mnc2</v>
      </c>
      <c r="F220" s="61">
        <f>countif(Constants!A:A,E220)</f>
        <v>1</v>
      </c>
      <c r="G220" s="60" t="str">
        <f>IFERROR(__xludf.DUMMYFUNCTION("REGEXREPLACE(substitute(substitute(B220,"" "",""""),""..."",""""),""\(.*\)"","""")"),"1.50534957e-10")</f>
        <v>1.50534957e-10</v>
      </c>
      <c r="H220" s="62">
        <f t="shared" si="2"/>
        <v>0.000000000150534957</v>
      </c>
      <c r="I220" s="60" t="str">
        <f>IFERROR(__xludf.DUMMYFUNCTION("if(regexmatch($B220,""\(""),CONCATENATE(regexreplace(REGEXREPLACE(substitute(left($B220,find(""("",$B220)-1),"" "",""""),""\d"",""0""),""[-0]*\."",""0.""), REGEXEXTRACT($B220,""\((.*)\)""),TRIM(REGEXEXTRACT($B220,""\)(.*)""))),"""")"),"0.0000000026e-10")</f>
        <v>0.0000000026e-10</v>
      </c>
      <c r="J220" s="62">
        <f t="shared" si="3"/>
        <v>0</v>
      </c>
      <c r="K220" s="62" t="b">
        <f t="shared" si="4"/>
        <v>0</v>
      </c>
      <c r="L220" s="62" t="b">
        <f t="shared" si="5"/>
        <v>0</v>
      </c>
      <c r="M220" s="60" t="str">
        <f>IFERROR(__xludf.DUMMYFUNCTION("if(regexmatch(B220,""e(.*)$""),regexextract(B220,""e(.*)$""),"""")"),"-10")</f>
        <v>-10</v>
      </c>
    </row>
    <row r="221">
      <c r="A221" s="80" t="s">
        <v>2495</v>
      </c>
      <c r="B221" s="80" t="s">
        <v>5370</v>
      </c>
      <c r="C221" s="80" t="s">
        <v>224</v>
      </c>
      <c r="D221" s="18" t="str">
        <f t="shared" si="1"/>
        <v>MeV</v>
      </c>
      <c r="E221" s="60" t="str">
        <f>VLOOKUP($A221,nist_names_ids!A:B,2,false)</f>
        <v>mnc2mev</v>
      </c>
      <c r="F221" s="61">
        <f>countif(Constants!A:A,E221)</f>
        <v>1</v>
      </c>
      <c r="G221" s="60" t="str">
        <f>IFERROR(__xludf.DUMMYFUNCTION("REGEXREPLACE(substitute(substitute(B221,"" "",""""),""..."",""""),""\(.*\)"","""")"),"939.565360")</f>
        <v>939.565360</v>
      </c>
      <c r="H221" s="62">
        <f t="shared" si="2"/>
        <v>939.56536</v>
      </c>
      <c r="I221" s="60" t="str">
        <f>IFERROR(__xludf.DUMMYFUNCTION("if(regexmatch($B221,""\(""),CONCATENATE(regexreplace(REGEXREPLACE(substitute(left($B221,find(""("",$B221)-1),"" "",""""),""\d"",""0""),""[-0]*\."",""0.""), REGEXEXTRACT($B221,""\((.*)\)""),TRIM(REGEXEXTRACT($B221,""\)(.*)""))),"""")"),"0.00000081")</f>
        <v>0.00000081</v>
      </c>
      <c r="J221" s="62">
        <f t="shared" si="3"/>
        <v>0.00000081</v>
      </c>
      <c r="K221" s="62" t="b">
        <f t="shared" si="4"/>
        <v>0</v>
      </c>
      <c r="L221" s="62" t="b">
        <f t="shared" si="5"/>
        <v>0</v>
      </c>
      <c r="M221" s="60" t="str">
        <f>IFERROR(__xludf.DUMMYFUNCTION("if(regexmatch(B221,""e(.*)$""),regexextract(B221,""e(.*)$""),"""")"),"")</f>
        <v/>
      </c>
    </row>
    <row r="222">
      <c r="A222" s="80" t="s">
        <v>2504</v>
      </c>
      <c r="B222" s="80" t="s">
        <v>5373</v>
      </c>
      <c r="C222" s="80" t="s">
        <v>249</v>
      </c>
      <c r="D222" s="18" t="str">
        <f t="shared" si="1"/>
        <v>u</v>
      </c>
      <c r="E222" s="60" t="str">
        <f>VLOOKUP($A222,nist_names_ids!A:B,2,false)</f>
        <v>mnu</v>
      </c>
      <c r="F222" s="61">
        <f>countif(Constants!A:A,E222)</f>
        <v>1</v>
      </c>
      <c r="G222" s="60" t="str">
        <f>IFERROR(__xludf.DUMMYFUNCTION("REGEXREPLACE(substitute(substitute(B222,"" "",""""),""..."",""""),""\(.*\)"","""")"),"1.00866491560")</f>
        <v>1.00866491560</v>
      </c>
      <c r="H222" s="62">
        <f t="shared" si="2"/>
        <v>1.008664916</v>
      </c>
      <c r="I222" s="60" t="str">
        <f>IFERROR(__xludf.DUMMYFUNCTION("if(regexmatch($B222,""\(""),CONCATENATE(regexreplace(REGEXREPLACE(substitute(left($B222,find(""("",$B222)-1),"" "",""""),""\d"",""0""),""[-0]*\."",""0.""), REGEXEXTRACT($B222,""\((.*)\)""),TRIM(REGEXEXTRACT($B222,""\)(.*)""))),"""")"),"0.0000000000055")</f>
        <v>0.0000000000055</v>
      </c>
      <c r="J222" s="62">
        <f t="shared" si="3"/>
        <v>0</v>
      </c>
      <c r="K222" s="62" t="b">
        <f t="shared" si="4"/>
        <v>0</v>
      </c>
      <c r="L222" s="62" t="b">
        <f t="shared" si="5"/>
        <v>0</v>
      </c>
      <c r="M222" s="60" t="str">
        <f>IFERROR(__xludf.DUMMYFUNCTION("if(regexmatch(B222,""e(.*)$""),regexextract(B222,""e(.*)$""),"""")"),"")</f>
        <v/>
      </c>
    </row>
    <row r="223">
      <c r="A223" s="80" t="s">
        <v>2508</v>
      </c>
      <c r="B223" s="80" t="s">
        <v>5376</v>
      </c>
      <c r="C223" s="80" t="s">
        <v>4309</v>
      </c>
      <c r="D223" s="18" t="str">
        <f t="shared" si="1"/>
        <v>kg mol^-1</v>
      </c>
      <c r="E223" s="60" t="str">
        <f>VLOOKUP($A223,nist_names_ids!A:B,2,false)</f>
        <v>mmn</v>
      </c>
      <c r="F223" s="61">
        <f>countif(Constants!A:A,E223)</f>
        <v>1</v>
      </c>
      <c r="G223" s="60" t="str">
        <f>IFERROR(__xludf.DUMMYFUNCTION("REGEXREPLACE(substitute(substitute(B223,"" "",""""),""..."",""""),""\(.*\)"","""")"),"1.00866491560e-3")</f>
        <v>1.00866491560e-3</v>
      </c>
      <c r="H223" s="62">
        <f t="shared" si="2"/>
        <v>0.001008664916</v>
      </c>
      <c r="I223" s="60" t="str">
        <f>IFERROR(__xludf.DUMMYFUNCTION("if(regexmatch($B223,""\(""),CONCATENATE(regexreplace(REGEXREPLACE(substitute(left($B223,find(""("",$B223)-1),"" "",""""),""\d"",""0""),""[-0]*\."",""0.""), REGEXEXTRACT($B223,""\((.*)\)""),TRIM(REGEXEXTRACT($B223,""\)(.*)""))),"""")"),"0.0000000000055e-3")</f>
        <v>0.0000000000055e-3</v>
      </c>
      <c r="J223" s="62">
        <f t="shared" si="3"/>
        <v>0</v>
      </c>
      <c r="K223" s="62" t="b">
        <f t="shared" si="4"/>
        <v>0</v>
      </c>
      <c r="L223" s="62" t="b">
        <f t="shared" si="5"/>
        <v>0</v>
      </c>
      <c r="M223" s="60" t="str">
        <f>IFERROR(__xludf.DUMMYFUNCTION("if(regexmatch(B223,""e(.*)$""),regexextract(B223,""e(.*)$""),"""")"),"-3")</f>
        <v>-3</v>
      </c>
    </row>
    <row r="224">
      <c r="A224" s="80" t="s">
        <v>3817</v>
      </c>
      <c r="B224" s="80" t="s">
        <v>5210</v>
      </c>
      <c r="C224" s="80"/>
      <c r="D224" s="18" t="str">
        <f t="shared" si="1"/>
        <v/>
      </c>
      <c r="E224" s="60" t="str">
        <f>VLOOKUP($A224,nist_names_ids!A:B,2,false)</f>
        <v>munsmupp</v>
      </c>
      <c r="F224" s="61">
        <f>countif(Constants!A:A,E224)</f>
        <v>1</v>
      </c>
      <c r="G224" s="60" t="str">
        <f>IFERROR(__xludf.DUMMYFUNCTION("REGEXREPLACE(substitute(substitute(B224,"" "",""""),""..."",""""),""\(.*\)"","""")"),"-0.68499694")</f>
        <v>-0.68499694</v>
      </c>
      <c r="H224" s="62">
        <f t="shared" si="2"/>
        <v>-0.68499694</v>
      </c>
      <c r="I224" s="60" t="str">
        <f>IFERROR(__xludf.DUMMYFUNCTION("if(regexmatch($B224,""\(""),CONCATENATE(regexreplace(REGEXREPLACE(substitute(left($B224,find(""("",$B224)-1),"" "",""""),""\d"",""0""),""[-0]*\."",""0.""), REGEXEXTRACT($B224,""\((.*)\)""),TRIM(REGEXEXTRACT($B224,""\)(.*)""))),"""")"),"0.0000000016")</f>
        <v>0.0000000016</v>
      </c>
      <c r="J224" s="62">
        <f t="shared" si="3"/>
        <v>0.0000000016</v>
      </c>
      <c r="K224" s="62" t="b">
        <f t="shared" si="4"/>
        <v>0</v>
      </c>
      <c r="L224" s="62" t="b">
        <f t="shared" si="5"/>
        <v>0</v>
      </c>
      <c r="M224" s="60" t="str">
        <f>IFERROR(__xludf.DUMMYFUNCTION("if(regexmatch(B224,""e(.*)$""),regexextract(B224,""e(.*)$""),"""")"),"")</f>
        <v/>
      </c>
    </row>
    <row r="225">
      <c r="A225" s="80" t="s">
        <v>3834</v>
      </c>
      <c r="B225" s="80" t="s">
        <v>5212</v>
      </c>
      <c r="C225" s="80"/>
      <c r="D225" s="18" t="str">
        <f t="shared" si="1"/>
        <v/>
      </c>
      <c r="E225" s="60" t="str">
        <f>VLOOKUP($A225,nist_names_ids!A:B,2,false)</f>
        <v>munsmue</v>
      </c>
      <c r="F225" s="61">
        <f>countif(Constants!A:A,E225)</f>
        <v>1</v>
      </c>
      <c r="G225" s="60" t="str">
        <f>IFERROR(__xludf.DUMMYFUNCTION("REGEXREPLACE(substitute(substitute(B225,"" "",""""),""..."",""""),""\(.*\)"","""")"),"1.04066882e-3")</f>
        <v>1.04066882e-3</v>
      </c>
      <c r="H225" s="62">
        <f t="shared" si="2"/>
        <v>0.00104066882</v>
      </c>
      <c r="I225" s="60" t="str">
        <f>IFERROR(__xludf.DUMMYFUNCTION("if(regexmatch($B225,""\(""),CONCATENATE(regexreplace(REGEXREPLACE(substitute(left($B225,find(""("",$B225)-1),"" "",""""),""\d"",""0""),""[-0]*\."",""0.""), REGEXEXTRACT($B225,""\((.*)\)""),TRIM(REGEXEXTRACT($B225,""\)(.*)""))),"""")"),"0.0000000025e-3")</f>
        <v>0.0000000025e-3</v>
      </c>
      <c r="J225" s="62">
        <f t="shared" si="3"/>
        <v>0</v>
      </c>
      <c r="K225" s="62" t="b">
        <f t="shared" si="4"/>
        <v>0</v>
      </c>
      <c r="L225" s="62" t="b">
        <f t="shared" si="5"/>
        <v>0</v>
      </c>
      <c r="M225" s="60" t="str">
        <f>IFERROR(__xludf.DUMMYFUNCTION("if(regexmatch(B225,""e(.*)$""),regexextract(B225,""e(.*)$""),"""")"),"-3")</f>
        <v>-3</v>
      </c>
    </row>
    <row r="226">
      <c r="A226" s="80" t="s">
        <v>2448</v>
      </c>
      <c r="B226" s="80" t="s">
        <v>5383</v>
      </c>
      <c r="C226" s="80"/>
      <c r="D226" s="18" t="str">
        <f t="shared" si="1"/>
        <v/>
      </c>
      <c r="E226" s="60" t="str">
        <f>VLOOKUP($A226,nist_names_ids!A:B,2,false)</f>
        <v>mnsme</v>
      </c>
      <c r="F226" s="61">
        <f>countif(Constants!A:A,E226)</f>
        <v>1</v>
      </c>
      <c r="G226" s="60" t="str">
        <f>IFERROR(__xludf.DUMMYFUNCTION("REGEXREPLACE(substitute(substitute(B226,"" "",""""),""..."",""""),""\(.*\)"","""")"),"1838.6836598")</f>
        <v>1838.6836598</v>
      </c>
      <c r="H226" s="62">
        <f t="shared" si="2"/>
        <v>1838.68366</v>
      </c>
      <c r="I226" s="60" t="str">
        <f>IFERROR(__xludf.DUMMYFUNCTION("if(regexmatch($B226,""\(""),CONCATENATE(regexreplace(REGEXREPLACE(substitute(left($B226,find(""("",$B226)-1),"" "",""""),""\d"",""0""),""[-0]*\."",""0.""), REGEXEXTRACT($B226,""\((.*)\)""),TRIM(REGEXEXTRACT($B226,""\)(.*)""))),"""")"),"0.000000013")</f>
        <v>0.000000013</v>
      </c>
      <c r="J226" s="62">
        <f t="shared" si="3"/>
        <v>0.000000013</v>
      </c>
      <c r="K226" s="62" t="b">
        <f t="shared" si="4"/>
        <v>0</v>
      </c>
      <c r="L226" s="62" t="b">
        <f t="shared" si="5"/>
        <v>0</v>
      </c>
      <c r="M226" s="60" t="str">
        <f>IFERROR(__xludf.DUMMYFUNCTION("if(regexmatch(B226,""e(.*)$""),regexextract(B226,""e(.*)$""),"""")"),"")</f>
        <v/>
      </c>
    </row>
    <row r="227">
      <c r="A227" s="80" t="s">
        <v>2513</v>
      </c>
      <c r="B227" s="80" t="s">
        <v>5385</v>
      </c>
      <c r="C227" s="80"/>
      <c r="D227" s="18" t="str">
        <f t="shared" si="1"/>
        <v/>
      </c>
      <c r="E227" s="60" t="str">
        <f>VLOOKUP($A227,nist_names_ids!A:B,2,false)</f>
        <v>mnsmmu</v>
      </c>
      <c r="F227" s="61">
        <f>countif(Constants!A:A,E227)</f>
        <v>1</v>
      </c>
      <c r="G227" s="60" t="str">
        <f>IFERROR(__xludf.DUMMYFUNCTION("REGEXREPLACE(substitute(substitute(B227,"" "",""""),""..."",""""),""\(.*\)"","""")"),"8.89248402")</f>
        <v>8.89248402</v>
      </c>
      <c r="H227" s="62">
        <f t="shared" si="2"/>
        <v>8.89248402</v>
      </c>
      <c r="I227" s="60" t="str">
        <f>IFERROR(__xludf.DUMMYFUNCTION("if(regexmatch($B227,""\(""),CONCATENATE(regexreplace(REGEXREPLACE(substitute(left($B227,find(""("",$B227)-1),"" "",""""),""\d"",""0""),""[-0]*\."",""0.""), REGEXEXTRACT($B227,""\((.*)\)""),TRIM(REGEXEXTRACT($B227,""\)(.*)""))),"""")"),"0.0000000023")</f>
        <v>0.0000000023</v>
      </c>
      <c r="J227" s="62">
        <f t="shared" si="3"/>
        <v>0.0000000023</v>
      </c>
      <c r="K227" s="62" t="b">
        <f t="shared" si="4"/>
        <v>0</v>
      </c>
      <c r="L227" s="62" t="b">
        <f t="shared" si="5"/>
        <v>0</v>
      </c>
      <c r="M227" s="60" t="str">
        <f>IFERROR(__xludf.DUMMYFUNCTION("if(regexmatch(B227,""e(.*)$""),regexextract(B227,""e(.*)$""),"""")"),"")</f>
        <v/>
      </c>
    </row>
    <row r="228">
      <c r="A228" s="80" t="s">
        <v>3868</v>
      </c>
      <c r="B228" s="80" t="s">
        <v>5221</v>
      </c>
      <c r="C228" s="80"/>
      <c r="D228" s="18" t="str">
        <f t="shared" si="1"/>
        <v/>
      </c>
      <c r="E228" s="60" t="str">
        <f>VLOOKUP($A228,nist_names_ids!A:B,2,false)</f>
        <v>munsmup</v>
      </c>
      <c r="F228" s="61">
        <f>countif(Constants!A:A,E228)</f>
        <v>1</v>
      </c>
      <c r="G228" s="60" t="str">
        <f>IFERROR(__xludf.DUMMYFUNCTION("REGEXREPLACE(substitute(substitute(B228,"" "",""""),""..."",""""),""\(.*\)"","""")"),"-0.68497934")</f>
        <v>-0.68497934</v>
      </c>
      <c r="H228" s="62">
        <f t="shared" si="2"/>
        <v>-0.68497934</v>
      </c>
      <c r="I228" s="60" t="str">
        <f>IFERROR(__xludf.DUMMYFUNCTION("if(regexmatch($B228,""\(""),CONCATENATE(regexreplace(REGEXREPLACE(substitute(left($B228,find(""("",$B228)-1),"" "",""""),""\d"",""0""),""[-0]*\."",""0.""), REGEXEXTRACT($B228,""\((.*)\)""),TRIM(REGEXEXTRACT($B228,""\)(.*)""))),"""")"),"0.0000000016")</f>
        <v>0.0000000016</v>
      </c>
      <c r="J228" s="62">
        <f t="shared" si="3"/>
        <v>0.0000000016</v>
      </c>
      <c r="K228" s="62" t="b">
        <f t="shared" si="4"/>
        <v>0</v>
      </c>
      <c r="L228" s="62" t="b">
        <f t="shared" si="5"/>
        <v>0</v>
      </c>
      <c r="M228" s="60" t="str">
        <f>IFERROR(__xludf.DUMMYFUNCTION("if(regexmatch(B228,""e(.*)$""),regexextract(B228,""e(.*)$""),"""")"),"")</f>
        <v/>
      </c>
    </row>
    <row r="229">
      <c r="A229" s="80" t="s">
        <v>2544</v>
      </c>
      <c r="B229" s="80" t="s">
        <v>5390</v>
      </c>
      <c r="C229" s="80"/>
      <c r="D229" s="18" t="str">
        <f t="shared" si="1"/>
        <v/>
      </c>
      <c r="E229" s="60" t="str">
        <f>VLOOKUP($A229,nist_names_ids!A:B,2,false)</f>
        <v>mnsmp</v>
      </c>
      <c r="F229" s="61">
        <f>countif(Constants!A:A,E229)</f>
        <v>1</v>
      </c>
      <c r="G229" s="60" t="str">
        <f>IFERROR(__xludf.DUMMYFUNCTION("REGEXREPLACE(substitute(substitute(B229,"" "",""""),""..."",""""),""\(.*\)"","""")"),"1.00137841870")</f>
        <v>1.00137841870</v>
      </c>
      <c r="H229" s="62">
        <f t="shared" si="2"/>
        <v>1.001378419</v>
      </c>
      <c r="I229" s="60" t="str">
        <f>IFERROR(__xludf.DUMMYFUNCTION("if(regexmatch($B229,""\(""),CONCATENATE(regexreplace(REGEXREPLACE(substitute(left($B229,find(""("",$B229)-1),"" "",""""),""\d"",""0""),""[-0]*\."",""0.""), REGEXEXTRACT($B229,""\((.*)\)""),TRIM(REGEXEXTRACT($B229,""\)(.*)""))),"""")"),"0.0000000000058")</f>
        <v>0.0000000000058</v>
      </c>
      <c r="J229" s="62">
        <f t="shared" si="3"/>
        <v>0</v>
      </c>
      <c r="K229" s="62" t="b">
        <f t="shared" si="4"/>
        <v>0</v>
      </c>
      <c r="L229" s="62" t="b">
        <f t="shared" si="5"/>
        <v>0</v>
      </c>
      <c r="M229" s="60" t="str">
        <f>IFERROR(__xludf.DUMMYFUNCTION("if(regexmatch(B229,""e(.*)$""),regexextract(B229,""e(.*)$""),"""")"),"")</f>
        <v/>
      </c>
    </row>
    <row r="230">
      <c r="A230" s="80" t="s">
        <v>2551</v>
      </c>
      <c r="B230" s="80" t="s">
        <v>5224</v>
      </c>
      <c r="C230" s="80"/>
      <c r="D230" s="18" t="str">
        <f t="shared" si="1"/>
        <v/>
      </c>
      <c r="E230" s="60" t="str">
        <f>VLOOKUP($A230,nist_names_ids!A:B,2,false)</f>
        <v>mnsmtau</v>
      </c>
      <c r="F230" s="61">
        <f>countif(Constants!A:A,E230)</f>
        <v>1</v>
      </c>
      <c r="G230" s="60" t="str">
        <f>IFERROR(__xludf.DUMMYFUNCTION("REGEXREPLACE(substitute(substitute(B230,"" "",""""),""..."",""""),""\(.*\)"","""")"),"0.528740")</f>
        <v>0.528740</v>
      </c>
      <c r="H230" s="62">
        <f t="shared" si="2"/>
        <v>0.52874</v>
      </c>
      <c r="I230" s="60" t="str">
        <f>IFERROR(__xludf.DUMMYFUNCTION("if(regexmatch($B230,""\(""),CONCATENATE(regexreplace(REGEXREPLACE(substitute(left($B230,find(""("",$B230)-1),"" "",""""),""\d"",""0""),""[-0]*\."",""0.""), REGEXEXTRACT($B230,""\((.*)\)""),TRIM(REGEXEXTRACT($B230,""\)(.*)""))),"""")"),"0.00000086")</f>
        <v>0.00000086</v>
      </c>
      <c r="J230" s="62">
        <f t="shared" si="3"/>
        <v>0.00000086</v>
      </c>
      <c r="K230" s="62" t="b">
        <f t="shared" si="4"/>
        <v>0</v>
      </c>
      <c r="L230" s="62" t="b">
        <f t="shared" si="5"/>
        <v>0</v>
      </c>
      <c r="M230" s="60" t="str">
        <f>IFERROR(__xludf.DUMMYFUNCTION("if(regexmatch(B230,""e(.*)$""),regexextract(B230,""e(.*)$""),"""")"),"")</f>
        <v/>
      </c>
    </row>
    <row r="231">
      <c r="A231" s="80" t="s">
        <v>2558</v>
      </c>
      <c r="B231" s="80" t="s">
        <v>5394</v>
      </c>
      <c r="C231" s="80" t="s">
        <v>5227</v>
      </c>
      <c r="D231" s="18" t="str">
        <f t="shared" si="1"/>
        <v>m^3 kg^-1 s^-2</v>
      </c>
      <c r="E231" s="60" t="str">
        <f>VLOOKUP($A231,nist_names_ids!A:B,2,false)</f>
        <v>bg</v>
      </c>
      <c r="F231" s="61">
        <f>countif(Constants!A:A,E231)</f>
        <v>1</v>
      </c>
      <c r="G231" s="60" t="str">
        <f>IFERROR(__xludf.DUMMYFUNCTION("REGEXREPLACE(substitute(substitute(B231,"" "",""""),""..."",""""),""\(.*\)"","""")"),"6.6742e-11")</f>
        <v>6.6742e-11</v>
      </c>
      <c r="H231" s="62">
        <f t="shared" si="2"/>
        <v>0</v>
      </c>
      <c r="I231" s="60" t="str">
        <f>IFERROR(__xludf.DUMMYFUNCTION("if(regexmatch($B231,""\(""),CONCATENATE(regexreplace(REGEXREPLACE(substitute(left($B231,find(""("",$B231)-1),"" "",""""),""\d"",""0""),""[-0]*\."",""0.""), REGEXEXTRACT($B231,""\((.*)\)""),TRIM(REGEXEXTRACT($B231,""\)(.*)""))),"""")"),"0.000010e-11")</f>
        <v>0.000010e-11</v>
      </c>
      <c r="J231" s="62">
        <f t="shared" si="3"/>
        <v>0</v>
      </c>
      <c r="K231" s="62" t="b">
        <f t="shared" si="4"/>
        <v>0</v>
      </c>
      <c r="L231" s="62" t="b">
        <f t="shared" si="5"/>
        <v>0</v>
      </c>
      <c r="M231" s="60" t="str">
        <f>IFERROR(__xludf.DUMMYFUNCTION("if(regexmatch(B231,""e(.*)$""),regexextract(B231,""e(.*)$""),"""")"),"-11")</f>
        <v>-11</v>
      </c>
    </row>
    <row r="232">
      <c r="A232" s="80" t="s">
        <v>2566</v>
      </c>
      <c r="B232" s="80" t="s">
        <v>5396</v>
      </c>
      <c r="C232" s="80" t="s">
        <v>5230</v>
      </c>
      <c r="D232" s="18" t="str">
        <f t="shared" si="1"/>
        <v>(GeV/c^2)^-2</v>
      </c>
      <c r="E232" s="60" t="str">
        <f>VLOOKUP($A232,nist_names_ids!A:B,2,false)</f>
        <v>bgspu</v>
      </c>
      <c r="F232" s="61">
        <f>countif(Constants!A:A,E232)</f>
        <v>1</v>
      </c>
      <c r="G232" s="60" t="str">
        <f>IFERROR(__xludf.DUMMYFUNCTION("REGEXREPLACE(substitute(substitute(B232,"" "",""""),""..."",""""),""\(.*\)"","""")"),"6.7087e-39")</f>
        <v>6.7087e-39</v>
      </c>
      <c r="H232" s="62">
        <f t="shared" si="2"/>
        <v>0</v>
      </c>
      <c r="I232" s="60" t="str">
        <f>IFERROR(__xludf.DUMMYFUNCTION("if(regexmatch($B232,""\(""),CONCATENATE(regexreplace(REGEXREPLACE(substitute(left($B232,find(""("",$B232)-1),"" "",""""),""\d"",""0""),""[-0]*\."",""0.""), REGEXEXTRACT($B232,""\((.*)\)""),TRIM(REGEXEXTRACT($B232,""\)(.*)""))),"""")"),"0.000010e-39")</f>
        <v>0.000010e-39</v>
      </c>
      <c r="J232" s="62">
        <f t="shared" si="3"/>
        <v>0</v>
      </c>
      <c r="K232" s="62" t="b">
        <f t="shared" si="4"/>
        <v>0</v>
      </c>
      <c r="L232" s="62" t="b">
        <f t="shared" si="5"/>
        <v>0</v>
      </c>
      <c r="M232" s="60" t="str">
        <f>IFERROR(__xludf.DUMMYFUNCTION("if(regexmatch(B232,""e(.*)$""),regexextract(B232,""e(.*)$""),"""")"),"-39")</f>
        <v>-39</v>
      </c>
    </row>
    <row r="233">
      <c r="A233" s="80" t="s">
        <v>2572</v>
      </c>
      <c r="B233" s="80" t="s">
        <v>5399</v>
      </c>
      <c r="C233" s="80" t="s">
        <v>4421</v>
      </c>
      <c r="D233" s="18" t="str">
        <f t="shared" si="1"/>
        <v>J T^-1</v>
      </c>
      <c r="E233" s="60" t="str">
        <f>VLOOKUP($A233,nist_names_ids!A:B,2,false)</f>
        <v>mun</v>
      </c>
      <c r="F233" s="61">
        <f>countif(Constants!A:A,E233)</f>
        <v>1</v>
      </c>
      <c r="G233" s="60" t="str">
        <f>IFERROR(__xludf.DUMMYFUNCTION("REGEXREPLACE(substitute(substitute(B233,"" "",""""),""..."",""""),""\(.*\)"","""")"),"5.05078343e-27")</f>
        <v>5.05078343e-27</v>
      </c>
      <c r="H233" s="62">
        <f t="shared" si="2"/>
        <v>0</v>
      </c>
      <c r="I233" s="60" t="str">
        <f>IFERROR(__xludf.DUMMYFUNCTION("if(regexmatch($B233,""\(""),CONCATENATE(regexreplace(REGEXREPLACE(substitute(left($B233,find(""("",$B233)-1),"" "",""""),""\d"",""0""),""[-0]*\."",""0.""), REGEXEXTRACT($B233,""\((.*)\)""),TRIM(REGEXEXTRACT($B233,""\)(.*)""))),"""")"),"0.0000000043e-27")</f>
        <v>0.0000000043e-27</v>
      </c>
      <c r="J233" s="62">
        <f t="shared" si="3"/>
        <v>0</v>
      </c>
      <c r="K233" s="62" t="b">
        <f t="shared" si="4"/>
        <v>0</v>
      </c>
      <c r="L233" s="62" t="b">
        <f t="shared" si="5"/>
        <v>0</v>
      </c>
      <c r="M233" s="60" t="str">
        <f>IFERROR(__xludf.DUMMYFUNCTION("if(regexmatch(B233,""e(.*)$""),regexextract(B233,""e(.*)$""),"""")"),"-27")</f>
        <v>-27</v>
      </c>
    </row>
    <row r="234">
      <c r="A234" s="80" t="s">
        <v>2586</v>
      </c>
      <c r="B234" s="80" t="s">
        <v>5235</v>
      </c>
      <c r="C234" s="80" t="s">
        <v>4461</v>
      </c>
      <c r="D234" s="18" t="str">
        <f t="shared" si="1"/>
        <v>K T^-1</v>
      </c>
      <c r="E234" s="60" t="str">
        <f>VLOOKUP($A234,nist_names_ids!A:B,2,false)</f>
        <v>munskk</v>
      </c>
      <c r="F234" s="61">
        <f>countif(Constants!A:A,E234)</f>
        <v>1</v>
      </c>
      <c r="G234" s="60" t="str">
        <f>IFERROR(__xludf.DUMMYFUNCTION("REGEXREPLACE(substitute(substitute(B234,"" "",""""),""..."",""""),""\(.*\)"","""")"),"3.6582637e-4")</f>
        <v>3.6582637e-4</v>
      </c>
      <c r="H234" s="62">
        <f t="shared" si="2"/>
        <v>0.00036582637</v>
      </c>
      <c r="I234" s="60" t="str">
        <f>IFERROR(__xludf.DUMMYFUNCTION("if(regexmatch($B234,""\(""),CONCATENATE(regexreplace(REGEXREPLACE(substitute(left($B234,find(""("",$B234)-1),"" "",""""),""\d"",""0""),""[-0]*\."",""0.""), REGEXEXTRACT($B234,""\((.*)\)""),TRIM(REGEXEXTRACT($B234,""\)(.*)""))),"""")"),"0.000000064e-4")</f>
        <v>0.000000064e-4</v>
      </c>
      <c r="J234" s="62">
        <f t="shared" si="3"/>
        <v>0</v>
      </c>
      <c r="K234" s="62" t="b">
        <f t="shared" si="4"/>
        <v>0</v>
      </c>
      <c r="L234" s="62" t="b">
        <f t="shared" si="5"/>
        <v>0</v>
      </c>
      <c r="M234" s="60" t="str">
        <f>IFERROR(__xludf.DUMMYFUNCTION("if(regexmatch(B234,""e(.*)$""),regexextract(B234,""e(.*)$""),"""")"),"-4")</f>
        <v>-4</v>
      </c>
    </row>
    <row r="235">
      <c r="A235" s="80" t="s">
        <v>2589</v>
      </c>
      <c r="B235" s="80" t="s">
        <v>5404</v>
      </c>
      <c r="C235" s="80" t="s">
        <v>4602</v>
      </c>
      <c r="D235" s="18" t="str">
        <f t="shared" si="1"/>
        <v>MHz T^-1</v>
      </c>
      <c r="E235" s="60" t="str">
        <f>VLOOKUP($A235,nist_names_ids!A:B,2,false)</f>
        <v>munshhz</v>
      </c>
      <c r="F235" s="61">
        <f>countif(Constants!A:A,E235)</f>
        <v>1</v>
      </c>
      <c r="G235" s="60" t="str">
        <f>IFERROR(__xludf.DUMMYFUNCTION("REGEXREPLACE(substitute(substitute(B235,"" "",""""),""..."",""""),""\(.*\)"","""")"),"7.62259371")</f>
        <v>7.62259371</v>
      </c>
      <c r="H235" s="62">
        <f t="shared" si="2"/>
        <v>7.62259371</v>
      </c>
      <c r="I235" s="60" t="str">
        <f>IFERROR(__xludf.DUMMYFUNCTION("if(regexmatch($B235,""\(""),CONCATENATE(regexreplace(REGEXREPLACE(substitute(left($B235,find(""("",$B235)-1),"" "",""""),""\d"",""0""),""[-0]*\."",""0.""), REGEXEXTRACT($B235,""\((.*)\)""),TRIM(REGEXEXTRACT($B235,""\)(.*)""))),"""")"),"0.0000000065")</f>
        <v>0.0000000065</v>
      </c>
      <c r="J235" s="62">
        <f t="shared" si="3"/>
        <v>0.0000000065</v>
      </c>
      <c r="K235" s="62" t="b">
        <f t="shared" si="4"/>
        <v>0</v>
      </c>
      <c r="L235" s="62" t="b">
        <f t="shared" si="5"/>
        <v>0</v>
      </c>
      <c r="M235" s="60" t="str">
        <f>IFERROR(__xludf.DUMMYFUNCTION("if(regexmatch(B235,""e(.*)$""),regexextract(B235,""e(.*)$""),"""")"),"")</f>
        <v/>
      </c>
    </row>
    <row r="236">
      <c r="A236" s="80" t="s">
        <v>2578</v>
      </c>
      <c r="B236" s="80" t="s">
        <v>5407</v>
      </c>
      <c r="C236" s="80" t="s">
        <v>4469</v>
      </c>
      <c r="D236" s="18" t="str">
        <f t="shared" si="1"/>
        <v>eV T^-1</v>
      </c>
      <c r="E236" s="60" t="str">
        <f>VLOOKUP($A236,nist_names_ids!A:B,2,false)</f>
        <v>munev</v>
      </c>
      <c r="F236" s="61">
        <f>countif(Constants!A:A,E236)</f>
        <v>1</v>
      </c>
      <c r="G236" s="60" t="str">
        <f>IFERROR(__xludf.DUMMYFUNCTION("REGEXREPLACE(substitute(substitute(B236,"" "",""""),""..."",""""),""\(.*\)"","""")"),"3.152451259e-8")</f>
        <v>3.152451259e-8</v>
      </c>
      <c r="H236" s="62">
        <f t="shared" si="2"/>
        <v>0.00000003152451259</v>
      </c>
      <c r="I236" s="60" t="str">
        <f>IFERROR(__xludf.DUMMYFUNCTION("if(regexmatch($B236,""\(""),CONCATENATE(regexreplace(REGEXREPLACE(substitute(left($B236,find(""("",$B236)-1),"" "",""""),""\d"",""0""),""[-0]*\."",""0.""), REGEXEXTRACT($B236,""\((.*)\)""),TRIM(REGEXEXTRACT($B236,""\)(.*)""))),"""")"),"0.00000000021e-8")</f>
        <v>0.00000000021e-8</v>
      </c>
      <c r="J236" s="62">
        <f t="shared" si="3"/>
        <v>0</v>
      </c>
      <c r="K236" s="62" t="b">
        <f t="shared" si="4"/>
        <v>0</v>
      </c>
      <c r="L236" s="62" t="b">
        <f t="shared" si="5"/>
        <v>0</v>
      </c>
      <c r="M236" s="60" t="str">
        <f>IFERROR(__xludf.DUMMYFUNCTION("if(regexmatch(B236,""e(.*)$""),regexextract(B236,""e(.*)$""),"""")"),"-8")</f>
        <v>-8</v>
      </c>
    </row>
    <row r="237">
      <c r="A237" s="80" t="s">
        <v>3969</v>
      </c>
      <c r="B237" s="80" t="s">
        <v>5412</v>
      </c>
      <c r="C237" s="80" t="s">
        <v>4474</v>
      </c>
      <c r="D237" s="18" t="str">
        <f t="shared" si="1"/>
        <v>m^-1 T^-1</v>
      </c>
      <c r="E237" s="60" t="str">
        <f>VLOOKUP($A237,nist_names_ids!A:B,2,false)</f>
        <v>munshcminv</v>
      </c>
      <c r="F237" s="61">
        <f>countif(Constants!A:A,E237)</f>
        <v>1</v>
      </c>
      <c r="G237" s="60" t="str">
        <f>IFERROR(__xludf.DUMMYFUNCTION("REGEXREPLACE(substitute(substitute(B237,"" "",""""),""..."",""""),""\(.*\)"","""")"),"2.54262358e-2")</f>
        <v>2.54262358e-2</v>
      </c>
      <c r="H237" s="62">
        <f t="shared" si="2"/>
        <v>0.0254262358</v>
      </c>
      <c r="I237" s="60" t="str">
        <f>IFERROR(__xludf.DUMMYFUNCTION("if(regexmatch($B237,""\(""),CONCATENATE(regexreplace(REGEXREPLACE(substitute(left($B237,find(""("",$B237)-1),"" "",""""),""\d"",""0""),""[-0]*\."",""0.""), REGEXEXTRACT($B237,""\((.*)\)""),TRIM(REGEXEXTRACT($B237,""\)(.*)""))),"""")"),"0.0000000022e-2")</f>
        <v>0.0000000022e-2</v>
      </c>
      <c r="J237" s="62">
        <f t="shared" si="3"/>
        <v>0</v>
      </c>
      <c r="K237" s="62" t="b">
        <f t="shared" si="4"/>
        <v>0</v>
      </c>
      <c r="L237" s="62" t="b">
        <f t="shared" si="5"/>
        <v>0</v>
      </c>
      <c r="M237" s="60" t="str">
        <f>IFERROR(__xludf.DUMMYFUNCTION("if(regexmatch(B237,""e(.*)$""),regexextract(B237,""e(.*)$""),"""")"),"-2")</f>
        <v>-2</v>
      </c>
    </row>
    <row r="238">
      <c r="A238" s="80" t="s">
        <v>2595</v>
      </c>
      <c r="B238" s="80" t="s">
        <v>5178</v>
      </c>
      <c r="C238" s="80" t="s">
        <v>714</v>
      </c>
      <c r="D238" s="18" t="str">
        <f t="shared" si="1"/>
        <v>J s</v>
      </c>
      <c r="E238" s="60" t="str">
        <f>VLOOKUP($A238,nist_names_ids!A:B,2,false)</f>
        <v>h</v>
      </c>
      <c r="F238" s="61">
        <f>countif(Constants!A:A,E238)</f>
        <v>1</v>
      </c>
      <c r="G238" s="60" t="str">
        <f>IFERROR(__xludf.DUMMYFUNCTION("REGEXREPLACE(substitute(substitute(B238,"" "",""""),""..."",""""),""\(.*\)"","""")"),"6.6260693e-34")</f>
        <v>6.6260693e-34</v>
      </c>
      <c r="H238" s="62">
        <f t="shared" si="2"/>
        <v>0</v>
      </c>
      <c r="I238" s="60" t="str">
        <f>IFERROR(__xludf.DUMMYFUNCTION("if(regexmatch($B238,""\(""),CONCATENATE(regexreplace(REGEXREPLACE(substitute(left($B238,find(""("",$B238)-1),"" "",""""),""\d"",""0""),""[-0]*\."",""0.""), REGEXEXTRACT($B238,""\((.*)\)""),TRIM(REGEXEXTRACT($B238,""\)(.*)""))),"""")"),"0.000000011e-34")</f>
        <v>0.000000011e-34</v>
      </c>
      <c r="J238" s="62">
        <f t="shared" si="3"/>
        <v>0</v>
      </c>
      <c r="K238" s="62" t="b">
        <f t="shared" si="4"/>
        <v>0</v>
      </c>
      <c r="L238" s="62" t="b">
        <f t="shared" si="5"/>
        <v>0</v>
      </c>
      <c r="M238" s="60" t="str">
        <f>IFERROR(__xludf.DUMMYFUNCTION("if(regexmatch(B238,""e(.*)$""),regexextract(B238,""e(.*)$""),"""")"),"-34")</f>
        <v>-34</v>
      </c>
    </row>
    <row r="239">
      <c r="A239" s="80" t="s">
        <v>3997</v>
      </c>
      <c r="B239" s="80" t="s">
        <v>5173</v>
      </c>
      <c r="C239" s="80" t="s">
        <v>2402</v>
      </c>
      <c r="D239" s="18" t="str">
        <f t="shared" si="1"/>
        <v>eV s</v>
      </c>
      <c r="E239" s="60" t="str">
        <f>VLOOKUP($A239,nist_names_ids!A:B,2,false)</f>
        <v>hev</v>
      </c>
      <c r="F239" s="61">
        <f>countif(Constants!A:A,E239)</f>
        <v>1</v>
      </c>
      <c r="G239" s="60" t="str">
        <f>IFERROR(__xludf.DUMMYFUNCTION("REGEXREPLACE(substitute(substitute(B239,"" "",""""),""..."",""""),""\(.*\)"","""")"),"4.13566743e-15")</f>
        <v>4.13566743e-15</v>
      </c>
      <c r="H239" s="62">
        <f t="shared" si="2"/>
        <v>0</v>
      </c>
      <c r="I239" s="60" t="str">
        <f>IFERROR(__xludf.DUMMYFUNCTION("if(regexmatch($B239,""\(""),CONCATENATE(regexreplace(REGEXREPLACE(substitute(left($B239,find(""("",$B239)-1),"" "",""""),""\d"",""0""),""[-0]*\."",""0.""), REGEXEXTRACT($B239,""\((.*)\)""),TRIM(REGEXEXTRACT($B239,""\)(.*)""))),"""")"),"0.0000000035e-15")</f>
        <v>0.0000000035e-15</v>
      </c>
      <c r="J239" s="62">
        <f t="shared" si="3"/>
        <v>0</v>
      </c>
      <c r="K239" s="62" t="b">
        <f t="shared" si="4"/>
        <v>0</v>
      </c>
      <c r="L239" s="62" t="b">
        <f t="shared" si="5"/>
        <v>0</v>
      </c>
      <c r="M239" s="60" t="str">
        <f>IFERROR(__xludf.DUMMYFUNCTION("if(regexmatch(B239,""e(.*)$""),regexextract(B239,""e(.*)$""),"""")"),"-15")</f>
        <v>-15</v>
      </c>
    </row>
    <row r="240">
      <c r="A240" s="80" t="s">
        <v>3998</v>
      </c>
      <c r="B240" s="80" t="s">
        <v>4924</v>
      </c>
      <c r="C240" s="80" t="s">
        <v>714</v>
      </c>
      <c r="D240" s="18" t="str">
        <f t="shared" si="1"/>
        <v>J s</v>
      </c>
      <c r="E240" s="60" t="str">
        <f>VLOOKUP($A240,nist_names_ids!A:B,2,false)</f>
        <v>hbar</v>
      </c>
      <c r="F240" s="61">
        <f>countif(Constants!A:A,E240)</f>
        <v>1</v>
      </c>
      <c r="G240" s="60" t="str">
        <f>IFERROR(__xludf.DUMMYFUNCTION("REGEXREPLACE(substitute(substitute(B240,"" "",""""),""..."",""""),""\(.*\)"","""")"),"1.05457168e-34")</f>
        <v>1.05457168e-34</v>
      </c>
      <c r="H240" s="62">
        <f t="shared" si="2"/>
        <v>0</v>
      </c>
      <c r="I240" s="60" t="str">
        <f>IFERROR(__xludf.DUMMYFUNCTION("if(regexmatch($B240,""\(""),CONCATENATE(regexreplace(REGEXREPLACE(substitute(left($B240,find(""("",$B240)-1),"" "",""""),""\d"",""0""),""[-0]*\."",""0.""), REGEXEXTRACT($B240,""\((.*)\)""),TRIM(REGEXEXTRACT($B240,""\)(.*)""))),"""")"),"0.0000000018e-34")</f>
        <v>0.0000000018e-34</v>
      </c>
      <c r="J240" s="62">
        <f t="shared" si="3"/>
        <v>0</v>
      </c>
      <c r="K240" s="62" t="b">
        <f t="shared" si="4"/>
        <v>0</v>
      </c>
      <c r="L240" s="62" t="b">
        <f t="shared" si="5"/>
        <v>0</v>
      </c>
      <c r="M240" s="60" t="str">
        <f>IFERROR(__xludf.DUMMYFUNCTION("if(regexmatch(B240,""e(.*)$""),regexextract(B240,""e(.*)$""),"""")"),"-34")</f>
        <v>-34</v>
      </c>
    </row>
    <row r="241">
      <c r="A241" s="80" t="s">
        <v>3999</v>
      </c>
      <c r="B241" s="80" t="s">
        <v>5328</v>
      </c>
      <c r="C241" s="80" t="s">
        <v>2402</v>
      </c>
      <c r="D241" s="18" t="str">
        <f t="shared" si="1"/>
        <v>eV s</v>
      </c>
      <c r="E241" s="60" t="str">
        <f>VLOOKUP($A241,nist_names_ids!A:B,2,false)</f>
        <v>hbarev</v>
      </c>
      <c r="F241" s="61">
        <f>countif(Constants!A:A,E241)</f>
        <v>1</v>
      </c>
      <c r="G241" s="60" t="str">
        <f>IFERROR(__xludf.DUMMYFUNCTION("REGEXREPLACE(substitute(substitute(B241,"" "",""""),""..."",""""),""\(.*\)"","""")"),"6.58211915e-16")</f>
        <v>6.58211915e-16</v>
      </c>
      <c r="H241" s="62">
        <f t="shared" si="2"/>
        <v>0</v>
      </c>
      <c r="I241" s="60" t="str">
        <f>IFERROR(__xludf.DUMMYFUNCTION("if(regexmatch($B241,""\(""),CONCATENATE(regexreplace(REGEXREPLACE(substitute(left($B241,find(""("",$B241)-1),"" "",""""),""\d"",""0""),""[-0]*\."",""0.""), REGEXEXTRACT($B241,""\((.*)\)""),TRIM(REGEXEXTRACT($B241,""\)(.*)""))),"""")"),"0.0000000056e-16")</f>
        <v>0.0000000056e-16</v>
      </c>
      <c r="J241" s="62">
        <f t="shared" si="3"/>
        <v>0</v>
      </c>
      <c r="K241" s="62" t="b">
        <f t="shared" si="4"/>
        <v>0</v>
      </c>
      <c r="L241" s="62" t="b">
        <f t="shared" si="5"/>
        <v>0</v>
      </c>
      <c r="M241" s="60" t="str">
        <f>IFERROR(__xludf.DUMMYFUNCTION("if(regexmatch(B241,""e(.*)$""),regexextract(B241,""e(.*)$""),"""")"),"-16")</f>
        <v>-16</v>
      </c>
    </row>
    <row r="242">
      <c r="A242" s="80" t="s">
        <v>4001</v>
      </c>
      <c r="B242" s="80" t="s">
        <v>5417</v>
      </c>
      <c r="C242" s="80" t="s">
        <v>2754</v>
      </c>
      <c r="D242" s="18" t="str">
        <f t="shared" si="1"/>
        <v>MeV fm</v>
      </c>
      <c r="E242" s="60" t="str">
        <f>VLOOKUP($A242,nist_names_ids!A:B,2,false)</f>
        <v>hbcmevf</v>
      </c>
      <c r="F242" s="61">
        <f>countif(Constants!A:A,E242)</f>
        <v>1</v>
      </c>
      <c r="G242" s="60" t="str">
        <f>IFERROR(__xludf.DUMMYFUNCTION("REGEXREPLACE(substitute(substitute(B242,"" "",""""),""..."",""""),""\(.*\)"","""")"),"197.326968")</f>
        <v>197.326968</v>
      </c>
      <c r="H242" s="62">
        <f t="shared" si="2"/>
        <v>197.326968</v>
      </c>
      <c r="I242" s="60" t="str">
        <f>IFERROR(__xludf.DUMMYFUNCTION("if(regexmatch($B242,""\(""),CONCATENATE(regexreplace(REGEXREPLACE(substitute(left($B242,find(""("",$B242)-1),"" "",""""),""\d"",""0""),""[-0]*\."",""0.""), REGEXEXTRACT($B242,""\((.*)\)""),TRIM(REGEXEXTRACT($B242,""\)(.*)""))),"""")"),"0.00000017")</f>
        <v>0.00000017</v>
      </c>
      <c r="J242" s="62">
        <f t="shared" si="3"/>
        <v>0.00000017</v>
      </c>
      <c r="K242" s="62" t="b">
        <f t="shared" si="4"/>
        <v>0</v>
      </c>
      <c r="L242" s="62" t="b">
        <f t="shared" si="5"/>
        <v>0</v>
      </c>
      <c r="M242" s="60" t="str">
        <f>IFERROR(__xludf.DUMMYFUNCTION("if(regexmatch(B242,""e(.*)$""),regexextract(B242,""e(.*)$""),"""")"),"")</f>
        <v/>
      </c>
    </row>
    <row r="243">
      <c r="A243" s="80" t="s">
        <v>2605</v>
      </c>
      <c r="B243" s="80" t="s">
        <v>5419</v>
      </c>
      <c r="C243" s="80" t="s">
        <v>381</v>
      </c>
      <c r="D243" s="18" t="str">
        <f t="shared" si="1"/>
        <v>m</v>
      </c>
      <c r="E243" s="60" t="str">
        <f>VLOOKUP($A243,nist_names_ids!A:B,2,false)</f>
        <v>plkl</v>
      </c>
      <c r="F243" s="61">
        <f>countif(Constants!A:A,E243)</f>
        <v>1</v>
      </c>
      <c r="G243" s="60" t="str">
        <f>IFERROR(__xludf.DUMMYFUNCTION("REGEXREPLACE(substitute(substitute(B243,"" "",""""),""..."",""""),""\(.*\)"","""")"),"1.61624e-35")</f>
        <v>1.61624e-35</v>
      </c>
      <c r="H243" s="62">
        <f t="shared" si="2"/>
        <v>0</v>
      </c>
      <c r="I243" s="60" t="str">
        <f>IFERROR(__xludf.DUMMYFUNCTION("if(regexmatch($B243,""\(""),CONCATENATE(regexreplace(REGEXREPLACE(substitute(left($B243,find(""("",$B243)-1),"" "",""""),""\d"",""0""),""[-0]*\."",""0.""), REGEXEXTRACT($B243,""\((.*)\)""),TRIM(REGEXEXTRACT($B243,""\)(.*)""))),"""")"),"0.0000012e-35")</f>
        <v>0.0000012e-35</v>
      </c>
      <c r="J243" s="62">
        <f t="shared" si="3"/>
        <v>0</v>
      </c>
      <c r="K243" s="62" t="b">
        <f t="shared" si="4"/>
        <v>0</v>
      </c>
      <c r="L243" s="62" t="b">
        <f t="shared" si="5"/>
        <v>0</v>
      </c>
      <c r="M243" s="60" t="str">
        <f>IFERROR(__xludf.DUMMYFUNCTION("if(regexmatch(B243,""e(.*)$""),regexextract(B243,""e(.*)$""),"""")"),"-35")</f>
        <v>-35</v>
      </c>
    </row>
    <row r="244">
      <c r="A244" s="80" t="s">
        <v>2608</v>
      </c>
      <c r="B244" s="80" t="s">
        <v>5422</v>
      </c>
      <c r="C244" s="80" t="s">
        <v>98</v>
      </c>
      <c r="D244" s="18" t="str">
        <f t="shared" si="1"/>
        <v>kg</v>
      </c>
      <c r="E244" s="60" t="str">
        <f>VLOOKUP($A244,nist_names_ids!A:B,2,false)</f>
        <v>plkm</v>
      </c>
      <c r="F244" s="61">
        <f>countif(Constants!A:A,E244)</f>
        <v>1</v>
      </c>
      <c r="G244" s="60" t="str">
        <f>IFERROR(__xludf.DUMMYFUNCTION("REGEXREPLACE(substitute(substitute(B244,"" "",""""),""..."",""""),""\(.*\)"","""")"),"2.17645e-8")</f>
        <v>2.17645e-8</v>
      </c>
      <c r="H244" s="62">
        <f t="shared" si="2"/>
        <v>0.0000000217645</v>
      </c>
      <c r="I244" s="60" t="str">
        <f>IFERROR(__xludf.DUMMYFUNCTION("if(regexmatch($B244,""\(""),CONCATENATE(regexreplace(REGEXREPLACE(substitute(left($B244,find(""("",$B244)-1),"" "",""""),""\d"",""0""),""[-0]*\."",""0.""), REGEXEXTRACT($B244,""\((.*)\)""),TRIM(REGEXEXTRACT($B244,""\)(.*)""))),"""")"),"0.0000016e-8")</f>
        <v>0.0000016e-8</v>
      </c>
      <c r="J244" s="62">
        <f t="shared" si="3"/>
        <v>0</v>
      </c>
      <c r="K244" s="62" t="b">
        <f t="shared" si="4"/>
        <v>0</v>
      </c>
      <c r="L244" s="62" t="b">
        <f t="shared" si="5"/>
        <v>0</v>
      </c>
      <c r="M244" s="60" t="str">
        <f>IFERROR(__xludf.DUMMYFUNCTION("if(regexmatch(B244,""e(.*)$""),regexextract(B244,""e(.*)$""),"""")"),"-8")</f>
        <v>-8</v>
      </c>
    </row>
    <row r="245">
      <c r="A245" s="80" t="s">
        <v>2619</v>
      </c>
      <c r="B245" s="80" t="s">
        <v>5424</v>
      </c>
      <c r="C245" s="80" t="s">
        <v>345</v>
      </c>
      <c r="D245" s="18" t="str">
        <f t="shared" si="1"/>
        <v>K</v>
      </c>
      <c r="E245" s="60" t="str">
        <f>VLOOKUP($A245,nist_names_ids!A:B,2,false)</f>
        <v>plktmp</v>
      </c>
      <c r="F245" s="61">
        <f>countif(Constants!A:A,E245)</f>
        <v>1</v>
      </c>
      <c r="G245" s="60" t="str">
        <f>IFERROR(__xludf.DUMMYFUNCTION("REGEXREPLACE(substitute(substitute(B245,"" "",""""),""..."",""""),""\(.*\)"","""")"),"1.41679e32")</f>
        <v>1.41679e32</v>
      </c>
      <c r="H245" s="62">
        <f t="shared" si="2"/>
        <v>1.41679E+32</v>
      </c>
      <c r="I245" s="60" t="str">
        <f>IFERROR(__xludf.DUMMYFUNCTION("if(regexmatch($B245,""\(""),CONCATENATE(regexreplace(REGEXREPLACE(substitute(left($B245,find(""("",$B245)-1),"" "",""""),""\d"",""0""),""[-0]*\."",""0.""), REGEXEXTRACT($B245,""\((.*)\)""),TRIM(REGEXEXTRACT($B245,""\)(.*)""))),"""")"),"0.0000011e32")</f>
        <v>0.0000011e32</v>
      </c>
      <c r="J245" s="62">
        <f t="shared" si="3"/>
        <v>1.1E+26</v>
      </c>
      <c r="K245" s="62" t="b">
        <f t="shared" si="4"/>
        <v>0</v>
      </c>
      <c r="L245" s="62" t="b">
        <f t="shared" si="5"/>
        <v>0</v>
      </c>
      <c r="M245" s="60" t="str">
        <f>IFERROR(__xludf.DUMMYFUNCTION("if(regexmatch(B245,""e(.*)$""),regexextract(B245,""e(.*)$""),"""")"),"32")</f>
        <v>32</v>
      </c>
    </row>
    <row r="246">
      <c r="A246" s="80" t="s">
        <v>2623</v>
      </c>
      <c r="B246" s="80" t="s">
        <v>5427</v>
      </c>
      <c r="C246" s="80" t="s">
        <v>520</v>
      </c>
      <c r="D246" s="18" t="str">
        <f t="shared" si="1"/>
        <v>s</v>
      </c>
      <c r="E246" s="60" t="str">
        <f>VLOOKUP($A246,nist_names_ids!A:B,2,false)</f>
        <v>plkt</v>
      </c>
      <c r="F246" s="61">
        <f>countif(Constants!A:A,E246)</f>
        <v>1</v>
      </c>
      <c r="G246" s="60" t="str">
        <f>IFERROR(__xludf.DUMMYFUNCTION("REGEXREPLACE(substitute(substitute(B246,"" "",""""),""..."",""""),""\(.*\)"","""")"),"5.39121e-44")</f>
        <v>5.39121e-44</v>
      </c>
      <c r="H246" s="62">
        <f t="shared" si="2"/>
        <v>0</v>
      </c>
      <c r="I246" s="60" t="str">
        <f>IFERROR(__xludf.DUMMYFUNCTION("if(regexmatch($B246,""\(""),CONCATENATE(regexreplace(REGEXREPLACE(substitute(left($B246,find(""("",$B246)-1),"" "",""""),""\d"",""0""),""[-0]*\."",""0.""), REGEXEXTRACT($B246,""\((.*)\)""),TRIM(REGEXEXTRACT($B246,""\)(.*)""))),"""")"),"0.0000040e-44")</f>
        <v>0.0000040e-44</v>
      </c>
      <c r="J246" s="62">
        <f t="shared" si="3"/>
        <v>0</v>
      </c>
      <c r="K246" s="62" t="b">
        <f t="shared" si="4"/>
        <v>0</v>
      </c>
      <c r="L246" s="62" t="b">
        <f t="shared" si="5"/>
        <v>0</v>
      </c>
      <c r="M246" s="60" t="str">
        <f>IFERROR(__xludf.DUMMYFUNCTION("if(regexmatch(B246,""e(.*)$""),regexextract(B246,""e(.*)$""),"""")"),"-44")</f>
        <v>-44</v>
      </c>
    </row>
    <row r="247">
      <c r="A247" s="80" t="s">
        <v>2633</v>
      </c>
      <c r="B247" s="80" t="s">
        <v>5430</v>
      </c>
      <c r="C247" s="80" t="s">
        <v>381</v>
      </c>
      <c r="D247" s="18" t="str">
        <f t="shared" si="1"/>
        <v>m</v>
      </c>
      <c r="E247" s="60" t="str">
        <f>VLOOKUP($A247,nist_names_ids!A:B,2,false)</f>
        <v>pcomwl</v>
      </c>
      <c r="F247" s="61">
        <f>countif(Constants!A:A,E247)</f>
        <v>1</v>
      </c>
      <c r="G247" s="60" t="str">
        <f>IFERROR(__xludf.DUMMYFUNCTION("REGEXREPLACE(substitute(substitute(B247,"" "",""""),""..."",""""),""\(.*\)"","""")"),"1.3214098555e-15")</f>
        <v>1.3214098555e-15</v>
      </c>
      <c r="H247" s="62">
        <f t="shared" si="2"/>
        <v>0</v>
      </c>
      <c r="I247" s="60" t="str">
        <f>IFERROR(__xludf.DUMMYFUNCTION("if(regexmatch($B247,""\(""),CONCATENATE(regexreplace(REGEXREPLACE(substitute(left($B247,find(""("",$B247)-1),"" "",""""),""\d"",""0""),""[-0]*\."",""0.""), REGEXEXTRACT($B247,""\((.*)\)""),TRIM(REGEXEXTRACT($B247,""\)(.*)""))),"""")"),"0.000000000088e-15")</f>
        <v>0.000000000088e-15</v>
      </c>
      <c r="J247" s="62">
        <f t="shared" si="3"/>
        <v>0</v>
      </c>
      <c r="K247" s="62" t="b">
        <f t="shared" si="4"/>
        <v>0</v>
      </c>
      <c r="L247" s="62" t="b">
        <f t="shared" si="5"/>
        <v>0</v>
      </c>
      <c r="M247" s="60" t="str">
        <f>IFERROR(__xludf.DUMMYFUNCTION("if(regexmatch(B247,""e(.*)$""),regexextract(B247,""e(.*)$""),"""")"),"-15")</f>
        <v>-15</v>
      </c>
    </row>
    <row r="248">
      <c r="A248" s="80" t="s">
        <v>4032</v>
      </c>
      <c r="B248" s="80" t="s">
        <v>5433</v>
      </c>
      <c r="C248" s="80" t="s">
        <v>381</v>
      </c>
      <c r="D248" s="18" t="str">
        <f t="shared" si="1"/>
        <v>m</v>
      </c>
      <c r="E248" s="60" t="str">
        <f>VLOOKUP($A248,nist_names_ids!A:B,2,false)</f>
        <v>pcomwlbar</v>
      </c>
      <c r="F248" s="61">
        <f>countif(Constants!A:A,E248)</f>
        <v>1</v>
      </c>
      <c r="G248" s="60" t="str">
        <f>IFERROR(__xludf.DUMMYFUNCTION("REGEXREPLACE(substitute(substitute(B248,"" "",""""),""..."",""""),""\(.*\)"","""")"),"0.2103089104e-15")</f>
        <v>0.2103089104e-15</v>
      </c>
      <c r="H248" s="62">
        <f t="shared" si="2"/>
        <v>0</v>
      </c>
      <c r="I248" s="60" t="str">
        <f>IFERROR(__xludf.DUMMYFUNCTION("if(regexmatch($B248,""\(""),CONCATENATE(regexreplace(REGEXREPLACE(substitute(left($B248,find(""("",$B248)-1),"" "",""""),""\d"",""0""),""[-0]*\."",""0.""), REGEXEXTRACT($B248,""\((.*)\)""),TRIM(REGEXEXTRACT($B248,""\)(.*)""))),"""")"),"0.000000000014e-15")</f>
        <v>0.000000000014e-15</v>
      </c>
      <c r="J248" s="62">
        <f t="shared" si="3"/>
        <v>0</v>
      </c>
      <c r="K248" s="62" t="b">
        <f t="shared" si="4"/>
        <v>0</v>
      </c>
      <c r="L248" s="62" t="b">
        <f t="shared" si="5"/>
        <v>0</v>
      </c>
      <c r="M248" s="60" t="str">
        <f>IFERROR(__xludf.DUMMYFUNCTION("if(regexmatch(B248,""e(.*)$""),regexextract(B248,""e(.*)$""),"""")"),"-15")</f>
        <v>-15</v>
      </c>
    </row>
    <row r="249">
      <c r="A249" s="80" t="s">
        <v>2628</v>
      </c>
      <c r="B249" s="80" t="s">
        <v>5435</v>
      </c>
      <c r="C249" s="80" t="s">
        <v>4587</v>
      </c>
      <c r="D249" s="18" t="str">
        <f t="shared" si="1"/>
        <v>C kg^-1</v>
      </c>
      <c r="E249" s="60" t="str">
        <f>VLOOKUP($A249,nist_names_ids!A:B,2,false)</f>
        <v>esmp</v>
      </c>
      <c r="F249" s="61">
        <f>countif(Constants!A:A,E249)</f>
        <v>1</v>
      </c>
      <c r="G249" s="60" t="str">
        <f>IFERROR(__xludf.DUMMYFUNCTION("REGEXREPLACE(substitute(substitute(B249,"" "",""""),""..."",""""),""\(.*\)"","""")"),"9.57883377e7")</f>
        <v>9.57883377e7</v>
      </c>
      <c r="H249" s="62">
        <f t="shared" si="2"/>
        <v>95788337.7</v>
      </c>
      <c r="I249" s="60" t="str">
        <f>IFERROR(__xludf.DUMMYFUNCTION("if(regexmatch($B249,""\(""),CONCATENATE(regexreplace(REGEXREPLACE(substitute(left($B249,find(""("",$B249)-1),"" "",""""),""\d"",""0""),""[-0]*\."",""0.""), REGEXEXTRACT($B249,""\((.*)\)""),TRIM(REGEXEXTRACT($B249,""\)(.*)""))),"""")"),"0.0000000082e7")</f>
        <v>0.0000000082e7</v>
      </c>
      <c r="J249" s="62">
        <f t="shared" si="3"/>
        <v>0.082</v>
      </c>
      <c r="K249" s="62" t="b">
        <f t="shared" si="4"/>
        <v>0</v>
      </c>
      <c r="L249" s="62" t="b">
        <f t="shared" si="5"/>
        <v>0</v>
      </c>
      <c r="M249" s="60" t="str">
        <f>IFERROR(__xludf.DUMMYFUNCTION("if(regexmatch(B249,""e(.*)$""),regexextract(B249,""e(.*)$""),"""")"),"7")</f>
        <v>7</v>
      </c>
    </row>
    <row r="250">
      <c r="A250" s="80" t="s">
        <v>2640</v>
      </c>
      <c r="B250" s="80" t="s">
        <v>5438</v>
      </c>
      <c r="C250" s="80"/>
      <c r="D250" s="18" t="str">
        <f t="shared" si="1"/>
        <v/>
      </c>
      <c r="E250" s="60" t="str">
        <f>VLOOKUP($A250,nist_names_ids!A:B,2,false)</f>
        <v>gp</v>
      </c>
      <c r="F250" s="61">
        <f>countif(Constants!A:A,E250)</f>
        <v>1</v>
      </c>
      <c r="G250" s="60" t="str">
        <f>IFERROR(__xludf.DUMMYFUNCTION("REGEXREPLACE(substitute(substitute(B250,"" "",""""),""..."",""""),""\(.*\)"","""")"),"5.585694701")</f>
        <v>5.585694701</v>
      </c>
      <c r="H250" s="62">
        <f t="shared" si="2"/>
        <v>5.585694701</v>
      </c>
      <c r="I250" s="60" t="str">
        <f>IFERROR(__xludf.DUMMYFUNCTION("if(regexmatch($B250,""\(""),CONCATENATE(regexreplace(REGEXREPLACE(substitute(left($B250,find(""("",$B250)-1),"" "",""""),""\d"",""0""),""[-0]*\."",""0.""), REGEXEXTRACT($B250,""\((.*)\)""),TRIM(REGEXEXTRACT($B250,""\)(.*)""))),"""")"),"0.00000000056")</f>
        <v>0.00000000056</v>
      </c>
      <c r="J250" s="62">
        <f t="shared" si="3"/>
        <v>0.00000000056</v>
      </c>
      <c r="K250" s="62" t="b">
        <f t="shared" si="4"/>
        <v>0</v>
      </c>
      <c r="L250" s="62" t="b">
        <f t="shared" si="5"/>
        <v>0</v>
      </c>
      <c r="M250" s="60" t="str">
        <f>IFERROR(__xludf.DUMMYFUNCTION("if(regexmatch(B250,""e(.*)$""),regexextract(B250,""e(.*)$""),"""")"),"")</f>
        <v/>
      </c>
    </row>
    <row r="251">
      <c r="A251" s="80" t="s">
        <v>4130</v>
      </c>
      <c r="B251" s="80" t="s">
        <v>5440</v>
      </c>
      <c r="C251" s="80" t="s">
        <v>4596</v>
      </c>
      <c r="D251" s="18" t="str">
        <f t="shared" si="1"/>
        <v>s^-1 T^-1</v>
      </c>
      <c r="E251" s="60" t="str">
        <f>VLOOKUP($A251,nist_names_ids!A:B,2,false)</f>
        <v>gammap</v>
      </c>
      <c r="F251" s="61">
        <f>countif(Constants!A:A,E251)</f>
        <v>1</v>
      </c>
      <c r="G251" s="60" t="str">
        <f>IFERROR(__xludf.DUMMYFUNCTION("REGEXREPLACE(substitute(substitute(B251,"" "",""""),""..."",""""),""\(.*\)"","""")"),"2.67522205e8")</f>
        <v>2.67522205e8</v>
      </c>
      <c r="H251" s="62">
        <f t="shared" si="2"/>
        <v>267522205</v>
      </c>
      <c r="I251" s="60" t="str">
        <f>IFERROR(__xludf.DUMMYFUNCTION("if(regexmatch($B251,""\(""),CONCATENATE(regexreplace(REGEXREPLACE(substitute(left($B251,find(""("",$B251)-1),"" "",""""),""\d"",""0""),""[-0]*\."",""0.""), REGEXEXTRACT($B251,""\((.*)\)""),TRIM(REGEXEXTRACT($B251,""\)(.*)""))),"""")"),"0.0000000023e8")</f>
        <v>0.0000000023e8</v>
      </c>
      <c r="J251" s="62">
        <f t="shared" si="3"/>
        <v>0.23</v>
      </c>
      <c r="K251" s="62" t="b">
        <f t="shared" si="4"/>
        <v>0</v>
      </c>
      <c r="L251" s="62" t="b">
        <f t="shared" si="5"/>
        <v>0</v>
      </c>
      <c r="M251" s="60" t="str">
        <f>IFERROR(__xludf.DUMMYFUNCTION("if(regexmatch(B251,""e(.*)$""),regexextract(B251,""e(.*)$""),"""")"),"8")</f>
        <v>8</v>
      </c>
    </row>
    <row r="252">
      <c r="A252" s="80" t="s">
        <v>4159</v>
      </c>
      <c r="B252" s="80" t="s">
        <v>5442</v>
      </c>
      <c r="C252" s="80" t="s">
        <v>4602</v>
      </c>
      <c r="D252" s="18" t="str">
        <f t="shared" si="1"/>
        <v>MHz T^-1</v>
      </c>
      <c r="E252" s="60" t="str">
        <f>VLOOKUP($A252,nist_names_ids!A:B,2,false)</f>
        <v>gammapbar</v>
      </c>
      <c r="F252" s="61">
        <f>countif(Constants!A:A,E252)</f>
        <v>1</v>
      </c>
      <c r="G252" s="60" t="str">
        <f>IFERROR(__xludf.DUMMYFUNCTION("REGEXREPLACE(substitute(substitute(B252,"" "",""""),""..."",""""),""\(.*\)"","""")"),"42.5774813")</f>
        <v>42.5774813</v>
      </c>
      <c r="H252" s="62">
        <f t="shared" si="2"/>
        <v>42.5774813</v>
      </c>
      <c r="I252" s="60" t="str">
        <f>IFERROR(__xludf.DUMMYFUNCTION("if(regexmatch($B252,""\(""),CONCATENATE(regexreplace(REGEXREPLACE(substitute(left($B252,find(""("",$B252)-1),"" "",""""),""\d"",""0""),""[-0]*\."",""0.""), REGEXEXTRACT($B252,""\((.*)\)""),TRIM(REGEXEXTRACT($B252,""\)(.*)""))),"""")"),"0.000000037")</f>
        <v>0.000000037</v>
      </c>
      <c r="J252" s="62">
        <f t="shared" si="3"/>
        <v>0.000000037</v>
      </c>
      <c r="K252" s="62" t="b">
        <f t="shared" si="4"/>
        <v>0</v>
      </c>
      <c r="L252" s="62" t="b">
        <f t="shared" si="5"/>
        <v>0</v>
      </c>
      <c r="M252" s="60" t="str">
        <f>IFERROR(__xludf.DUMMYFUNCTION("if(regexmatch(B252,""e(.*)$""),regexextract(B252,""e(.*)$""),"""")"),"")</f>
        <v/>
      </c>
    </row>
    <row r="253">
      <c r="A253" s="80" t="s">
        <v>4173</v>
      </c>
      <c r="B253" s="80" t="s">
        <v>5443</v>
      </c>
      <c r="C253" s="80" t="s">
        <v>4421</v>
      </c>
      <c r="D253" s="18" t="str">
        <f t="shared" si="1"/>
        <v>J T^-1</v>
      </c>
      <c r="E253" s="60" t="str">
        <f>VLOOKUP($A253,nist_names_ids!A:B,2,false)</f>
        <v>mup</v>
      </c>
      <c r="F253" s="61">
        <f>countif(Constants!A:A,E253)</f>
        <v>1</v>
      </c>
      <c r="G253" s="60" t="str">
        <f>IFERROR(__xludf.DUMMYFUNCTION("REGEXREPLACE(substitute(substitute(B253,"" "",""""),""..."",""""),""\(.*\)"","""")"),"1.41060671e-26")</f>
        <v>1.41060671e-26</v>
      </c>
      <c r="H253" s="62">
        <f t="shared" si="2"/>
        <v>0</v>
      </c>
      <c r="I253" s="60" t="str">
        <f>IFERROR(__xludf.DUMMYFUNCTION("if(regexmatch($B253,""\(""),CONCATENATE(regexreplace(REGEXREPLACE(substitute(left($B253,find(""("",$B253)-1),"" "",""""),""\d"",""0""),""[-0]*\."",""0.""), REGEXEXTRACT($B253,""\((.*)\)""),TRIM(REGEXEXTRACT($B253,""\)(.*)""))),"""")"),"0.0000000012e-26")</f>
        <v>0.0000000012e-26</v>
      </c>
      <c r="J253" s="62">
        <f t="shared" si="3"/>
        <v>0</v>
      </c>
      <c r="K253" s="62" t="b">
        <f t="shared" si="4"/>
        <v>0</v>
      </c>
      <c r="L253" s="62" t="b">
        <f t="shared" si="5"/>
        <v>0</v>
      </c>
      <c r="M253" s="60" t="str">
        <f>IFERROR(__xludf.DUMMYFUNCTION("if(regexmatch(B253,""e(.*)$""),regexextract(B253,""e(.*)$""),"""")"),"-26")</f>
        <v>-26</v>
      </c>
    </row>
    <row r="254">
      <c r="A254" s="80" t="s">
        <v>4182</v>
      </c>
      <c r="B254" s="80" t="s">
        <v>5445</v>
      </c>
      <c r="C254" s="80"/>
      <c r="D254" s="18" t="str">
        <f t="shared" si="1"/>
        <v/>
      </c>
      <c r="E254" s="60" t="str">
        <f>VLOOKUP($A254,nist_names_ids!A:B,2,false)</f>
        <v>mupsmub</v>
      </c>
      <c r="F254" s="61">
        <f>countif(Constants!A:A,E254)</f>
        <v>1</v>
      </c>
      <c r="G254" s="60" t="str">
        <f>IFERROR(__xludf.DUMMYFUNCTION("REGEXREPLACE(substitute(substitute(B254,"" "",""""),""..."",""""),""\(.*\)"","""")"),"1.521032206e-3")</f>
        <v>1.521032206e-3</v>
      </c>
      <c r="H254" s="62">
        <f t="shared" si="2"/>
        <v>0.001521032206</v>
      </c>
      <c r="I254" s="60" t="str">
        <f>IFERROR(__xludf.DUMMYFUNCTION("if(regexmatch($B254,""\(""),CONCATENATE(regexreplace(REGEXREPLACE(substitute(left($B254,find(""("",$B254)-1),"" "",""""),""\d"",""0""),""[-0]*\."",""0.""), REGEXEXTRACT($B254,""\((.*)\)""),TRIM(REGEXEXTRACT($B254,""\)(.*)""))),"""")"),"0.00000000015e-3")</f>
        <v>0.00000000015e-3</v>
      </c>
      <c r="J254" s="62">
        <f t="shared" si="3"/>
        <v>0</v>
      </c>
      <c r="K254" s="62" t="b">
        <f t="shared" si="4"/>
        <v>0</v>
      </c>
      <c r="L254" s="62" t="b">
        <f t="shared" si="5"/>
        <v>0</v>
      </c>
      <c r="M254" s="60" t="str">
        <f>IFERROR(__xludf.DUMMYFUNCTION("if(regexmatch(B254,""e(.*)$""),regexextract(B254,""e(.*)$""),"""")"),"-3")</f>
        <v>-3</v>
      </c>
    </row>
    <row r="255">
      <c r="A255" s="80" t="s">
        <v>4244</v>
      </c>
      <c r="B255" s="80" t="s">
        <v>5447</v>
      </c>
      <c r="C255" s="80"/>
      <c r="D255" s="18" t="str">
        <f t="shared" si="1"/>
        <v/>
      </c>
      <c r="E255" s="60" t="str">
        <f>VLOOKUP($A255,nist_names_ids!A:B,2,false)</f>
        <v>mupsmun</v>
      </c>
      <c r="F255" s="61">
        <f>countif(Constants!A:A,E255)</f>
        <v>1</v>
      </c>
      <c r="G255" s="60" t="str">
        <f>IFERROR(__xludf.DUMMYFUNCTION("REGEXREPLACE(substitute(substitute(B255,"" "",""""),""..."",""""),""\(.*\)"","""")"),"2.792847351")</f>
        <v>2.792847351</v>
      </c>
      <c r="H255" s="62">
        <f t="shared" si="2"/>
        <v>2.792847351</v>
      </c>
      <c r="I255" s="60" t="str">
        <f>IFERROR(__xludf.DUMMYFUNCTION("if(regexmatch($B255,""\(""),CONCATENATE(regexreplace(REGEXREPLACE(substitute(left($B255,find(""("",$B255)-1),"" "",""""),""\d"",""0""),""[-0]*\."",""0.""), REGEXEXTRACT($B255,""\((.*)\)""),TRIM(REGEXEXTRACT($B255,""\)(.*)""))),"""")"),"0.00000000028")</f>
        <v>0.00000000028</v>
      </c>
      <c r="J255" s="62">
        <f t="shared" si="3"/>
        <v>0.00000000028</v>
      </c>
      <c r="K255" s="62" t="b">
        <f t="shared" si="4"/>
        <v>0</v>
      </c>
      <c r="L255" s="62" t="b">
        <f t="shared" si="5"/>
        <v>0</v>
      </c>
      <c r="M255" s="60" t="str">
        <f>IFERROR(__xludf.DUMMYFUNCTION("if(regexmatch(B255,""e(.*)$""),regexextract(B255,""e(.*)$""),"""")"),"")</f>
        <v/>
      </c>
    </row>
    <row r="256">
      <c r="A256" s="80" t="s">
        <v>4256</v>
      </c>
      <c r="B256" s="80" t="s">
        <v>5449</v>
      </c>
      <c r="C256" s="80"/>
      <c r="D256" s="18" t="str">
        <f t="shared" si="1"/>
        <v/>
      </c>
      <c r="E256" s="60" t="str">
        <f>VLOOKUP($A256,nist_names_ids!A:B,2,false)</f>
        <v>sigmapp</v>
      </c>
      <c r="F256" s="61">
        <f>countif(Constants!A:A,E256)</f>
        <v>1</v>
      </c>
      <c r="G256" s="60" t="str">
        <f>IFERROR(__xludf.DUMMYFUNCTION("REGEXREPLACE(substitute(substitute(B256,"" "",""""),""..."",""""),""\(.*\)"","""")"),"25.689e-6")</f>
        <v>25.689e-6</v>
      </c>
      <c r="H256" s="62">
        <f t="shared" si="2"/>
        <v>0.000025689</v>
      </c>
      <c r="I256" s="60" t="str">
        <f>IFERROR(__xludf.DUMMYFUNCTION("if(regexmatch($B256,""\(""),CONCATENATE(regexreplace(REGEXREPLACE(substitute(left($B256,find(""("",$B256)-1),"" "",""""),""\d"",""0""),""[-0]*\."",""0.""), REGEXEXTRACT($B256,""\((.*)\)""),TRIM(REGEXEXTRACT($B256,""\)(.*)""))),"""")"),"0.00015e-6")</f>
        <v>0.00015e-6</v>
      </c>
      <c r="J256" s="62">
        <f t="shared" si="3"/>
        <v>0.00000000015</v>
      </c>
      <c r="K256" s="62" t="b">
        <f t="shared" si="4"/>
        <v>0</v>
      </c>
      <c r="L256" s="62" t="b">
        <f t="shared" si="5"/>
        <v>0</v>
      </c>
      <c r="M256" s="60" t="str">
        <f>IFERROR(__xludf.DUMMYFUNCTION("if(regexmatch(B256,""e(.*)$""),regexextract(B256,""e(.*)$""),"""")"),"-6")</f>
        <v>-6</v>
      </c>
    </row>
    <row r="257">
      <c r="A257" s="80" t="s">
        <v>2673</v>
      </c>
      <c r="B257" s="80" t="s">
        <v>5451</v>
      </c>
      <c r="C257" s="80" t="s">
        <v>98</v>
      </c>
      <c r="D257" s="18" t="str">
        <f t="shared" si="1"/>
        <v>kg</v>
      </c>
      <c r="E257" s="60" t="str">
        <f>VLOOKUP($A257,nist_names_ids!A:B,2,false)</f>
        <v>mp</v>
      </c>
      <c r="F257" s="61">
        <f>countif(Constants!A:A,E257)</f>
        <v>1</v>
      </c>
      <c r="G257" s="60" t="str">
        <f>IFERROR(__xludf.DUMMYFUNCTION("REGEXREPLACE(substitute(substitute(B257,"" "",""""),""..."",""""),""\(.*\)"","""")"),"1.67262171e-27")</f>
        <v>1.67262171e-27</v>
      </c>
      <c r="H257" s="62">
        <f t="shared" si="2"/>
        <v>0</v>
      </c>
      <c r="I257" s="60" t="str">
        <f>IFERROR(__xludf.DUMMYFUNCTION("if(regexmatch($B257,""\(""),CONCATENATE(regexreplace(REGEXREPLACE(substitute(left($B257,find(""("",$B257)-1),"" "",""""),""\d"",""0""),""[-0]*\."",""0.""), REGEXEXTRACT($B257,""\((.*)\)""),TRIM(REGEXEXTRACT($B257,""\)(.*)""))),"""")"),"0.0000000029e-27")</f>
        <v>0.0000000029e-27</v>
      </c>
      <c r="J257" s="62">
        <f t="shared" si="3"/>
        <v>0</v>
      </c>
      <c r="K257" s="62" t="b">
        <f t="shared" si="4"/>
        <v>0</v>
      </c>
      <c r="L257" s="62" t="b">
        <f t="shared" si="5"/>
        <v>0</v>
      </c>
      <c r="M257" s="60" t="str">
        <f>IFERROR(__xludf.DUMMYFUNCTION("if(regexmatch(B257,""e(.*)$""),regexextract(B257,""e(.*)$""),"""")"),"-27")</f>
        <v>-27</v>
      </c>
    </row>
    <row r="258">
      <c r="A258" s="80" t="s">
        <v>2675</v>
      </c>
      <c r="B258" s="80" t="s">
        <v>5453</v>
      </c>
      <c r="C258" s="80" t="s">
        <v>173</v>
      </c>
      <c r="D258" s="18" t="str">
        <f t="shared" si="1"/>
        <v>J</v>
      </c>
      <c r="E258" s="60" t="str">
        <f>VLOOKUP($A258,nist_names_ids!A:B,2,false)</f>
        <v>mpc2</v>
      </c>
      <c r="F258" s="61">
        <f>countif(Constants!A:A,E258)</f>
        <v>1</v>
      </c>
      <c r="G258" s="60" t="str">
        <f>IFERROR(__xludf.DUMMYFUNCTION("REGEXREPLACE(substitute(substitute(B258,"" "",""""),""..."",""""),""\(.*\)"","""")"),"1.50327743e-10")</f>
        <v>1.50327743e-10</v>
      </c>
      <c r="H258" s="62">
        <f t="shared" si="2"/>
        <v>0.000000000150327743</v>
      </c>
      <c r="I258" s="60" t="str">
        <f>IFERROR(__xludf.DUMMYFUNCTION("if(regexmatch($B258,""\(""),CONCATENATE(regexreplace(REGEXREPLACE(substitute(left($B258,find(""("",$B258)-1),"" "",""""),""\d"",""0""),""[-0]*\."",""0.""), REGEXEXTRACT($B258,""\((.*)\)""),TRIM(REGEXEXTRACT($B258,""\)(.*)""))),"""")"),"0.0000000026e-10")</f>
        <v>0.0000000026e-10</v>
      </c>
      <c r="J258" s="62">
        <f t="shared" si="3"/>
        <v>0</v>
      </c>
      <c r="K258" s="62" t="b">
        <f t="shared" si="4"/>
        <v>0</v>
      </c>
      <c r="L258" s="62" t="b">
        <f t="shared" si="5"/>
        <v>0</v>
      </c>
      <c r="M258" s="60" t="str">
        <f>IFERROR(__xludf.DUMMYFUNCTION("if(regexmatch(B258,""e(.*)$""),regexextract(B258,""e(.*)$""),"""")"),"-10")</f>
        <v>-10</v>
      </c>
    </row>
    <row r="259">
      <c r="A259" s="80" t="s">
        <v>2682</v>
      </c>
      <c r="B259" s="80" t="s">
        <v>5455</v>
      </c>
      <c r="C259" s="80" t="s">
        <v>224</v>
      </c>
      <c r="D259" s="18" t="str">
        <f t="shared" si="1"/>
        <v>MeV</v>
      </c>
      <c r="E259" s="60" t="str">
        <f>VLOOKUP($A259,nist_names_ids!A:B,2,false)</f>
        <v>mpc2mev</v>
      </c>
      <c r="F259" s="61">
        <f>countif(Constants!A:A,E259)</f>
        <v>1</v>
      </c>
      <c r="G259" s="60" t="str">
        <f>IFERROR(__xludf.DUMMYFUNCTION("REGEXREPLACE(substitute(substitute(B259,"" "",""""),""..."",""""),""\(.*\)"","""")"),"938.272028")</f>
        <v>938.272028</v>
      </c>
      <c r="H259" s="62">
        <f t="shared" si="2"/>
        <v>938.272028</v>
      </c>
      <c r="I259" s="60" t="str">
        <f>IFERROR(__xludf.DUMMYFUNCTION("if(regexmatch($B259,""\(""),CONCATENATE(regexreplace(REGEXREPLACE(substitute(left($B259,find(""("",$B259)-1),"" "",""""),""\d"",""0""),""[-0]*\."",""0.""), REGEXEXTRACT($B259,""\((.*)\)""),TRIM(REGEXEXTRACT($B259,""\)(.*)""))),"""")"),"0.00000080")</f>
        <v>0.00000080</v>
      </c>
      <c r="J259" s="62">
        <f t="shared" si="3"/>
        <v>0.0000008</v>
      </c>
      <c r="K259" s="62" t="b">
        <f t="shared" si="4"/>
        <v>0</v>
      </c>
      <c r="L259" s="62" t="b">
        <f t="shared" si="5"/>
        <v>0</v>
      </c>
      <c r="M259" s="60" t="str">
        <f>IFERROR(__xludf.DUMMYFUNCTION("if(regexmatch(B259,""e(.*)$""),regexextract(B259,""e(.*)$""),"""")"),"")</f>
        <v/>
      </c>
    </row>
    <row r="260">
      <c r="A260" s="80" t="s">
        <v>2689</v>
      </c>
      <c r="B260" s="80" t="s">
        <v>5456</v>
      </c>
      <c r="C260" s="80" t="s">
        <v>249</v>
      </c>
      <c r="D260" s="18" t="str">
        <f t="shared" si="1"/>
        <v>u</v>
      </c>
      <c r="E260" s="60" t="str">
        <f>VLOOKUP($A260,nist_names_ids!A:B,2,false)</f>
        <v>mpu</v>
      </c>
      <c r="F260" s="61">
        <f>countif(Constants!A:A,E260)</f>
        <v>1</v>
      </c>
      <c r="G260" s="60" t="str">
        <f>IFERROR(__xludf.DUMMYFUNCTION("REGEXREPLACE(substitute(substitute(B260,"" "",""""),""..."",""""),""\(.*\)"","""")"),"1.00727646688")</f>
        <v>1.00727646688</v>
      </c>
      <c r="H260" s="62">
        <f t="shared" si="2"/>
        <v>1.007276467</v>
      </c>
      <c r="I260" s="60" t="str">
        <f>IFERROR(__xludf.DUMMYFUNCTION("if(regexmatch($B260,""\(""),CONCATENATE(regexreplace(REGEXREPLACE(substitute(left($B260,find(""("",$B260)-1),"" "",""""),""\d"",""0""),""[-0]*\."",""0.""), REGEXEXTRACT($B260,""\((.*)\)""),TRIM(REGEXEXTRACT($B260,""\)(.*)""))),"""")"),"0.0000000000013")</f>
        <v>0.0000000000013</v>
      </c>
      <c r="J260" s="62">
        <f t="shared" si="3"/>
        <v>0</v>
      </c>
      <c r="K260" s="62" t="b">
        <f t="shared" si="4"/>
        <v>0</v>
      </c>
      <c r="L260" s="62" t="b">
        <f t="shared" si="5"/>
        <v>0</v>
      </c>
      <c r="M260" s="60" t="str">
        <f>IFERROR(__xludf.DUMMYFUNCTION("if(regexmatch(B260,""e(.*)$""),regexextract(B260,""e(.*)$""),"""")"),"")</f>
        <v/>
      </c>
    </row>
    <row r="261">
      <c r="A261" s="80" t="s">
        <v>2695</v>
      </c>
      <c r="B261" s="80" t="s">
        <v>5457</v>
      </c>
      <c r="C261" s="80" t="s">
        <v>4309</v>
      </c>
      <c r="D261" s="18" t="str">
        <f t="shared" si="1"/>
        <v>kg mol^-1</v>
      </c>
      <c r="E261" s="60" t="str">
        <f>VLOOKUP($A261,nist_names_ids!A:B,2,false)</f>
        <v>mmp</v>
      </c>
      <c r="F261" s="61">
        <f>countif(Constants!A:A,E261)</f>
        <v>1</v>
      </c>
      <c r="G261" s="60" t="str">
        <f>IFERROR(__xludf.DUMMYFUNCTION("REGEXREPLACE(substitute(substitute(B261,"" "",""""),""..."",""""),""\(.*\)"","""")"),"1.00727646688e-3")</f>
        <v>1.00727646688e-3</v>
      </c>
      <c r="H261" s="62">
        <f t="shared" si="2"/>
        <v>0.001007276467</v>
      </c>
      <c r="I261" s="60" t="str">
        <f>IFERROR(__xludf.DUMMYFUNCTION("if(regexmatch($B261,""\(""),CONCATENATE(regexreplace(REGEXREPLACE(substitute(left($B261,find(""("",$B261)-1),"" "",""""),""\d"",""0""),""[-0]*\."",""0.""), REGEXEXTRACT($B261,""\((.*)\)""),TRIM(REGEXEXTRACT($B261,""\)(.*)""))),"""")"),"0.0000000000013e-3")</f>
        <v>0.0000000000013e-3</v>
      </c>
      <c r="J261" s="62">
        <f t="shared" si="3"/>
        <v>0</v>
      </c>
      <c r="K261" s="62" t="b">
        <f t="shared" si="4"/>
        <v>0</v>
      </c>
      <c r="L261" s="62" t="b">
        <f t="shared" si="5"/>
        <v>0</v>
      </c>
      <c r="M261" s="60" t="str">
        <f>IFERROR(__xludf.DUMMYFUNCTION("if(regexmatch(B261,""e(.*)$""),regexextract(B261,""e(.*)$""),"""")"),"-3")</f>
        <v>-3</v>
      </c>
    </row>
    <row r="262">
      <c r="A262" s="80" t="s">
        <v>2711</v>
      </c>
      <c r="B262" s="80" t="s">
        <v>5459</v>
      </c>
      <c r="C262" s="80" t="s">
        <v>381</v>
      </c>
      <c r="D262" s="18" t="str">
        <f t="shared" si="1"/>
        <v>m</v>
      </c>
      <c r="E262" s="60" t="str">
        <f>VLOOKUP($A262,nist_names_ids!A:B,2,false)</f>
        <v>rp</v>
      </c>
      <c r="F262" s="61">
        <f>countif(Constants!A:A,E262)</f>
        <v>1</v>
      </c>
      <c r="G262" s="60" t="str">
        <f>IFERROR(__xludf.DUMMYFUNCTION("REGEXREPLACE(substitute(substitute(B262,"" "",""""),""..."",""""),""\(.*\)"","""")"),"0.8750e-15")</f>
        <v>0.8750e-15</v>
      </c>
      <c r="H262" s="62">
        <f t="shared" si="2"/>
        <v>0</v>
      </c>
      <c r="I262" s="60" t="str">
        <f>IFERROR(__xludf.DUMMYFUNCTION("if(regexmatch($B262,""\(""),CONCATENATE(regexreplace(REGEXREPLACE(substitute(left($B262,find(""("",$B262)-1),"" "",""""),""\d"",""0""),""[-0]*\."",""0.""), REGEXEXTRACT($B262,""\((.*)\)""),TRIM(REGEXEXTRACT($B262,""\)(.*)""))),"""")"),"0.000068e-15")</f>
        <v>0.000068e-15</v>
      </c>
      <c r="J262" s="62">
        <f t="shared" si="3"/>
        <v>0</v>
      </c>
      <c r="K262" s="62" t="b">
        <f t="shared" si="4"/>
        <v>0</v>
      </c>
      <c r="L262" s="62" t="b">
        <f t="shared" si="5"/>
        <v>0</v>
      </c>
      <c r="M262" s="60" t="str">
        <f>IFERROR(__xludf.DUMMYFUNCTION("if(regexmatch(B262,""e(.*)$""),regexextract(B262,""e(.*)$""),"""")"),"-15")</f>
        <v>-15</v>
      </c>
    </row>
    <row r="263">
      <c r="A263" s="80" t="s">
        <v>2636</v>
      </c>
      <c r="B263" s="80" t="s">
        <v>5461</v>
      </c>
      <c r="C263" s="80"/>
      <c r="D263" s="18" t="str">
        <f t="shared" si="1"/>
        <v/>
      </c>
      <c r="E263" s="60" t="str">
        <f>VLOOKUP($A263,nist_names_ids!A:B,2,false)</f>
        <v>mpsme</v>
      </c>
      <c r="F263" s="61">
        <f>countif(Constants!A:A,E263)</f>
        <v>1</v>
      </c>
      <c r="G263" s="60" t="str">
        <f>IFERROR(__xludf.DUMMYFUNCTION("REGEXREPLACE(substitute(substitute(B263,"" "",""""),""..."",""""),""\(.*\)"","""")"),"1836.15267261")</f>
        <v>1836.15267261</v>
      </c>
      <c r="H263" s="62">
        <f t="shared" si="2"/>
        <v>1836.152673</v>
      </c>
      <c r="I263" s="60" t="str">
        <f>IFERROR(__xludf.DUMMYFUNCTION("if(regexmatch($B263,""\(""),CONCATENATE(regexreplace(REGEXREPLACE(substitute(left($B263,find(""("",$B263)-1),"" "",""""),""\d"",""0""),""[-0]*\."",""0.""), REGEXEXTRACT($B263,""\((.*)\)""),TRIM(REGEXEXTRACT($B263,""\)(.*)""))),"""")"),"0.0000000085")</f>
        <v>0.0000000085</v>
      </c>
      <c r="J263" s="62">
        <f t="shared" si="3"/>
        <v>0.0000000085</v>
      </c>
      <c r="K263" s="62" t="b">
        <f t="shared" si="4"/>
        <v>0</v>
      </c>
      <c r="L263" s="62" t="b">
        <f t="shared" si="5"/>
        <v>0</v>
      </c>
      <c r="M263" s="60" t="str">
        <f>IFERROR(__xludf.DUMMYFUNCTION("if(regexmatch(B263,""e(.*)$""),regexextract(B263,""e(.*)$""),"""")"),"")</f>
        <v/>
      </c>
    </row>
    <row r="264">
      <c r="A264" s="80" t="s">
        <v>2697</v>
      </c>
      <c r="B264" s="80" t="s">
        <v>5462</v>
      </c>
      <c r="C264" s="80"/>
      <c r="D264" s="18" t="str">
        <f t="shared" si="1"/>
        <v/>
      </c>
      <c r="E264" s="60" t="str">
        <f>VLOOKUP($A264,nist_names_ids!A:B,2,false)</f>
        <v>mpsmmu</v>
      </c>
      <c r="F264" s="61">
        <f>countif(Constants!A:A,E264)</f>
        <v>1</v>
      </c>
      <c r="G264" s="60" t="str">
        <f>IFERROR(__xludf.DUMMYFUNCTION("REGEXREPLACE(substitute(substitute(B264,"" "",""""),""..."",""""),""\(.*\)"","""")"),"8.88024333")</f>
        <v>8.88024333</v>
      </c>
      <c r="H264" s="62">
        <f t="shared" si="2"/>
        <v>8.88024333</v>
      </c>
      <c r="I264" s="60" t="str">
        <f>IFERROR(__xludf.DUMMYFUNCTION("if(regexmatch($B264,""\(""),CONCATENATE(regexreplace(REGEXREPLACE(substitute(left($B264,find(""("",$B264)-1),"" "",""""),""\d"",""0""),""[-0]*\."",""0.""), REGEXEXTRACT($B264,""\((.*)\)""),TRIM(REGEXEXTRACT($B264,""\)(.*)""))),"""")"),"0.0000000023")</f>
        <v>0.0000000023</v>
      </c>
      <c r="J264" s="62">
        <f t="shared" si="3"/>
        <v>0.0000000023</v>
      </c>
      <c r="K264" s="62" t="b">
        <f t="shared" si="4"/>
        <v>0</v>
      </c>
      <c r="L264" s="62" t="b">
        <f t="shared" si="5"/>
        <v>0</v>
      </c>
      <c r="M264" s="60" t="str">
        <f>IFERROR(__xludf.DUMMYFUNCTION("if(regexmatch(B264,""e(.*)$""),regexextract(B264,""e(.*)$""),"""")"),"")</f>
        <v/>
      </c>
    </row>
    <row r="265">
      <c r="A265" s="80" t="s">
        <v>4345</v>
      </c>
      <c r="B265" s="80" t="s">
        <v>5464</v>
      </c>
      <c r="C265" s="80"/>
      <c r="D265" s="18" t="str">
        <f t="shared" si="1"/>
        <v/>
      </c>
      <c r="E265" s="60" t="str">
        <f>VLOOKUP($A265,nist_names_ids!A:B,2,false)</f>
        <v>mupsmunn</v>
      </c>
      <c r="F265" s="61">
        <f>countif(Constants!A:A,E265)</f>
        <v>1</v>
      </c>
      <c r="G265" s="60" t="str">
        <f>IFERROR(__xludf.DUMMYFUNCTION("REGEXREPLACE(substitute(substitute(B265,"" "",""""),""..."",""""),""\(.*\)"","""")"),"-1.45989805")</f>
        <v>-1.45989805</v>
      </c>
      <c r="H265" s="62">
        <f t="shared" si="2"/>
        <v>-1.45989805</v>
      </c>
      <c r="I265" s="60" t="str">
        <f>IFERROR(__xludf.DUMMYFUNCTION("if(regexmatch($B265,""\(""),CONCATENATE(regexreplace(REGEXREPLACE(substitute(left($B265,find(""("",$B265)-1),"" "",""""),""\d"",""0""),""[-0]*\."",""0.""), REGEXEXTRACT($B265,""\((.*)\)""),TRIM(REGEXEXTRACT($B265,""\)(.*)""))),"""")"),"0.0000000034")</f>
        <v>0.0000000034</v>
      </c>
      <c r="J265" s="62">
        <f t="shared" si="3"/>
        <v>0.0000000034</v>
      </c>
      <c r="K265" s="62" t="b">
        <f t="shared" si="4"/>
        <v>0</v>
      </c>
      <c r="L265" s="62" t="b">
        <f t="shared" si="5"/>
        <v>0</v>
      </c>
      <c r="M265" s="60" t="str">
        <f>IFERROR(__xludf.DUMMYFUNCTION("if(regexmatch(B265,""e(.*)$""),regexextract(B265,""e(.*)$""),"""")"),"")</f>
        <v/>
      </c>
    </row>
    <row r="266">
      <c r="A266" s="80" t="s">
        <v>2705</v>
      </c>
      <c r="B266" s="80" t="s">
        <v>5466</v>
      </c>
      <c r="C266" s="80"/>
      <c r="D266" s="18" t="str">
        <f t="shared" si="1"/>
        <v/>
      </c>
      <c r="E266" s="60" t="str">
        <f>VLOOKUP($A266,nist_names_ids!A:B,2,false)</f>
        <v>mpsmn</v>
      </c>
      <c r="F266" s="61">
        <f>countif(Constants!A:A,E266)</f>
        <v>1</v>
      </c>
      <c r="G266" s="60" t="str">
        <f>IFERROR(__xludf.DUMMYFUNCTION("REGEXREPLACE(substitute(substitute(B266,"" "",""""),""..."",""""),""\(.*\)"","""")"),"0.99862347872")</f>
        <v>0.99862347872</v>
      </c>
      <c r="H266" s="62">
        <f t="shared" si="2"/>
        <v>0.9986234787</v>
      </c>
      <c r="I266" s="60" t="str">
        <f>IFERROR(__xludf.DUMMYFUNCTION("if(regexmatch($B266,""\(""),CONCATENATE(regexreplace(REGEXREPLACE(substitute(left($B266,find(""("",$B266)-1),"" "",""""),""\d"",""0""),""[-0]*\."",""0.""), REGEXEXTRACT($B266,""\((.*)\)""),TRIM(REGEXEXTRACT($B266,""\)(.*)""))),"""")"),"0.0000000000058")</f>
        <v>0.0000000000058</v>
      </c>
      <c r="J266" s="62">
        <f t="shared" si="3"/>
        <v>0</v>
      </c>
      <c r="K266" s="62" t="b">
        <f t="shared" si="4"/>
        <v>0</v>
      </c>
      <c r="L266" s="62" t="b">
        <f t="shared" si="5"/>
        <v>0</v>
      </c>
      <c r="M266" s="60" t="str">
        <f>IFERROR(__xludf.DUMMYFUNCTION("if(regexmatch(B266,""e(.*)$""),regexextract(B266,""e(.*)$""),"""")"),"")</f>
        <v/>
      </c>
    </row>
    <row r="267">
      <c r="A267" s="80" t="s">
        <v>2715</v>
      </c>
      <c r="B267" s="80" t="s">
        <v>5312</v>
      </c>
      <c r="C267" s="80"/>
      <c r="D267" s="18" t="str">
        <f t="shared" si="1"/>
        <v/>
      </c>
      <c r="E267" s="60" t="str">
        <f>VLOOKUP($A267,nist_names_ids!A:B,2,false)</f>
        <v>mpsmtau</v>
      </c>
      <c r="F267" s="61">
        <f>countif(Constants!A:A,E267)</f>
        <v>1</v>
      </c>
      <c r="G267" s="60" t="str">
        <f>IFERROR(__xludf.DUMMYFUNCTION("REGEXREPLACE(substitute(substitute(B267,"" "",""""),""..."",""""),""\(.*\)"","""")"),"0.528012")</f>
        <v>0.528012</v>
      </c>
      <c r="H267" s="62">
        <f t="shared" si="2"/>
        <v>0.528012</v>
      </c>
      <c r="I267" s="60" t="str">
        <f>IFERROR(__xludf.DUMMYFUNCTION("if(regexmatch($B267,""\(""),CONCATENATE(regexreplace(REGEXREPLACE(substitute(left($B267,find(""("",$B267)-1),"" "",""""),""\d"",""0""),""[-0]*\."",""0.""), REGEXEXTRACT($B267,""\((.*)\)""),TRIM(REGEXEXTRACT($B267,""\)(.*)""))),"""")"),"0.00000086")</f>
        <v>0.00000086</v>
      </c>
      <c r="J267" s="62">
        <f t="shared" si="3"/>
        <v>0.00000086</v>
      </c>
      <c r="K267" s="62" t="b">
        <f t="shared" si="4"/>
        <v>0</v>
      </c>
      <c r="L267" s="62" t="b">
        <f t="shared" si="5"/>
        <v>0</v>
      </c>
      <c r="M267" s="60" t="str">
        <f>IFERROR(__xludf.DUMMYFUNCTION("if(regexmatch(B267,""e(.*)$""),regexextract(B267,""e(.*)$""),"""")"),"")</f>
        <v/>
      </c>
    </row>
    <row r="268">
      <c r="A268" s="80" t="s">
        <v>2719</v>
      </c>
      <c r="B268" s="80" t="s">
        <v>5469</v>
      </c>
      <c r="C268" s="80" t="s">
        <v>5316</v>
      </c>
      <c r="D268" s="18" t="str">
        <f t="shared" si="1"/>
        <v>m^2 s^-1</v>
      </c>
      <c r="E268" s="60" t="str">
        <f>VLOOKUP($A268,nist_names_ids!A:B,2,false)</f>
        <v>qucirchs2me</v>
      </c>
      <c r="F268" s="61">
        <f>countif(Constants!A:A,E268)</f>
        <v>1</v>
      </c>
      <c r="G268" s="60" t="str">
        <f>IFERROR(__xludf.DUMMYFUNCTION("REGEXREPLACE(substitute(substitute(B268,"" "",""""),""..."",""""),""\(.*\)"","""")"),"3.636947550e-4")</f>
        <v>3.636947550e-4</v>
      </c>
      <c r="H268" s="62">
        <f t="shared" si="2"/>
        <v>0.000363694755</v>
      </c>
      <c r="I268" s="60" t="str">
        <f>IFERROR(__xludf.DUMMYFUNCTION("if(regexmatch($B268,""\(""),CONCATENATE(regexreplace(REGEXREPLACE(substitute(left($B268,find(""("",$B268)-1),"" "",""""),""\d"",""0""),""[-0]*\."",""0.""), REGEXEXTRACT($B268,""\((.*)\)""),TRIM(REGEXEXTRACT($B268,""\)(.*)""))),"""")"),"0.00000000024e-4")</f>
        <v>0.00000000024e-4</v>
      </c>
      <c r="J268" s="62">
        <f t="shared" si="3"/>
        <v>0</v>
      </c>
      <c r="K268" s="62" t="b">
        <f t="shared" si="4"/>
        <v>0</v>
      </c>
      <c r="L268" s="62" t="b">
        <f t="shared" si="5"/>
        <v>0</v>
      </c>
      <c r="M268" s="60" t="str">
        <f>IFERROR(__xludf.DUMMYFUNCTION("if(regexmatch(B268,""e(.*)$""),regexextract(B268,""e(.*)$""),"""")"),"-4")</f>
        <v>-4</v>
      </c>
    </row>
    <row r="269">
      <c r="A269" s="80" t="s">
        <v>2727</v>
      </c>
      <c r="B269" s="80" t="s">
        <v>5471</v>
      </c>
      <c r="C269" s="80" t="s">
        <v>5316</v>
      </c>
      <c r="D269" s="18" t="str">
        <f t="shared" si="1"/>
        <v>m^2 s^-1</v>
      </c>
      <c r="E269" s="60" t="str">
        <f>VLOOKUP($A269,nist_names_ids!A:B,2,false)</f>
        <v>hsme</v>
      </c>
      <c r="F269" s="61">
        <f>countif(Constants!A:A,E269)</f>
        <v>1</v>
      </c>
      <c r="G269" s="60" t="str">
        <f>IFERROR(__xludf.DUMMYFUNCTION("REGEXREPLACE(substitute(substitute(B269,"" "",""""),""..."",""""),""\(.*\)"","""")"),"7.273895101e-4")</f>
        <v>7.273895101e-4</v>
      </c>
      <c r="H269" s="62">
        <f t="shared" si="2"/>
        <v>0.0007273895101</v>
      </c>
      <c r="I269" s="60" t="str">
        <f>IFERROR(__xludf.DUMMYFUNCTION("if(regexmatch($B269,""\(""),CONCATENATE(regexreplace(REGEXREPLACE(substitute(left($B269,find(""("",$B269)-1),"" "",""""),""\d"",""0""),""[-0]*\."",""0.""), REGEXEXTRACT($B269,""\((.*)\)""),TRIM(REGEXEXTRACT($B269,""\)(.*)""))),"""")"),"0.00000000048e-4")</f>
        <v>0.00000000048e-4</v>
      </c>
      <c r="J269" s="62">
        <f t="shared" si="3"/>
        <v>0</v>
      </c>
      <c r="K269" s="62" t="b">
        <f t="shared" si="4"/>
        <v>0</v>
      </c>
      <c r="L269" s="62" t="b">
        <f t="shared" si="5"/>
        <v>0</v>
      </c>
      <c r="M269" s="60" t="str">
        <f>IFERROR(__xludf.DUMMYFUNCTION("if(regexmatch(B269,""e(.*)$""),regexextract(B269,""e(.*)$""),"""")"),"-4")</f>
        <v>-4</v>
      </c>
    </row>
    <row r="270">
      <c r="A270" s="80" t="s">
        <v>2769</v>
      </c>
      <c r="B270" s="80" t="s">
        <v>5473</v>
      </c>
      <c r="C270" s="80" t="s">
        <v>4359</v>
      </c>
      <c r="D270" s="18" t="str">
        <f t="shared" si="1"/>
        <v>m^-1</v>
      </c>
      <c r="E270" s="60" t="str">
        <f>VLOOKUP($A270,nist_names_ids!A:B,2,false)</f>
        <v>ryd</v>
      </c>
      <c r="F270" s="61">
        <f>countif(Constants!A:A,E270)</f>
        <v>1</v>
      </c>
      <c r="G270" s="60" t="str">
        <f>IFERROR(__xludf.DUMMYFUNCTION("REGEXREPLACE(substitute(substitute(B270,"" "",""""),""..."",""""),""\(.*\)"","""")"),"10973731.568525")</f>
        <v>10973731.568525</v>
      </c>
      <c r="H270" s="62">
        <f t="shared" si="2"/>
        <v>10973731.57</v>
      </c>
      <c r="I270" s="60" t="str">
        <f>IFERROR(__xludf.DUMMYFUNCTION("if(regexmatch($B270,""\(""),CONCATENATE(regexreplace(REGEXREPLACE(substitute(left($B270,find(""("",$B270)-1),"" "",""""),""\d"",""0""),""[-0]*\."",""0.""), REGEXEXTRACT($B270,""\((.*)\)""),TRIM(REGEXEXTRACT($B270,""\)(.*)""))),"""")"),"0.00000073")</f>
        <v>0.00000073</v>
      </c>
      <c r="J270" s="62">
        <f t="shared" si="3"/>
        <v>0.00000073</v>
      </c>
      <c r="K270" s="62" t="b">
        <f t="shared" si="4"/>
        <v>0</v>
      </c>
      <c r="L270" s="62" t="b">
        <f t="shared" si="5"/>
        <v>0</v>
      </c>
      <c r="M270" s="60" t="str">
        <f>IFERROR(__xludf.DUMMYFUNCTION("if(regexmatch(B270,""e(.*)$""),regexextract(B270,""e(.*)$""),"""")"),"")</f>
        <v/>
      </c>
    </row>
    <row r="271">
      <c r="A271" s="80" t="s">
        <v>2774</v>
      </c>
      <c r="B271" s="80" t="s">
        <v>5475</v>
      </c>
      <c r="C271" s="80" t="s">
        <v>257</v>
      </c>
      <c r="D271" s="18" t="str">
        <f t="shared" si="1"/>
        <v>Hz</v>
      </c>
      <c r="E271" s="60" t="str">
        <f>VLOOKUP($A271,nist_names_ids!A:B,2,false)</f>
        <v>rydchz</v>
      </c>
      <c r="F271" s="61">
        <f>countif(Constants!A:A,E271)</f>
        <v>1</v>
      </c>
      <c r="G271" s="60" t="str">
        <f>IFERROR(__xludf.DUMMYFUNCTION("REGEXREPLACE(substitute(substitute(B271,"" "",""""),""..."",""""),""\(.*\)"","""")"),"3.289841960360e15")</f>
        <v>3.289841960360e15</v>
      </c>
      <c r="H271" s="62">
        <f t="shared" si="2"/>
        <v>3.28984E+15</v>
      </c>
      <c r="I271" s="60" t="str">
        <f>IFERROR(__xludf.DUMMYFUNCTION("if(regexmatch($B271,""\(""),CONCATENATE(regexreplace(REGEXREPLACE(substitute(left($B271,find(""("",$B271)-1),"" "",""""),""\d"",""0""),""[-0]*\."",""0.""), REGEXEXTRACT($B271,""\((.*)\)""),TRIM(REGEXEXTRACT($B271,""\)(.*)""))),"""")"),"0.00000000000022e15")</f>
        <v>0.00000000000022e15</v>
      </c>
      <c r="J271" s="62">
        <f t="shared" si="3"/>
        <v>220</v>
      </c>
      <c r="K271" s="62" t="b">
        <f t="shared" si="4"/>
        <v>0</v>
      </c>
      <c r="L271" s="62" t="b">
        <f t="shared" si="5"/>
        <v>0</v>
      </c>
      <c r="M271" s="60" t="str">
        <f>IFERROR(__xludf.DUMMYFUNCTION("if(regexmatch(B271,""e(.*)$""),regexextract(B271,""e(.*)$""),"""")"),"15")</f>
        <v>15</v>
      </c>
    </row>
    <row r="272">
      <c r="A272" s="80" t="s">
        <v>2784</v>
      </c>
      <c r="B272" s="80" t="s">
        <v>5477</v>
      </c>
      <c r="C272" s="80" t="s">
        <v>173</v>
      </c>
      <c r="D272" s="18" t="str">
        <f t="shared" si="1"/>
        <v>J</v>
      </c>
      <c r="E272" s="60" t="str">
        <f>VLOOKUP($A272,nist_names_ids!A:B,2,false)</f>
        <v>rydhcj</v>
      </c>
      <c r="F272" s="61">
        <f>countif(Constants!A:A,E272)</f>
        <v>1</v>
      </c>
      <c r="G272" s="60" t="str">
        <f>IFERROR(__xludf.DUMMYFUNCTION("REGEXREPLACE(substitute(substitute(B272,"" "",""""),""..."",""""),""\(.*\)"","""")"),"2.17987209e-18")</f>
        <v>2.17987209e-18</v>
      </c>
      <c r="H272" s="62">
        <f t="shared" si="2"/>
        <v>0</v>
      </c>
      <c r="I272" s="60" t="str">
        <f>IFERROR(__xludf.DUMMYFUNCTION("if(regexmatch($B272,""\(""),CONCATENATE(regexreplace(REGEXREPLACE(substitute(left($B272,find(""("",$B272)-1),"" "",""""),""\d"",""0""),""[-0]*\."",""0.""), REGEXEXTRACT($B272,""\((.*)\)""),TRIM(REGEXEXTRACT($B272,""\)(.*)""))),"""")"),"0.0000000037e-18")</f>
        <v>0.0000000037e-18</v>
      </c>
      <c r="J272" s="62">
        <f t="shared" si="3"/>
        <v>0</v>
      </c>
      <c r="K272" s="62" t="b">
        <f t="shared" si="4"/>
        <v>0</v>
      </c>
      <c r="L272" s="62" t="b">
        <f t="shared" si="5"/>
        <v>0</v>
      </c>
      <c r="M272" s="60" t="str">
        <f>IFERROR(__xludf.DUMMYFUNCTION("if(regexmatch(B272,""e(.*)$""),regexextract(B272,""e(.*)$""),"""")"),"-18")</f>
        <v>-18</v>
      </c>
    </row>
    <row r="273">
      <c r="A273" s="80" t="s">
        <v>2780</v>
      </c>
      <c r="B273" s="80" t="s">
        <v>5479</v>
      </c>
      <c r="C273" s="80" t="s">
        <v>181</v>
      </c>
      <c r="D273" s="18" t="str">
        <f t="shared" si="1"/>
        <v>eV</v>
      </c>
      <c r="E273" s="60" t="str">
        <f>VLOOKUP($A273,nist_names_ids!A:B,2,false)</f>
        <v>rydhcev</v>
      </c>
      <c r="F273" s="61">
        <f>countif(Constants!A:A,E273)</f>
        <v>1</v>
      </c>
      <c r="G273" s="60" t="str">
        <f>IFERROR(__xludf.DUMMYFUNCTION("REGEXREPLACE(substitute(substitute(B273,"" "",""""),""..."",""""),""\(.*\)"","""")"),"13.6056923")</f>
        <v>13.6056923</v>
      </c>
      <c r="H273" s="62">
        <f t="shared" si="2"/>
        <v>13.6056923</v>
      </c>
      <c r="I273" s="60" t="str">
        <f>IFERROR(__xludf.DUMMYFUNCTION("if(regexmatch($B273,""\(""),CONCATENATE(regexreplace(REGEXREPLACE(substitute(left($B273,find(""("",$B273)-1),"" "",""""),""\d"",""0""),""[-0]*\."",""0.""), REGEXEXTRACT($B273,""\((.*)\)""),TRIM(REGEXEXTRACT($B273,""\)(.*)""))),"""")"),"0.000000012")</f>
        <v>0.000000012</v>
      </c>
      <c r="J273" s="62">
        <f t="shared" si="3"/>
        <v>0.000000012</v>
      </c>
      <c r="K273" s="62" t="b">
        <f t="shared" si="4"/>
        <v>0</v>
      </c>
      <c r="L273" s="62" t="b">
        <f t="shared" si="5"/>
        <v>0</v>
      </c>
      <c r="M273" s="60" t="str">
        <f>IFERROR(__xludf.DUMMYFUNCTION("if(regexmatch(B273,""e(.*)$""),regexextract(B273,""e(.*)$""),"""")"),"")</f>
        <v/>
      </c>
    </row>
    <row r="274">
      <c r="A274" s="80" t="s">
        <v>4486</v>
      </c>
      <c r="B274" s="80" t="s">
        <v>5327</v>
      </c>
      <c r="C274" s="80"/>
      <c r="D274" s="18" t="str">
        <f t="shared" si="1"/>
        <v/>
      </c>
      <c r="E274" s="60" t="str">
        <f>VLOOKUP($A274,nist_names_ids!A:B,2,false)</f>
        <v>s0sr</v>
      </c>
      <c r="F274" s="61">
        <f>countif(Constants!A:A,E274)</f>
        <v>1</v>
      </c>
      <c r="G274" s="60" t="str">
        <f>IFERROR(__xludf.DUMMYFUNCTION("REGEXREPLACE(substitute(substitute(B274,"" "",""""),""..."",""""),""\(.*\)"","""")"),"-1.1517047")</f>
        <v>-1.1517047</v>
      </c>
      <c r="H274" s="62">
        <f t="shared" si="2"/>
        <v>-1.1517047</v>
      </c>
      <c r="I274" s="60" t="str">
        <f>IFERROR(__xludf.DUMMYFUNCTION("if(regexmatch($B274,""\(""),CONCATENATE(regexreplace(REGEXREPLACE(substitute(left($B274,find(""("",$B274)-1),"" "",""""),""\d"",""0""),""[-0]*\."",""0.""), REGEXEXTRACT($B274,""\((.*)\)""),TRIM(REGEXEXTRACT($B274,""\)(.*)""))),"""")"),"0.000000044")</f>
        <v>0.000000044</v>
      </c>
      <c r="J274" s="62">
        <f t="shared" si="3"/>
        <v>0.000000044</v>
      </c>
      <c r="K274" s="62" t="b">
        <f t="shared" si="4"/>
        <v>0</v>
      </c>
      <c r="L274" s="62" t="b">
        <f t="shared" si="5"/>
        <v>0</v>
      </c>
      <c r="M274" s="60" t="str">
        <f>IFERROR(__xludf.DUMMYFUNCTION("if(regexmatch(B274,""e(.*)$""),regexextract(B274,""e(.*)$""),"""")"),"")</f>
        <v/>
      </c>
    </row>
    <row r="275">
      <c r="A275" s="80" t="s">
        <v>4489</v>
      </c>
      <c r="B275" s="80" t="s">
        <v>5329</v>
      </c>
      <c r="C275" s="80"/>
      <c r="D275" s="18" t="str">
        <f t="shared" si="1"/>
        <v/>
      </c>
      <c r="E275" s="60" t="str">
        <f>VLOOKUP($A275,nist_names_ids!A:B,2,false)</f>
        <v>s0srstd</v>
      </c>
      <c r="F275" s="61">
        <f>countif(Constants!A:A,E275)</f>
        <v>1</v>
      </c>
      <c r="G275" s="60" t="str">
        <f>IFERROR(__xludf.DUMMYFUNCTION("REGEXREPLACE(substitute(substitute(B275,"" "",""""),""..."",""""),""\(.*\)"","""")"),"-1.1648677")</f>
        <v>-1.1648677</v>
      </c>
      <c r="H275" s="62">
        <f t="shared" si="2"/>
        <v>-1.1648677</v>
      </c>
      <c r="I275" s="60" t="str">
        <f>IFERROR(__xludf.DUMMYFUNCTION("if(regexmatch($B275,""\(""),CONCATENATE(regexreplace(REGEXREPLACE(substitute(left($B275,find(""("",$B275)-1),"" "",""""),""\d"",""0""),""[-0]*\."",""0.""), REGEXEXTRACT($B275,""\((.*)\)""),TRIM(REGEXEXTRACT($B275,""\)(.*)""))),"""")"),"0.000000044")</f>
        <v>0.000000044</v>
      </c>
      <c r="J275" s="62">
        <f t="shared" si="3"/>
        <v>0.000000044</v>
      </c>
      <c r="K275" s="62" t="b">
        <f t="shared" si="4"/>
        <v>0</v>
      </c>
      <c r="L275" s="62" t="b">
        <f t="shared" si="5"/>
        <v>0</v>
      </c>
      <c r="M275" s="60" t="str">
        <f>IFERROR(__xludf.DUMMYFUNCTION("if(regexmatch(B275,""e(.*)$""),regexextract(B275,""e(.*)$""),"""")"),"")</f>
        <v/>
      </c>
    </row>
    <row r="276">
      <c r="A276" s="80" t="s">
        <v>2799</v>
      </c>
      <c r="B276" s="80" t="s">
        <v>4972</v>
      </c>
      <c r="C276" s="80" t="s">
        <v>2800</v>
      </c>
      <c r="D276" s="18" t="str">
        <f t="shared" si="1"/>
        <v>m K</v>
      </c>
      <c r="E276" s="60" t="str">
        <f>VLOOKUP($A276,nist_names_ids!A:B,2,false)</f>
        <v>c22ndrc</v>
      </c>
      <c r="F276" s="61">
        <f>countif(Constants!A:A,E276)</f>
        <v>1</v>
      </c>
      <c r="G276" s="60" t="str">
        <f>IFERROR(__xludf.DUMMYFUNCTION("REGEXREPLACE(substitute(substitute(B276,"" "",""""),""..."",""""),""\(.*\)"","""")"),"1.4387752e-2")</f>
        <v>1.4387752e-2</v>
      </c>
      <c r="H276" s="62">
        <f t="shared" si="2"/>
        <v>0.014387752</v>
      </c>
      <c r="I276" s="60" t="str">
        <f>IFERROR(__xludf.DUMMYFUNCTION("if(regexmatch($B276,""\(""),CONCATENATE(regexreplace(REGEXREPLACE(substitute(left($B276,find(""("",$B276)-1),"" "",""""),""\d"",""0""),""[-0]*\."",""0.""), REGEXEXTRACT($B276,""\((.*)\)""),TRIM(REGEXEXTRACT($B276,""\)(.*)""))),"""")"),"0.000000025e-2")</f>
        <v>0.000000025e-2</v>
      </c>
      <c r="J276" s="62">
        <f t="shared" si="3"/>
        <v>0.00000000025</v>
      </c>
      <c r="K276" s="62" t="b">
        <f t="shared" si="4"/>
        <v>0</v>
      </c>
      <c r="L276" s="62" t="b">
        <f t="shared" si="5"/>
        <v>0</v>
      </c>
      <c r="M276" s="60" t="str">
        <f>IFERROR(__xludf.DUMMYFUNCTION("if(regexmatch(B276,""e(.*)$""),regexextract(B276,""e(.*)$""),"""")"),"-2")</f>
        <v>-2</v>
      </c>
    </row>
    <row r="277">
      <c r="A277" s="80" t="s">
        <v>4507</v>
      </c>
      <c r="B277" s="80" t="s">
        <v>5481</v>
      </c>
      <c r="C277" s="80" t="s">
        <v>4596</v>
      </c>
      <c r="D277" s="18" t="str">
        <f t="shared" si="1"/>
        <v>s^-1 T^-1</v>
      </c>
      <c r="E277" s="60" t="str">
        <f>VLOOKUP($A277,nist_names_ids!A:B,2,false)</f>
        <v>gammahp</v>
      </c>
      <c r="F277" s="61">
        <f>countif(Constants!A:A,E277)</f>
        <v>1</v>
      </c>
      <c r="G277" s="60" t="str">
        <f>IFERROR(__xludf.DUMMYFUNCTION("REGEXREPLACE(substitute(substitute(B277,"" "",""""),""..."",""""),""\(.*\)"","""")"),"2.03789470e8")</f>
        <v>2.03789470e8</v>
      </c>
      <c r="H277" s="62">
        <f t="shared" si="2"/>
        <v>203789470</v>
      </c>
      <c r="I277" s="60" t="str">
        <f>IFERROR(__xludf.DUMMYFUNCTION("if(regexmatch($B277,""\(""),CONCATENATE(regexreplace(REGEXREPLACE(substitute(left($B277,find(""("",$B277)-1),"" "",""""),""\d"",""0""),""[-0]*\."",""0.""), REGEXEXTRACT($B277,""\((.*)\)""),TRIM(REGEXEXTRACT($B277,""\)(.*)""))),"""")"),"0.0000000018e8")</f>
        <v>0.0000000018e8</v>
      </c>
      <c r="J277" s="62">
        <f t="shared" si="3"/>
        <v>0.18</v>
      </c>
      <c r="K277" s="62" t="b">
        <f t="shared" si="4"/>
        <v>0</v>
      </c>
      <c r="L277" s="62" t="b">
        <f t="shared" si="5"/>
        <v>0</v>
      </c>
      <c r="M277" s="60" t="str">
        <f>IFERROR(__xludf.DUMMYFUNCTION("if(regexmatch(B277,""e(.*)$""),regexextract(B277,""e(.*)$""),"""")"),"8")</f>
        <v>8</v>
      </c>
    </row>
    <row r="278">
      <c r="A278" s="80" t="s">
        <v>4524</v>
      </c>
      <c r="B278" s="80" t="s">
        <v>5482</v>
      </c>
      <c r="C278" s="80" t="s">
        <v>4602</v>
      </c>
      <c r="D278" s="18" t="str">
        <f t="shared" si="1"/>
        <v>MHz T^-1</v>
      </c>
      <c r="E278" s="60" t="str">
        <f>VLOOKUP($A278,nist_names_ids!A:B,2,false)</f>
        <v>gammahpbar</v>
      </c>
      <c r="F278" s="61">
        <f>countif(Constants!A:A,E278)</f>
        <v>1</v>
      </c>
      <c r="G278" s="60" t="str">
        <f>IFERROR(__xludf.DUMMYFUNCTION("REGEXREPLACE(substitute(substitute(B278,"" "",""""),""..."",""""),""\(.*\)"","""")"),"32.4341015")</f>
        <v>32.4341015</v>
      </c>
      <c r="H278" s="62">
        <f t="shared" si="2"/>
        <v>32.4341015</v>
      </c>
      <c r="I278" s="60" t="str">
        <f>IFERROR(__xludf.DUMMYFUNCTION("if(regexmatch($B278,""\(""),CONCATENATE(regexreplace(REGEXREPLACE(substitute(left($B278,find(""("",$B278)-1),"" "",""""),""\d"",""0""),""[-0]*\."",""0.""), REGEXEXTRACT($B278,""\((.*)\)""),TRIM(REGEXEXTRACT($B278,""\)(.*)""))),"""")"),"0.000000028")</f>
        <v>0.000000028</v>
      </c>
      <c r="J278" s="62">
        <f t="shared" si="3"/>
        <v>0.000000028</v>
      </c>
      <c r="K278" s="62" t="b">
        <f t="shared" si="4"/>
        <v>0</v>
      </c>
      <c r="L278" s="62" t="b">
        <f t="shared" si="5"/>
        <v>0</v>
      </c>
      <c r="M278" s="60" t="str">
        <f>IFERROR(__xludf.DUMMYFUNCTION("if(regexmatch(B278,""e(.*)$""),regexextract(B278,""e(.*)$""),"""")"),"")</f>
        <v/>
      </c>
    </row>
    <row r="279">
      <c r="A279" s="80" t="s">
        <v>4533</v>
      </c>
      <c r="B279" s="80" t="s">
        <v>5484</v>
      </c>
      <c r="C279" s="80" t="s">
        <v>4421</v>
      </c>
      <c r="D279" s="18" t="str">
        <f t="shared" si="1"/>
        <v>J T^-1</v>
      </c>
      <c r="E279" s="60" t="str">
        <f>VLOOKUP($A279,nist_names_ids!A:B,2,false)</f>
        <v>muhp</v>
      </c>
      <c r="F279" s="61">
        <f>countif(Constants!A:A,E279)</f>
        <v>1</v>
      </c>
      <c r="G279" s="60" t="str">
        <f>IFERROR(__xludf.DUMMYFUNCTION("REGEXREPLACE(substitute(substitute(B279,"" "",""""),""..."",""""),""\(.*\)"","""")"),"-1.074553024e-26")</f>
        <v>-1.074553024e-26</v>
      </c>
      <c r="H279" s="62">
        <f t="shared" si="2"/>
        <v>0</v>
      </c>
      <c r="I279" s="60" t="str">
        <f>IFERROR(__xludf.DUMMYFUNCTION("if(regexmatch($B279,""\(""),CONCATENATE(regexreplace(REGEXREPLACE(substitute(left($B279,find(""("",$B279)-1),"" "",""""),""\d"",""0""),""[-0]*\."",""0.""), REGEXEXTRACT($B279,""\((.*)\)""),TRIM(REGEXEXTRACT($B279,""\)(.*)""))),"""")"),"0.00000000093e-26")</f>
        <v>0.00000000093e-26</v>
      </c>
      <c r="J279" s="62">
        <f t="shared" si="3"/>
        <v>0</v>
      </c>
      <c r="K279" s="62" t="b">
        <f t="shared" si="4"/>
        <v>0</v>
      </c>
      <c r="L279" s="62" t="b">
        <f t="shared" si="5"/>
        <v>0</v>
      </c>
      <c r="M279" s="60" t="str">
        <f>IFERROR(__xludf.DUMMYFUNCTION("if(regexmatch(B279,""e(.*)$""),regexextract(B279,""e(.*)$""),"""")"),"-26")</f>
        <v>-26</v>
      </c>
    </row>
    <row r="280">
      <c r="A280" s="80" t="s">
        <v>4546</v>
      </c>
      <c r="B280" s="80" t="s">
        <v>5485</v>
      </c>
      <c r="C280" s="80"/>
      <c r="D280" s="18" t="str">
        <f t="shared" si="1"/>
        <v/>
      </c>
      <c r="E280" s="60" t="str">
        <f>VLOOKUP($A280,nist_names_ids!A:B,2,false)</f>
        <v>muhpsmub</v>
      </c>
      <c r="F280" s="61">
        <f>countif(Constants!A:A,E280)</f>
        <v>1</v>
      </c>
      <c r="G280" s="60" t="str">
        <f>IFERROR(__xludf.DUMMYFUNCTION("REGEXREPLACE(substitute(substitute(B280,"" "",""""),""..."",""""),""\(.*\)"","""")"),"-1.158671474e-3")</f>
        <v>-1.158671474e-3</v>
      </c>
      <c r="H280" s="62">
        <f t="shared" si="2"/>
        <v>-0.001158671474</v>
      </c>
      <c r="I280" s="60" t="str">
        <f>IFERROR(__xludf.DUMMYFUNCTION("if(regexmatch($B280,""\(""),CONCATENATE(regexreplace(REGEXREPLACE(substitute(left($B280,find(""("",$B280)-1),"" "",""""),""\d"",""0""),""[-0]*\."",""0.""), REGEXEXTRACT($B280,""\((.*)\)""),TRIM(REGEXEXTRACT($B280,""\)(.*)""))),"""")"),"0.00000000014e-3")</f>
        <v>0.00000000014e-3</v>
      </c>
      <c r="J280" s="62">
        <f t="shared" si="3"/>
        <v>0</v>
      </c>
      <c r="K280" s="62" t="b">
        <f t="shared" si="4"/>
        <v>0</v>
      </c>
      <c r="L280" s="62" t="b">
        <f t="shared" si="5"/>
        <v>0</v>
      </c>
      <c r="M280" s="60" t="str">
        <f>IFERROR(__xludf.DUMMYFUNCTION("if(regexmatch(B280,""e(.*)$""),regexextract(B280,""e(.*)$""),"""")"),"-3")</f>
        <v>-3</v>
      </c>
    </row>
    <row r="281">
      <c r="A281" s="80" t="s">
        <v>4557</v>
      </c>
      <c r="B281" s="80" t="s">
        <v>5486</v>
      </c>
      <c r="C281" s="80"/>
      <c r="D281" s="18" t="str">
        <f t="shared" si="1"/>
        <v/>
      </c>
      <c r="E281" s="60" t="str">
        <f>VLOOKUP($A281,nist_names_ids!A:B,2,false)</f>
        <v>muhpsmun</v>
      </c>
      <c r="F281" s="61">
        <f>countif(Constants!A:A,E281)</f>
        <v>1</v>
      </c>
      <c r="G281" s="60" t="str">
        <f>IFERROR(__xludf.DUMMYFUNCTION("REGEXREPLACE(substitute(substitute(B281,"" "",""""),""..."",""""),""\(.*\)"","""")"),"-2.127497723")</f>
        <v>-2.127497723</v>
      </c>
      <c r="H281" s="62">
        <f t="shared" si="2"/>
        <v>-2.127497723</v>
      </c>
      <c r="I281" s="60" t="str">
        <f>IFERROR(__xludf.DUMMYFUNCTION("if(regexmatch($B281,""\(""),CONCATENATE(regexreplace(REGEXREPLACE(substitute(left($B281,find(""("",$B281)-1),"" "",""""),""\d"",""0""),""[-0]*\."",""0.""), REGEXEXTRACT($B281,""\((.*)\)""),TRIM(REGEXEXTRACT($B281,""\)(.*)""))),"""")"),"0.00000000025")</f>
        <v>0.00000000025</v>
      </c>
      <c r="J281" s="62">
        <f t="shared" si="3"/>
        <v>0.00000000025</v>
      </c>
      <c r="K281" s="62" t="b">
        <f t="shared" si="4"/>
        <v>0</v>
      </c>
      <c r="L281" s="62" t="b">
        <f t="shared" si="5"/>
        <v>0</v>
      </c>
      <c r="M281" s="60" t="str">
        <f>IFERROR(__xludf.DUMMYFUNCTION("if(regexmatch(B281,""e(.*)$""),regexextract(B281,""e(.*)$""),"""")"),"")</f>
        <v/>
      </c>
    </row>
    <row r="282">
      <c r="A282" s="80" t="s">
        <v>4569</v>
      </c>
      <c r="B282" s="80" t="s">
        <v>5487</v>
      </c>
      <c r="C282" s="80"/>
      <c r="D282" s="18" t="str">
        <f t="shared" si="1"/>
        <v/>
      </c>
      <c r="E282" s="60" t="str">
        <f>VLOOKUP($A282,nist_names_ids!A:B,2,false)</f>
        <v>muhpsmup</v>
      </c>
      <c r="F282" s="61">
        <f>countif(Constants!A:A,E282)</f>
        <v>1</v>
      </c>
      <c r="G282" s="60" t="str">
        <f>IFERROR(__xludf.DUMMYFUNCTION("REGEXREPLACE(substitute(substitute(B282,"" "",""""),""..."",""""),""\(.*\)"","""")"),"-0.761766562")</f>
        <v>-0.761766562</v>
      </c>
      <c r="H282" s="62">
        <f t="shared" si="2"/>
        <v>-0.761766562</v>
      </c>
      <c r="I282" s="60" t="str">
        <f>IFERROR(__xludf.DUMMYFUNCTION("if(regexmatch($B282,""\(""),CONCATENATE(regexreplace(REGEXREPLACE(substitute(left($B282,find(""("",$B282)-1),"" "",""""),""\d"",""0""),""[-0]*\."",""0.""), REGEXEXTRACT($B282,""\((.*)\)""),TRIM(REGEXEXTRACT($B282,""\)(.*)""))),"""")"),"0.00000000012")</f>
        <v>0.00000000012</v>
      </c>
      <c r="J282" s="62">
        <f t="shared" si="3"/>
        <v>0.00000000012</v>
      </c>
      <c r="K282" s="62" t="b">
        <f t="shared" si="4"/>
        <v>0</v>
      </c>
      <c r="L282" s="62" t="b">
        <f t="shared" si="5"/>
        <v>0</v>
      </c>
      <c r="M282" s="60" t="str">
        <f>IFERROR(__xludf.DUMMYFUNCTION("if(regexmatch(B282,""e(.*)$""),regexextract(B282,""e(.*)$""),"""")"),"")</f>
        <v/>
      </c>
    </row>
    <row r="283">
      <c r="A283" s="80" t="s">
        <v>4577</v>
      </c>
      <c r="B283" s="80" t="s">
        <v>5343</v>
      </c>
      <c r="C283" s="80"/>
      <c r="D283" s="18" t="str">
        <f t="shared" si="1"/>
        <v/>
      </c>
      <c r="E283" s="60" t="str">
        <f>VLOOKUP($A283,nist_names_ids!A:B,2,false)</f>
        <v>muhpsmupp</v>
      </c>
      <c r="F283" s="61">
        <f>countif(Constants!A:A,E283)</f>
        <v>1</v>
      </c>
      <c r="G283" s="60" t="str">
        <f>IFERROR(__xludf.DUMMYFUNCTION("REGEXREPLACE(substitute(substitute(B283,"" "",""""),""..."",""""),""\(.*\)"","""")"),"-0.7617861313")</f>
        <v>-0.7617861313</v>
      </c>
      <c r="H283" s="62">
        <f t="shared" si="2"/>
        <v>-0.7617861313</v>
      </c>
      <c r="I283" s="60" t="str">
        <f>IFERROR(__xludf.DUMMYFUNCTION("if(regexmatch($B283,""\(""),CONCATENATE(regexreplace(REGEXREPLACE(substitute(left($B283,find(""("",$B283)-1),"" "",""""),""\d"",""0""),""[-0]*\."",""0.""), REGEXEXTRACT($B283,""\((.*)\)""),TRIM(REGEXEXTRACT($B283,""\)(.*)""))),"""")"),"0.000000000033")</f>
        <v>0.000000000033</v>
      </c>
      <c r="J283" s="62">
        <f t="shared" si="3"/>
        <v>0</v>
      </c>
      <c r="K283" s="62" t="b">
        <f t="shared" si="4"/>
        <v>0</v>
      </c>
      <c r="L283" s="62" t="b">
        <f t="shared" si="5"/>
        <v>0</v>
      </c>
      <c r="M283" s="60" t="str">
        <f>IFERROR(__xludf.DUMMYFUNCTION("if(regexmatch(B283,""e(.*)$""),regexextract(B283,""e(.*)$""),"""")"),"")</f>
        <v/>
      </c>
    </row>
    <row r="284">
      <c r="A284" s="80" t="s">
        <v>4589</v>
      </c>
      <c r="B284" s="80" t="s">
        <v>5489</v>
      </c>
      <c r="C284" s="80" t="s">
        <v>4596</v>
      </c>
      <c r="D284" s="18" t="str">
        <f t="shared" si="1"/>
        <v>s^-1 T^-1</v>
      </c>
      <c r="E284" s="60" t="str">
        <f>VLOOKUP($A284,nist_names_ids!A:B,2,false)</f>
        <v>gammapp</v>
      </c>
      <c r="F284" s="61">
        <f>countif(Constants!A:A,E284)</f>
        <v>1</v>
      </c>
      <c r="G284" s="60" t="str">
        <f>IFERROR(__xludf.DUMMYFUNCTION("REGEXREPLACE(substitute(substitute(B284,"" "",""""),""..."",""""),""\(.*\)"","""")"),"2.67515333e8")</f>
        <v>2.67515333e8</v>
      </c>
      <c r="H284" s="62">
        <f t="shared" si="2"/>
        <v>267515333</v>
      </c>
      <c r="I284" s="60" t="str">
        <f>IFERROR(__xludf.DUMMYFUNCTION("if(regexmatch($B284,""\(""),CONCATENATE(regexreplace(REGEXREPLACE(substitute(left($B284,find(""("",$B284)-1),"" "",""""),""\d"",""0""),""[-0]*\."",""0.""), REGEXEXTRACT($B284,""\((.*)\)""),TRIM(REGEXEXTRACT($B284,""\)(.*)""))),"""")"),"0.0000000023e8")</f>
        <v>0.0000000023e8</v>
      </c>
      <c r="J284" s="62">
        <f t="shared" si="3"/>
        <v>0.23</v>
      </c>
      <c r="K284" s="62" t="b">
        <f t="shared" si="4"/>
        <v>0</v>
      </c>
      <c r="L284" s="62" t="b">
        <f t="shared" si="5"/>
        <v>0</v>
      </c>
      <c r="M284" s="60" t="str">
        <f>IFERROR(__xludf.DUMMYFUNCTION("if(regexmatch(B284,""e(.*)$""),regexextract(B284,""e(.*)$""),"""")"),"8")</f>
        <v>8</v>
      </c>
    </row>
    <row r="285">
      <c r="A285" s="80" t="s">
        <v>4619</v>
      </c>
      <c r="B285" s="80" t="s">
        <v>5492</v>
      </c>
      <c r="C285" s="80" t="s">
        <v>4602</v>
      </c>
      <c r="D285" s="18" t="str">
        <f t="shared" si="1"/>
        <v>MHz T^-1</v>
      </c>
      <c r="E285" s="60" t="str">
        <f>VLOOKUP($A285,nist_names_ids!A:B,2,false)</f>
        <v>gammappbar</v>
      </c>
      <c r="F285" s="61">
        <f>countif(Constants!A:A,E285)</f>
        <v>1</v>
      </c>
      <c r="G285" s="60" t="str">
        <f>IFERROR(__xludf.DUMMYFUNCTION("REGEXREPLACE(substitute(substitute(B285,"" "",""""),""..."",""""),""\(.*\)"","""")"),"42.5763875")</f>
        <v>42.5763875</v>
      </c>
      <c r="H285" s="62">
        <f t="shared" si="2"/>
        <v>42.5763875</v>
      </c>
      <c r="I285" s="60" t="str">
        <f>IFERROR(__xludf.DUMMYFUNCTION("if(regexmatch($B285,""\(""),CONCATENATE(regexreplace(REGEXREPLACE(substitute(left($B285,find(""("",$B285)-1),"" "",""""),""\d"",""0""),""[-0]*\."",""0.""), REGEXEXTRACT($B285,""\((.*)\)""),TRIM(REGEXEXTRACT($B285,""\)(.*)""))),"""")"),"0.000000037")</f>
        <v>0.000000037</v>
      </c>
      <c r="J285" s="62">
        <f t="shared" si="3"/>
        <v>0.000000037</v>
      </c>
      <c r="K285" s="62" t="b">
        <f t="shared" si="4"/>
        <v>0</v>
      </c>
      <c r="L285" s="62" t="b">
        <f t="shared" si="5"/>
        <v>0</v>
      </c>
      <c r="M285" s="60" t="str">
        <f>IFERROR(__xludf.DUMMYFUNCTION("if(regexmatch(B285,""e(.*)$""),regexextract(B285,""e(.*)$""),"""")"),"")</f>
        <v/>
      </c>
    </row>
    <row r="286">
      <c r="A286" s="80" t="s">
        <v>4627</v>
      </c>
      <c r="B286" s="80" t="s">
        <v>5494</v>
      </c>
      <c r="C286" s="80" t="s">
        <v>4421</v>
      </c>
      <c r="D286" s="18" t="str">
        <f t="shared" si="1"/>
        <v>J T^-1</v>
      </c>
      <c r="E286" s="60" t="str">
        <f>VLOOKUP($A286,nist_names_ids!A:B,2,false)</f>
        <v>mupp</v>
      </c>
      <c r="F286" s="61">
        <f>countif(Constants!A:A,E286)</f>
        <v>1</v>
      </c>
      <c r="G286" s="60" t="str">
        <f>IFERROR(__xludf.DUMMYFUNCTION("REGEXREPLACE(substitute(substitute(B286,"" "",""""),""..."",""""),""\(.*\)"","""")"),"1.41057047e-26")</f>
        <v>1.41057047e-26</v>
      </c>
      <c r="H286" s="62">
        <f t="shared" si="2"/>
        <v>0</v>
      </c>
      <c r="I286" s="60" t="str">
        <f>IFERROR(__xludf.DUMMYFUNCTION("if(regexmatch($B286,""\(""),CONCATENATE(regexreplace(REGEXREPLACE(substitute(left($B286,find(""("",$B286)-1),"" "",""""),""\d"",""0""),""[-0]*\."",""0.""), REGEXEXTRACT($B286,""\((.*)\)""),TRIM(REGEXEXTRACT($B286,""\)(.*)""))),"""")"),"0.0000000012e-26")</f>
        <v>0.0000000012e-26</v>
      </c>
      <c r="J286" s="62">
        <f t="shared" si="3"/>
        <v>0</v>
      </c>
      <c r="K286" s="62" t="b">
        <f t="shared" si="4"/>
        <v>0</v>
      </c>
      <c r="L286" s="62" t="b">
        <f t="shared" si="5"/>
        <v>0</v>
      </c>
      <c r="M286" s="60" t="str">
        <f>IFERROR(__xludf.DUMMYFUNCTION("if(regexmatch(B286,""e(.*)$""),regexextract(B286,""e(.*)$""),"""")"),"-26")</f>
        <v>-26</v>
      </c>
    </row>
    <row r="287">
      <c r="A287" s="80" t="s">
        <v>4638</v>
      </c>
      <c r="B287" s="80" t="s">
        <v>5500</v>
      </c>
      <c r="C287" s="80"/>
      <c r="D287" s="18" t="str">
        <f t="shared" si="1"/>
        <v/>
      </c>
      <c r="E287" s="60" t="str">
        <f>VLOOKUP($A287,nist_names_ids!A:B,2,false)</f>
        <v>muppsmub</v>
      </c>
      <c r="F287" s="61">
        <f>countif(Constants!A:A,E287)</f>
        <v>1</v>
      </c>
      <c r="G287" s="60" t="str">
        <f>IFERROR(__xludf.DUMMYFUNCTION("REGEXREPLACE(substitute(substitute(B287,"" "",""""),""..."",""""),""\(.*\)"","""")"),"1.520993132e-3")</f>
        <v>1.520993132e-3</v>
      </c>
      <c r="H287" s="62">
        <f t="shared" si="2"/>
        <v>0.001520993132</v>
      </c>
      <c r="I287" s="60" t="str">
        <f>IFERROR(__xludf.DUMMYFUNCTION("if(regexmatch($B287,""\(""),CONCATENATE(regexreplace(REGEXREPLACE(substitute(left($B287,find(""("",$B287)-1),"" "",""""),""\d"",""0""),""[-0]*\."",""0.""), REGEXEXTRACT($B287,""\((.*)\)""),TRIM(REGEXEXTRACT($B287,""\)(.*)""))),"""")"),"0.00000000016e-3")</f>
        <v>0.00000000016e-3</v>
      </c>
      <c r="J287" s="62">
        <f t="shared" si="3"/>
        <v>0</v>
      </c>
      <c r="K287" s="62" t="b">
        <f t="shared" si="4"/>
        <v>0</v>
      </c>
      <c r="L287" s="62" t="b">
        <f t="shared" si="5"/>
        <v>0</v>
      </c>
      <c r="M287" s="60" t="str">
        <f>IFERROR(__xludf.DUMMYFUNCTION("if(regexmatch(B287,""e(.*)$""),regexextract(B287,""e(.*)$""),"""")"),"-3")</f>
        <v>-3</v>
      </c>
    </row>
    <row r="288">
      <c r="A288" s="80" t="s">
        <v>4647</v>
      </c>
      <c r="B288" s="80" t="s">
        <v>5502</v>
      </c>
      <c r="C288" s="80"/>
      <c r="D288" s="18" t="str">
        <f t="shared" si="1"/>
        <v/>
      </c>
      <c r="E288" s="60" t="str">
        <f>VLOOKUP($A288,nist_names_ids!A:B,2,false)</f>
        <v>muppsmun</v>
      </c>
      <c r="F288" s="61">
        <f>countif(Constants!A:A,E288)</f>
        <v>1</v>
      </c>
      <c r="G288" s="60" t="str">
        <f>IFERROR(__xludf.DUMMYFUNCTION("REGEXREPLACE(substitute(substitute(B288,"" "",""""),""..."",""""),""\(.*\)"","""")"),"2.792775604")</f>
        <v>2.792775604</v>
      </c>
      <c r="H288" s="62">
        <f t="shared" si="2"/>
        <v>2.792775604</v>
      </c>
      <c r="I288" s="60" t="str">
        <f>IFERROR(__xludf.DUMMYFUNCTION("if(regexmatch($B288,""\(""),CONCATENATE(regexreplace(REGEXREPLACE(substitute(left($B288,find(""("",$B288)-1),"" "",""""),""\d"",""0""),""[-0]*\."",""0.""), REGEXEXTRACT($B288,""\((.*)\)""),TRIM(REGEXEXTRACT($B288,""\)(.*)""))),"""")"),"0.00000000030")</f>
        <v>0.00000000030</v>
      </c>
      <c r="J288" s="62">
        <f t="shared" si="3"/>
        <v>0.0000000003</v>
      </c>
      <c r="K288" s="62" t="b">
        <f t="shared" si="4"/>
        <v>0</v>
      </c>
      <c r="L288" s="62" t="b">
        <f t="shared" si="5"/>
        <v>0</v>
      </c>
      <c r="M288" s="60" t="str">
        <f>IFERROR(__xludf.DUMMYFUNCTION("if(regexmatch(B288,""e(.*)$""),regexextract(B288,""e(.*)$""),"""")"),"")</f>
        <v/>
      </c>
    </row>
    <row r="289">
      <c r="A289" s="80" t="s">
        <v>2877</v>
      </c>
      <c r="B289" s="80" t="s">
        <v>2145</v>
      </c>
      <c r="C289" s="80" t="s">
        <v>4447</v>
      </c>
      <c r="D289" s="18" t="str">
        <f t="shared" si="1"/>
        <v>m s^-1</v>
      </c>
      <c r="E289" s="60" t="str">
        <f>VLOOKUP($A289,nist_names_ids!A:B,2,false)</f>
        <v>c</v>
      </c>
      <c r="F289" s="61">
        <f>countif(Constants!A:A,E289)</f>
        <v>1</v>
      </c>
      <c r="G289" s="60" t="str">
        <f>IFERROR(__xludf.DUMMYFUNCTION("REGEXREPLACE(substitute(substitute(B289,"" "",""""),""..."",""""),""\(.*\)"","""")"),"299792458")</f>
        <v>299792458</v>
      </c>
      <c r="H289" s="62">
        <f t="shared" si="2"/>
        <v>299792458</v>
      </c>
      <c r="I289" s="60" t="str">
        <f>IFERROR(__xludf.DUMMYFUNCTION("if(regexmatch($B289,""\(""),CONCATENATE(regexreplace(REGEXREPLACE(substitute(left($B289,find(""("",$B289)-1),"" "",""""),""\d"",""0""),""[-0]*\."",""0.""), REGEXEXTRACT($B289,""\((.*)\)""),TRIM(REGEXEXTRACT($B289,""\)(.*)""))),"""")"),"")</f>
        <v/>
      </c>
      <c r="J289" s="62" t="str">
        <f t="shared" si="3"/>
        <v/>
      </c>
      <c r="K289" s="62" t="b">
        <f t="shared" si="4"/>
        <v>0</v>
      </c>
      <c r="L289" s="62" t="b">
        <f t="shared" si="5"/>
        <v>0</v>
      </c>
      <c r="M289" s="60" t="str">
        <f>IFERROR(__xludf.DUMMYFUNCTION("if(regexmatch(B289,""e(.*)$""),regexextract(B289,""e(.*)$""),"""")"),"")</f>
        <v/>
      </c>
    </row>
    <row r="290">
      <c r="A290" s="80" t="s">
        <v>2880</v>
      </c>
      <c r="B290" s="80" t="s">
        <v>2881</v>
      </c>
      <c r="C290" s="80" t="s">
        <v>5358</v>
      </c>
      <c r="D290" s="18" t="str">
        <f t="shared" si="1"/>
        <v>m s^-2</v>
      </c>
      <c r="E290" s="60" t="str">
        <f>VLOOKUP($A290,nist_names_ids!A:B,2,false)</f>
        <v>gn</v>
      </c>
      <c r="F290" s="61">
        <f>countif(Constants!A:A,E290)</f>
        <v>1</v>
      </c>
      <c r="G290" s="60" t="str">
        <f>IFERROR(__xludf.DUMMYFUNCTION("REGEXREPLACE(substitute(substitute(B290,"" "",""""),""..."",""""),""\(.*\)"","""")"),"9.80665")</f>
        <v>9.80665</v>
      </c>
      <c r="H290" s="62">
        <f t="shared" si="2"/>
        <v>9.80665</v>
      </c>
      <c r="I290" s="60" t="str">
        <f>IFERROR(__xludf.DUMMYFUNCTION("if(regexmatch($B290,""\(""),CONCATENATE(regexreplace(REGEXREPLACE(substitute(left($B290,find(""("",$B290)-1),"" "",""""),""\d"",""0""),""[-0]*\."",""0.""), REGEXEXTRACT($B290,""\((.*)\)""),TRIM(REGEXEXTRACT($B290,""\)(.*)""))),"""")"),"")</f>
        <v/>
      </c>
      <c r="J290" s="62" t="str">
        <f t="shared" si="3"/>
        <v/>
      </c>
      <c r="K290" s="62" t="b">
        <f t="shared" si="4"/>
        <v>0</v>
      </c>
      <c r="L290" s="62" t="b">
        <f t="shared" si="5"/>
        <v>0</v>
      </c>
      <c r="M290" s="60" t="str">
        <f>IFERROR(__xludf.DUMMYFUNCTION("if(regexmatch(B290,""e(.*)$""),regexextract(B290,""e(.*)$""),"""")"),"")</f>
        <v/>
      </c>
    </row>
    <row r="291">
      <c r="A291" s="80" t="s">
        <v>2886</v>
      </c>
      <c r="B291" s="80" t="s">
        <v>2887</v>
      </c>
      <c r="C291" s="80" t="s">
        <v>512</v>
      </c>
      <c r="D291" s="18" t="str">
        <f t="shared" si="1"/>
        <v>Pa</v>
      </c>
      <c r="E291" s="60" t="str">
        <f>VLOOKUP($A291,nist_names_ids!A:B,2,false)</f>
        <v>stdatm</v>
      </c>
      <c r="F291" s="61">
        <f>countif(Constants!A:A,E291)</f>
        <v>1</v>
      </c>
      <c r="G291" s="60" t="str">
        <f>IFERROR(__xludf.DUMMYFUNCTION("REGEXREPLACE(substitute(substitute(B291,"" "",""""),""..."",""""),""\(.*\)"","""")"),"101325")</f>
        <v>101325</v>
      </c>
      <c r="H291" s="62">
        <f t="shared" si="2"/>
        <v>101325</v>
      </c>
      <c r="I291" s="60" t="str">
        <f>IFERROR(__xludf.DUMMYFUNCTION("if(regexmatch($B291,""\(""),CONCATENATE(regexreplace(REGEXREPLACE(substitute(left($B291,find(""("",$B291)-1),"" "",""""),""\d"",""0""),""[-0]*\."",""0.""), REGEXEXTRACT($B291,""\((.*)\)""),TRIM(REGEXEXTRACT($B291,""\)(.*)""))),"""")"),"")</f>
        <v/>
      </c>
      <c r="J291" s="62" t="str">
        <f t="shared" si="3"/>
        <v/>
      </c>
      <c r="K291" s="62" t="b">
        <f t="shared" si="4"/>
        <v>0</v>
      </c>
      <c r="L291" s="62" t="b">
        <f t="shared" si="5"/>
        <v>0</v>
      </c>
      <c r="M291" s="60" t="str">
        <f>IFERROR(__xludf.DUMMYFUNCTION("if(regexmatch(B291,""e(.*)$""),regexextract(B291,""e(.*)$""),"""")"),"")</f>
        <v/>
      </c>
    </row>
    <row r="292">
      <c r="A292" s="80" t="s">
        <v>2890</v>
      </c>
      <c r="B292" s="80" t="s">
        <v>5359</v>
      </c>
      <c r="C292" s="80" t="s">
        <v>5360</v>
      </c>
      <c r="D292" s="18" t="str">
        <f t="shared" si="1"/>
        <v>W m^-2 K^-4</v>
      </c>
      <c r="E292" s="60" t="str">
        <f>VLOOKUP($A292,nist_names_ids!A:B,2,false)</f>
        <v>sigma</v>
      </c>
      <c r="F292" s="61">
        <f>countif(Constants!A:A,E292)</f>
        <v>1</v>
      </c>
      <c r="G292" s="60" t="str">
        <f>IFERROR(__xludf.DUMMYFUNCTION("REGEXREPLACE(substitute(substitute(B292,"" "",""""),""..."",""""),""\(.*\)"","""")"),"5.670400e-8")</f>
        <v>5.670400e-8</v>
      </c>
      <c r="H292" s="62">
        <f t="shared" si="2"/>
        <v>0.000000056704</v>
      </c>
      <c r="I292" s="60" t="str">
        <f>IFERROR(__xludf.DUMMYFUNCTION("if(regexmatch($B292,""\(""),CONCATENATE(regexreplace(REGEXREPLACE(substitute(left($B292,find(""("",$B292)-1),"" "",""""),""\d"",""0""),""[-0]*\."",""0.""), REGEXEXTRACT($B292,""\((.*)\)""),TRIM(REGEXEXTRACT($B292,""\)(.*)""))),"""")"),"0.00000040e-8")</f>
        <v>0.00000040e-8</v>
      </c>
      <c r="J292" s="62">
        <f t="shared" si="3"/>
        <v>0</v>
      </c>
      <c r="K292" s="62" t="b">
        <f t="shared" si="4"/>
        <v>0</v>
      </c>
      <c r="L292" s="62" t="b">
        <f t="shared" si="5"/>
        <v>0</v>
      </c>
      <c r="M292" s="60" t="str">
        <f>IFERROR(__xludf.DUMMYFUNCTION("if(regexmatch(B292,""e(.*)$""),regexextract(B292,""e(.*)$""),"""")"),"-8")</f>
        <v>-8</v>
      </c>
    </row>
    <row r="293">
      <c r="A293" s="80" t="s">
        <v>2896</v>
      </c>
      <c r="B293" s="80" t="s">
        <v>5362</v>
      </c>
      <c r="C293" s="80" t="s">
        <v>381</v>
      </c>
      <c r="D293" s="18" t="str">
        <f t="shared" si="1"/>
        <v>m</v>
      </c>
      <c r="E293" s="60" t="str">
        <f>VLOOKUP($A293,nist_names_ids!A:B,2,false)</f>
        <v>tcomwl</v>
      </c>
      <c r="F293" s="61">
        <f>countif(Constants!A:A,E293)</f>
        <v>1</v>
      </c>
      <c r="G293" s="60" t="str">
        <f>IFERROR(__xludf.DUMMYFUNCTION("REGEXREPLACE(substitute(substitute(B293,"" "",""""),""..."",""""),""\(.*\)"","""")"),"0.69772e-15")</f>
        <v>0.69772e-15</v>
      </c>
      <c r="H293" s="62">
        <f t="shared" si="2"/>
        <v>0</v>
      </c>
      <c r="I293" s="60" t="str">
        <f>IFERROR(__xludf.DUMMYFUNCTION("if(regexmatch($B293,""\(""),CONCATENATE(regexreplace(REGEXREPLACE(substitute(left($B293,find(""("",$B293)-1),"" "",""""),""\d"",""0""),""[-0]*\."",""0.""), REGEXEXTRACT($B293,""\((.*)\)""),TRIM(REGEXEXTRACT($B293,""\)(.*)""))),"""")"),"0.0000011e-15")</f>
        <v>0.0000011e-15</v>
      </c>
      <c r="J293" s="62">
        <f t="shared" si="3"/>
        <v>0</v>
      </c>
      <c r="K293" s="62" t="b">
        <f t="shared" si="4"/>
        <v>0</v>
      </c>
      <c r="L293" s="62" t="b">
        <f t="shared" si="5"/>
        <v>0</v>
      </c>
      <c r="M293" s="60" t="str">
        <f>IFERROR(__xludf.DUMMYFUNCTION("if(regexmatch(B293,""e(.*)$""),regexextract(B293,""e(.*)$""),"""")"),"-15")</f>
        <v>-15</v>
      </c>
    </row>
    <row r="294">
      <c r="A294" s="80" t="s">
        <v>4186</v>
      </c>
      <c r="B294" s="80" t="s">
        <v>5365</v>
      </c>
      <c r="C294" s="80" t="s">
        <v>381</v>
      </c>
      <c r="D294" s="18" t="str">
        <f t="shared" si="1"/>
        <v>m</v>
      </c>
      <c r="E294" s="60" t="str">
        <f>VLOOKUP($A294,nist_names_ids!A:B,2,false)</f>
        <v>tcomwlbar</v>
      </c>
      <c r="F294" s="61">
        <f>countif(Constants!A:A,E294)</f>
        <v>1</v>
      </c>
      <c r="G294" s="60" t="str">
        <f>IFERROR(__xludf.DUMMYFUNCTION("REGEXREPLACE(substitute(substitute(B294,"" "",""""),""..."",""""),""\(.*\)"","""")"),"0.111046e-15")</f>
        <v>0.111046e-15</v>
      </c>
      <c r="H294" s="62">
        <f t="shared" si="2"/>
        <v>0</v>
      </c>
      <c r="I294" s="60" t="str">
        <f>IFERROR(__xludf.DUMMYFUNCTION("if(regexmatch($B294,""\(""),CONCATENATE(regexreplace(REGEXREPLACE(substitute(left($B294,find(""("",$B294)-1),"" "",""""),""\d"",""0""),""[-0]*\."",""0.""), REGEXEXTRACT($B294,""\((.*)\)""),TRIM(REGEXEXTRACT($B294,""\)(.*)""))),"""")"),"0.00000018e-15")</f>
        <v>0.00000018e-15</v>
      </c>
      <c r="J294" s="62">
        <f t="shared" si="3"/>
        <v>0</v>
      </c>
      <c r="K294" s="62" t="b">
        <f t="shared" si="4"/>
        <v>0</v>
      </c>
      <c r="L294" s="62" t="b">
        <f t="shared" si="5"/>
        <v>0</v>
      </c>
      <c r="M294" s="60" t="str">
        <f>IFERROR(__xludf.DUMMYFUNCTION("if(regexmatch(B294,""e(.*)$""),regexextract(B294,""e(.*)$""),"""")"),"-15")</f>
        <v>-15</v>
      </c>
    </row>
    <row r="295">
      <c r="A295" s="80" t="s">
        <v>2906</v>
      </c>
      <c r="B295" s="80" t="s">
        <v>5368</v>
      </c>
      <c r="C295" s="80" t="s">
        <v>224</v>
      </c>
      <c r="D295" s="18" t="str">
        <f t="shared" si="1"/>
        <v>MeV</v>
      </c>
      <c r="E295" s="60" t="str">
        <f>VLOOKUP($A295,nist_names_ids!A:B,2,false)</f>
        <v>mtauc2mev</v>
      </c>
      <c r="F295" s="61">
        <f>countif(Constants!A:A,E295)</f>
        <v>1</v>
      </c>
      <c r="G295" s="60" t="str">
        <f>IFERROR(__xludf.DUMMYFUNCTION("REGEXREPLACE(substitute(substitute(B295,"" "",""""),""..."",""""),""\(.*\)"","""")"),"1776.99")</f>
        <v>1776.99</v>
      </c>
      <c r="H295" s="62">
        <f t="shared" si="2"/>
        <v>1776.99</v>
      </c>
      <c r="I295" s="60" t="str">
        <f>IFERROR(__xludf.DUMMYFUNCTION("if(regexmatch($B295,""\(""),CONCATENATE(regexreplace(REGEXREPLACE(substitute(left($B295,find(""("",$B295)-1),"" "",""""),""\d"",""0""),""[-0]*\."",""0.""), REGEXEXTRACT($B295,""\((.*)\)""),TRIM(REGEXEXTRACT($B295,""\)(.*)""))),"""")"),"0.0029")</f>
        <v>0.0029</v>
      </c>
      <c r="J295" s="62">
        <f t="shared" si="3"/>
        <v>0.0029</v>
      </c>
      <c r="K295" s="62" t="b">
        <f t="shared" si="4"/>
        <v>0</v>
      </c>
      <c r="L295" s="62" t="b">
        <f t="shared" si="5"/>
        <v>0</v>
      </c>
      <c r="M295" s="60" t="str">
        <f>IFERROR(__xludf.DUMMYFUNCTION("if(regexmatch(B295,""e(.*)$""),regexextract(B295,""e(.*)$""),"""")"),"")</f>
        <v/>
      </c>
    </row>
    <row r="296">
      <c r="A296" s="80" t="s">
        <v>2910</v>
      </c>
      <c r="B296" s="80" t="s">
        <v>5371</v>
      </c>
      <c r="C296" s="80" t="s">
        <v>98</v>
      </c>
      <c r="D296" s="18" t="str">
        <f t="shared" si="1"/>
        <v>kg</v>
      </c>
      <c r="E296" s="60" t="str">
        <f>VLOOKUP($A296,nist_names_ids!A:B,2,false)</f>
        <v>mtau</v>
      </c>
      <c r="F296" s="61">
        <f>countif(Constants!A:A,E296)</f>
        <v>1</v>
      </c>
      <c r="G296" s="60" t="str">
        <f>IFERROR(__xludf.DUMMYFUNCTION("REGEXREPLACE(substitute(substitute(B296,"" "",""""),""..."",""""),""\(.*\)"","""")"),"3.16777e-27")</f>
        <v>3.16777e-27</v>
      </c>
      <c r="H296" s="62">
        <f t="shared" si="2"/>
        <v>0</v>
      </c>
      <c r="I296" s="60" t="str">
        <f>IFERROR(__xludf.DUMMYFUNCTION("if(regexmatch($B296,""\(""),CONCATENATE(regexreplace(REGEXREPLACE(substitute(left($B296,find(""("",$B296)-1),"" "",""""),""\d"",""0""),""[-0]*\."",""0.""), REGEXEXTRACT($B296,""\((.*)\)""),TRIM(REGEXEXTRACT($B296,""\)(.*)""))),"""")"),"0.0000052e-27")</f>
        <v>0.0000052e-27</v>
      </c>
      <c r="J296" s="62">
        <f t="shared" si="3"/>
        <v>0</v>
      </c>
      <c r="K296" s="62" t="b">
        <f t="shared" si="4"/>
        <v>0</v>
      </c>
      <c r="L296" s="62" t="b">
        <f t="shared" si="5"/>
        <v>0</v>
      </c>
      <c r="M296" s="60" t="str">
        <f>IFERROR(__xludf.DUMMYFUNCTION("if(regexmatch(B296,""e(.*)$""),regexextract(B296,""e(.*)$""),"""")"),"-27")</f>
        <v>-27</v>
      </c>
    </row>
    <row r="297">
      <c r="A297" s="80" t="s">
        <v>2915</v>
      </c>
      <c r="B297" s="80" t="s">
        <v>5374</v>
      </c>
      <c r="C297" s="80" t="s">
        <v>173</v>
      </c>
      <c r="D297" s="18" t="str">
        <f t="shared" si="1"/>
        <v>J</v>
      </c>
      <c r="E297" s="60" t="str">
        <f>VLOOKUP($A297,nist_names_ids!A:B,2,false)</f>
        <v>mtauc2</v>
      </c>
      <c r="F297" s="61">
        <f>countif(Constants!A:A,E297)</f>
        <v>1</v>
      </c>
      <c r="G297" s="60" t="str">
        <f>IFERROR(__xludf.DUMMYFUNCTION("REGEXREPLACE(substitute(substitute(B297,"" "",""""),""..."",""""),""\(.*\)"","""")"),"2.84705e-10")</f>
        <v>2.84705e-10</v>
      </c>
      <c r="H297" s="62">
        <f t="shared" si="2"/>
        <v>0.000000000284705</v>
      </c>
      <c r="I297" s="60" t="str">
        <f>IFERROR(__xludf.DUMMYFUNCTION("if(regexmatch($B297,""\(""),CONCATENATE(regexreplace(REGEXREPLACE(substitute(left($B297,find(""("",$B297)-1),"" "",""""),""\d"",""0""),""[-0]*\."",""0.""), REGEXEXTRACT($B297,""\((.*)\)""),TRIM(REGEXEXTRACT($B297,""\)(.*)""))),"""")"),"0.0000046e-10")</f>
        <v>0.0000046e-10</v>
      </c>
      <c r="J297" s="62">
        <f t="shared" si="3"/>
        <v>0</v>
      </c>
      <c r="K297" s="62" t="b">
        <f t="shared" si="4"/>
        <v>0</v>
      </c>
      <c r="L297" s="62" t="b">
        <f t="shared" si="5"/>
        <v>0</v>
      </c>
      <c r="M297" s="60" t="str">
        <f>IFERROR(__xludf.DUMMYFUNCTION("if(regexmatch(B297,""e(.*)$""),regexextract(B297,""e(.*)$""),"""")"),"-10")</f>
        <v>-10</v>
      </c>
    </row>
    <row r="298">
      <c r="A298" s="80" t="s">
        <v>2920</v>
      </c>
      <c r="B298" s="80" t="s">
        <v>5377</v>
      </c>
      <c r="C298" s="80" t="s">
        <v>249</v>
      </c>
      <c r="D298" s="18" t="str">
        <f t="shared" si="1"/>
        <v>u</v>
      </c>
      <c r="E298" s="60" t="str">
        <f>VLOOKUP($A298,nist_names_ids!A:B,2,false)</f>
        <v>mtauu</v>
      </c>
      <c r="F298" s="61">
        <f>countif(Constants!A:A,E298)</f>
        <v>1</v>
      </c>
      <c r="G298" s="60" t="str">
        <f>IFERROR(__xludf.DUMMYFUNCTION("REGEXREPLACE(substitute(substitute(B298,"" "",""""),""..."",""""),""\(.*\)"","""")"),"1.90768")</f>
        <v>1.90768</v>
      </c>
      <c r="H298" s="62">
        <f t="shared" si="2"/>
        <v>1.90768</v>
      </c>
      <c r="I298" s="60" t="str">
        <f>IFERROR(__xludf.DUMMYFUNCTION("if(regexmatch($B298,""\(""),CONCATENATE(regexreplace(REGEXREPLACE(substitute(left($B298,find(""("",$B298)-1),"" "",""""),""\d"",""0""),""[-0]*\."",""0.""), REGEXEXTRACT($B298,""\((.*)\)""),TRIM(REGEXEXTRACT($B298,""\)(.*)""))),"""")"),"0.0000031")</f>
        <v>0.0000031</v>
      </c>
      <c r="J298" s="62">
        <f t="shared" si="3"/>
        <v>0.0000031</v>
      </c>
      <c r="K298" s="62" t="b">
        <f t="shared" si="4"/>
        <v>0</v>
      </c>
      <c r="L298" s="62" t="b">
        <f t="shared" si="5"/>
        <v>0</v>
      </c>
      <c r="M298" s="60" t="str">
        <f>IFERROR(__xludf.DUMMYFUNCTION("if(regexmatch(B298,""e(.*)$""),regexextract(B298,""e(.*)$""),"""")"),"")</f>
        <v/>
      </c>
    </row>
    <row r="299">
      <c r="A299" s="80" t="s">
        <v>2928</v>
      </c>
      <c r="B299" s="80" t="s">
        <v>5379</v>
      </c>
      <c r="C299" s="80" t="s">
        <v>4309</v>
      </c>
      <c r="D299" s="18" t="str">
        <f t="shared" si="1"/>
        <v>kg mol^-1</v>
      </c>
      <c r="E299" s="60" t="str">
        <f>VLOOKUP($A299,nist_names_ids!A:B,2,false)</f>
        <v>mmtau</v>
      </c>
      <c r="F299" s="61">
        <f>countif(Constants!A:A,E299)</f>
        <v>1</v>
      </c>
      <c r="G299" s="60" t="str">
        <f>IFERROR(__xludf.DUMMYFUNCTION("REGEXREPLACE(substitute(substitute(B299,"" "",""""),""..."",""""),""\(.*\)"","""")"),"1.90768e-3")</f>
        <v>1.90768e-3</v>
      </c>
      <c r="H299" s="62">
        <f t="shared" si="2"/>
        <v>0.00190768</v>
      </c>
      <c r="I299" s="60" t="str">
        <f>IFERROR(__xludf.DUMMYFUNCTION("if(regexmatch($B299,""\(""),CONCATENATE(regexreplace(REGEXREPLACE(substitute(left($B299,find(""("",$B299)-1),"" "",""""),""\d"",""0""),""[-0]*\."",""0.""), REGEXEXTRACT($B299,""\((.*)\)""),TRIM(REGEXEXTRACT($B299,""\)(.*)""))),"""")"),"0.0000031e-3")</f>
        <v>0.0000031e-3</v>
      </c>
      <c r="J299" s="62">
        <f t="shared" si="3"/>
        <v>0.0000000031</v>
      </c>
      <c r="K299" s="62" t="b">
        <f t="shared" si="4"/>
        <v>0</v>
      </c>
      <c r="L299" s="62" t="b">
        <f t="shared" si="5"/>
        <v>0</v>
      </c>
      <c r="M299" s="60" t="str">
        <f>IFERROR(__xludf.DUMMYFUNCTION("if(regexmatch(B299,""e(.*)$""),regexextract(B299,""e(.*)$""),"""")"),"-3")</f>
        <v>-3</v>
      </c>
    </row>
    <row r="300">
      <c r="A300" s="80" t="s">
        <v>2901</v>
      </c>
      <c r="B300" s="80" t="s">
        <v>5382</v>
      </c>
      <c r="C300" s="80"/>
      <c r="D300" s="18" t="str">
        <f t="shared" si="1"/>
        <v/>
      </c>
      <c r="E300" s="60" t="str">
        <f>VLOOKUP($A300,nist_names_ids!A:B,2,false)</f>
        <v>mtausme</v>
      </c>
      <c r="F300" s="61">
        <f>countif(Constants!A:A,E300)</f>
        <v>1</v>
      </c>
      <c r="G300" s="60" t="str">
        <f>IFERROR(__xludf.DUMMYFUNCTION("REGEXREPLACE(substitute(substitute(B300,"" "",""""),""..."",""""),""\(.*\)"","""")"),"3477.48")</f>
        <v>3477.48</v>
      </c>
      <c r="H300" s="62">
        <f t="shared" si="2"/>
        <v>3477.48</v>
      </c>
      <c r="I300" s="60" t="str">
        <f>IFERROR(__xludf.DUMMYFUNCTION("if(regexmatch($B300,""\(""),CONCATENATE(regexreplace(REGEXREPLACE(substitute(left($B300,find(""("",$B300)-1),"" "",""""),""\d"",""0""),""[-0]*\."",""0.""), REGEXEXTRACT($B300,""\((.*)\)""),TRIM(REGEXEXTRACT($B300,""\)(.*)""))),"""")"),"0.0057")</f>
        <v>0.0057</v>
      </c>
      <c r="J300" s="62">
        <f t="shared" si="3"/>
        <v>0.0057</v>
      </c>
      <c r="K300" s="62" t="b">
        <f t="shared" si="4"/>
        <v>0</v>
      </c>
      <c r="L300" s="62" t="b">
        <f t="shared" si="5"/>
        <v>0</v>
      </c>
      <c r="M300" s="60" t="str">
        <f>IFERROR(__xludf.DUMMYFUNCTION("if(regexmatch(B300,""e(.*)$""),regexextract(B300,""e(.*)$""),"""")"),"")</f>
        <v/>
      </c>
    </row>
    <row r="301">
      <c r="A301" s="80" t="s">
        <v>2931</v>
      </c>
      <c r="B301" s="80" t="s">
        <v>5387</v>
      </c>
      <c r="C301" s="80"/>
      <c r="D301" s="18" t="str">
        <f t="shared" si="1"/>
        <v/>
      </c>
      <c r="E301" s="60" t="str">
        <f>VLOOKUP($A301,nist_names_ids!A:B,2,false)</f>
        <v>mtausmmu</v>
      </c>
      <c r="F301" s="61">
        <f>countif(Constants!A:A,E301)</f>
        <v>1</v>
      </c>
      <c r="G301" s="60" t="str">
        <f>IFERROR(__xludf.DUMMYFUNCTION("REGEXREPLACE(substitute(substitute(B301,"" "",""""),""..."",""""),""\(.*\)"","""")"),"16.8183")</f>
        <v>16.8183</v>
      </c>
      <c r="H301" s="62">
        <f t="shared" si="2"/>
        <v>16.8183</v>
      </c>
      <c r="I301" s="60" t="str">
        <f>IFERROR(__xludf.DUMMYFUNCTION("if(regexmatch($B301,""\(""),CONCATENATE(regexreplace(REGEXREPLACE(substitute(left($B301,find(""("",$B301)-1),"" "",""""),""\d"",""0""),""[-0]*\."",""0.""), REGEXEXTRACT($B301,""\((.*)\)""),TRIM(REGEXEXTRACT($B301,""\)(.*)""))),"""")"),"0.000027")</f>
        <v>0.000027</v>
      </c>
      <c r="J301" s="62">
        <f t="shared" si="3"/>
        <v>0.000027</v>
      </c>
      <c r="K301" s="62" t="b">
        <f t="shared" si="4"/>
        <v>0</v>
      </c>
      <c r="L301" s="62" t="b">
        <f t="shared" si="5"/>
        <v>0</v>
      </c>
      <c r="M301" s="60" t="str">
        <f>IFERROR(__xludf.DUMMYFUNCTION("if(regexmatch(B301,""e(.*)$""),regexextract(B301,""e(.*)$""),"""")"),"")</f>
        <v/>
      </c>
    </row>
    <row r="302">
      <c r="A302" s="80" t="s">
        <v>2935</v>
      </c>
      <c r="B302" s="80" t="s">
        <v>5389</v>
      </c>
      <c r="C302" s="80"/>
      <c r="D302" s="18" t="str">
        <f t="shared" si="1"/>
        <v/>
      </c>
      <c r="E302" s="60" t="str">
        <f>VLOOKUP($A302,nist_names_ids!A:B,2,false)</f>
        <v>mtausmn</v>
      </c>
      <c r="F302" s="61">
        <f>countif(Constants!A:A,E302)</f>
        <v>1</v>
      </c>
      <c r="G302" s="60" t="str">
        <f>IFERROR(__xludf.DUMMYFUNCTION("REGEXREPLACE(substitute(substitute(B302,"" "",""""),""..."",""""),""\(.*\)"","""")"),"1.89129")</f>
        <v>1.89129</v>
      </c>
      <c r="H302" s="62">
        <f t="shared" si="2"/>
        <v>1.89129</v>
      </c>
      <c r="I302" s="60" t="str">
        <f>IFERROR(__xludf.DUMMYFUNCTION("if(regexmatch($B302,""\(""),CONCATENATE(regexreplace(REGEXREPLACE(substitute(left($B302,find(""("",$B302)-1),"" "",""""),""\d"",""0""),""[-0]*\."",""0.""), REGEXEXTRACT($B302,""\((.*)\)""),TRIM(REGEXEXTRACT($B302,""\)(.*)""))),"""")"),"0.0000031")</f>
        <v>0.0000031</v>
      </c>
      <c r="J302" s="62">
        <f t="shared" si="3"/>
        <v>0.0000031</v>
      </c>
      <c r="K302" s="62" t="b">
        <f t="shared" si="4"/>
        <v>0</v>
      </c>
      <c r="L302" s="62" t="b">
        <f t="shared" si="5"/>
        <v>0</v>
      </c>
      <c r="M302" s="60" t="str">
        <f>IFERROR(__xludf.DUMMYFUNCTION("if(regexmatch(B302,""e(.*)$""),regexextract(B302,""e(.*)$""),"""")"),"")</f>
        <v/>
      </c>
    </row>
    <row r="303">
      <c r="A303" s="80" t="s">
        <v>2941</v>
      </c>
      <c r="B303" s="80" t="s">
        <v>5392</v>
      </c>
      <c r="C303" s="80"/>
      <c r="D303" s="18" t="str">
        <f t="shared" si="1"/>
        <v/>
      </c>
      <c r="E303" s="60" t="str">
        <f>VLOOKUP($A303,nist_names_ids!A:B,2,false)</f>
        <v>mtausmp</v>
      </c>
      <c r="F303" s="61">
        <f>countif(Constants!A:A,E303)</f>
        <v>1</v>
      </c>
      <c r="G303" s="60" t="str">
        <f>IFERROR(__xludf.DUMMYFUNCTION("REGEXREPLACE(substitute(substitute(B303,"" "",""""),""..."",""""),""\(.*\)"","""")"),"1.89390")</f>
        <v>1.89390</v>
      </c>
      <c r="H303" s="62">
        <f t="shared" si="2"/>
        <v>1.8939</v>
      </c>
      <c r="I303" s="60" t="str">
        <f>IFERROR(__xludf.DUMMYFUNCTION("if(regexmatch($B303,""\(""),CONCATENATE(regexreplace(REGEXREPLACE(substitute(left($B303,find(""("",$B303)-1),"" "",""""),""\d"",""0""),""[-0]*\."",""0.""), REGEXEXTRACT($B303,""\((.*)\)""),TRIM(REGEXEXTRACT($B303,""\)(.*)""))),"""")"),"0.0000031")</f>
        <v>0.0000031</v>
      </c>
      <c r="J303" s="62">
        <f t="shared" si="3"/>
        <v>0.0000031</v>
      </c>
      <c r="K303" s="62" t="b">
        <f t="shared" si="4"/>
        <v>0</v>
      </c>
      <c r="L303" s="62" t="b">
        <f t="shared" si="5"/>
        <v>0</v>
      </c>
      <c r="M303" s="60" t="str">
        <f>IFERROR(__xludf.DUMMYFUNCTION("if(regexmatch(B303,""e(.*)$""),regexextract(B303,""e(.*)$""),"""")"),"")</f>
        <v/>
      </c>
    </row>
    <row r="304">
      <c r="A304" s="80" t="s">
        <v>2943</v>
      </c>
      <c r="B304" s="80" t="s">
        <v>5519</v>
      </c>
      <c r="C304" s="80" t="s">
        <v>2946</v>
      </c>
      <c r="D304" s="18" t="str">
        <f t="shared" si="1"/>
        <v>m^2</v>
      </c>
      <c r="E304" s="60" t="str">
        <f>VLOOKUP($A304,nist_names_ids!A:B,2,false)</f>
        <v>sigmae</v>
      </c>
      <c r="F304" s="61">
        <f>countif(Constants!A:A,E304)</f>
        <v>1</v>
      </c>
      <c r="G304" s="60" t="str">
        <f>IFERROR(__xludf.DUMMYFUNCTION("REGEXREPLACE(substitute(substitute(B304,"" "",""""),""..."",""""),""\(.*\)"","""")"),"0.665245873e-28")</f>
        <v>0.665245873e-28</v>
      </c>
      <c r="H304" s="62">
        <f t="shared" si="2"/>
        <v>0</v>
      </c>
      <c r="I304" s="60" t="str">
        <f>IFERROR(__xludf.DUMMYFUNCTION("if(regexmatch($B304,""\(""),CONCATENATE(regexreplace(REGEXREPLACE(substitute(left($B304,find(""("",$B304)-1),"" "",""""),""\d"",""0""),""[-0]*\."",""0.""), REGEXEXTRACT($B304,""\((.*)\)""),TRIM(REGEXEXTRACT($B304,""\)(.*)""))),"""")"),"0.00000000013e-28")</f>
        <v>0.00000000013e-28</v>
      </c>
      <c r="J304" s="62">
        <f t="shared" si="3"/>
        <v>0</v>
      </c>
      <c r="K304" s="62" t="b">
        <f t="shared" si="4"/>
        <v>0</v>
      </c>
      <c r="L304" s="62" t="b">
        <f t="shared" si="5"/>
        <v>0</v>
      </c>
      <c r="M304" s="60" t="str">
        <f>IFERROR(__xludf.DUMMYFUNCTION("if(regexmatch(B304,""e(.*)$""),regexextract(B304,""e(.*)$""),"""")"),"-28")</f>
        <v>-28</v>
      </c>
    </row>
    <row r="305">
      <c r="A305" s="80" t="s">
        <v>3004</v>
      </c>
      <c r="B305" s="80" t="s">
        <v>4891</v>
      </c>
      <c r="C305" s="80" t="s">
        <v>98</v>
      </c>
      <c r="D305" s="18" t="str">
        <f t="shared" si="1"/>
        <v>kg</v>
      </c>
      <c r="E305" s="60" t="str">
        <f>VLOOKUP($A305,nist_names_ids!A:B,2,false)</f>
        <v>ukg</v>
      </c>
      <c r="F305" s="61">
        <f>countif(Constants!A:A,E305)</f>
        <v>1</v>
      </c>
      <c r="G305" s="60" t="str">
        <f>IFERROR(__xludf.DUMMYFUNCTION("REGEXREPLACE(substitute(substitute(B305,"" "",""""),""..."",""""),""\(.*\)"","""")"),"1.66053886e-27")</f>
        <v>1.66053886e-27</v>
      </c>
      <c r="H305" s="62">
        <f t="shared" si="2"/>
        <v>0</v>
      </c>
      <c r="I305" s="60" t="str">
        <f>IFERROR(__xludf.DUMMYFUNCTION("if(regexmatch($B305,""\(""),CONCATENATE(regexreplace(REGEXREPLACE(substitute(left($B305,find(""("",$B305)-1),"" "",""""),""\d"",""0""),""[-0]*\."",""0.""), REGEXEXTRACT($B305,""\((.*)\)""),TRIM(REGEXEXTRACT($B305,""\)(.*)""))),"""")"),"0.0000000028e-27")</f>
        <v>0.0000000028e-27</v>
      </c>
      <c r="J305" s="62">
        <f t="shared" si="3"/>
        <v>0</v>
      </c>
      <c r="K305" s="62" t="b">
        <f t="shared" si="4"/>
        <v>0</v>
      </c>
      <c r="L305" s="62" t="b">
        <f t="shared" si="5"/>
        <v>0</v>
      </c>
      <c r="M305" s="60" t="str">
        <f>IFERROR(__xludf.DUMMYFUNCTION("if(regexmatch(B305,""e(.*)$""),regexextract(B305,""e(.*)$""),"""")"),"-27")</f>
        <v>-27</v>
      </c>
    </row>
    <row r="306">
      <c r="A306" s="80" t="s">
        <v>3012</v>
      </c>
      <c r="B306" s="80" t="s">
        <v>5521</v>
      </c>
      <c r="C306" s="80" t="s">
        <v>506</v>
      </c>
      <c r="D306" s="18" t="str">
        <f t="shared" si="1"/>
        <v>Ohm</v>
      </c>
      <c r="E306" s="60" t="str">
        <f>VLOOKUP($A306,nist_names_ids!A:B,2,false)</f>
        <v>rk</v>
      </c>
      <c r="F306" s="61">
        <f>countif(Constants!A:A,E306)</f>
        <v>1</v>
      </c>
      <c r="G306" s="60" t="str">
        <f>IFERROR(__xludf.DUMMYFUNCTION("REGEXREPLACE(substitute(substitute(B306,"" "",""""),""..."",""""),""\(.*\)"","""")"),"25812.807449")</f>
        <v>25812.807449</v>
      </c>
      <c r="H306" s="62">
        <f t="shared" si="2"/>
        <v>25812.80745</v>
      </c>
      <c r="I306" s="60" t="str">
        <f>IFERROR(__xludf.DUMMYFUNCTION("if(regexmatch($B306,""\(""),CONCATENATE(regexreplace(REGEXREPLACE(substitute(left($B306,find(""("",$B306)-1),"" "",""""),""\d"",""0""),""[-0]*\."",""0.""), REGEXEXTRACT($B306,""\((.*)\)""),TRIM(REGEXEXTRACT($B306,""\)(.*)""))),"""")"),"0.00000086")</f>
        <v>0.00000086</v>
      </c>
      <c r="J306" s="62">
        <f t="shared" si="3"/>
        <v>0.00000086</v>
      </c>
      <c r="K306" s="62" t="b">
        <f t="shared" si="4"/>
        <v>0</v>
      </c>
      <c r="L306" s="62" t="b">
        <f t="shared" si="5"/>
        <v>0</v>
      </c>
      <c r="M306" s="60" t="str">
        <f>IFERROR(__xludf.DUMMYFUNCTION("if(regexmatch(B306,""e(.*)$""),regexextract(B306,""e(.*)$""),"""")"),"")</f>
        <v/>
      </c>
    </row>
    <row r="307">
      <c r="A307" s="80" t="s">
        <v>3014</v>
      </c>
      <c r="B307" s="80" t="s">
        <v>5523</v>
      </c>
      <c r="C307" s="80"/>
      <c r="D307" s="18" t="str">
        <f t="shared" si="1"/>
        <v/>
      </c>
      <c r="E307" s="60" t="str">
        <f>VLOOKUP($A307,nist_names_ids!A:B,2,false)</f>
        <v>sin2th</v>
      </c>
      <c r="F307" s="61">
        <f>countif(Constants!A:A,E307)</f>
        <v>1</v>
      </c>
      <c r="G307" s="60" t="str">
        <f>IFERROR(__xludf.DUMMYFUNCTION("REGEXREPLACE(substitute(substitute(B307,"" "",""""),""..."",""""),""\(.*\)"","""")"),"0.22215")</f>
        <v>0.22215</v>
      </c>
      <c r="H307" s="62">
        <f t="shared" si="2"/>
        <v>0.22215</v>
      </c>
      <c r="I307" s="60" t="str">
        <f>IFERROR(__xludf.DUMMYFUNCTION("if(regexmatch($B307,""\(""),CONCATENATE(regexreplace(REGEXREPLACE(substitute(left($B307,find(""("",$B307)-1),"" "",""""),""\d"",""0""),""[-0]*\."",""0.""), REGEXEXTRACT($B307,""\((.*)\)""),TRIM(REGEXEXTRACT($B307,""\)(.*)""))),"""")"),"0.0000076")</f>
        <v>0.0000076</v>
      </c>
      <c r="J307" s="62">
        <f t="shared" si="3"/>
        <v>0.0000076</v>
      </c>
      <c r="K307" s="62" t="b">
        <f t="shared" si="4"/>
        <v>0</v>
      </c>
      <c r="L307" s="62" t="b">
        <f t="shared" si="5"/>
        <v>0</v>
      </c>
      <c r="M307" s="60" t="str">
        <f>IFERROR(__xludf.DUMMYFUNCTION("if(regexmatch(B307,""e(.*)$""),regexextract(B307,""e(.*)$""),"""")"),"")</f>
        <v/>
      </c>
    </row>
    <row r="308">
      <c r="A308" s="80" t="s">
        <v>4872</v>
      </c>
      <c r="B308" s="80" t="s">
        <v>5525</v>
      </c>
      <c r="C308" s="80" t="s">
        <v>2800</v>
      </c>
      <c r="D308" s="18" t="str">
        <f t="shared" si="1"/>
        <v>m K</v>
      </c>
      <c r="E308" s="60" t="str">
        <f>VLOOKUP($A308,nist_names_ids!A:B,2,false)</f>
        <v>bwien</v>
      </c>
      <c r="F308" s="61">
        <f>countif(Constants!A:A,E308)</f>
        <v>1</v>
      </c>
      <c r="G308" s="60" t="str">
        <f>IFERROR(__xludf.DUMMYFUNCTION("REGEXREPLACE(substitute(substitute(B308,"" "",""""),""..."",""""),""\(.*\)"","""")"),"2.8977686e-3")</f>
        <v>2.8977686e-3</v>
      </c>
      <c r="H308" s="62">
        <f t="shared" si="2"/>
        <v>0.0028977686</v>
      </c>
      <c r="I308" s="60" t="str">
        <f>IFERROR(__xludf.DUMMYFUNCTION("if(regexmatch($B308,""\(""),CONCATENATE(regexreplace(REGEXREPLACE(substitute(left($B308,find(""("",$B308)-1),"" "",""""),""\d"",""0""),""[-0]*\."",""0.""), REGEXEXTRACT($B308,""\((.*)\)""),TRIM(REGEXEXTRACT($B308,""\)(.*)""))),"""")"),"0.000000051e-3")</f>
        <v>0.000000051e-3</v>
      </c>
      <c r="J308" s="62">
        <f t="shared" si="3"/>
        <v>0</v>
      </c>
      <c r="K308" s="62" t="b">
        <f t="shared" si="4"/>
        <v>0</v>
      </c>
      <c r="L308" s="62" t="b">
        <f t="shared" si="5"/>
        <v>0</v>
      </c>
      <c r="M308" s="60" t="str">
        <f>IFERROR(__xludf.DUMMYFUNCTION("if(regexmatch(B308,""e(.*)$""),regexextract(B308,""e(.*)$""),"""")"),"-3")</f>
        <v>-3</v>
      </c>
    </row>
  </sheetData>
  <conditionalFormatting sqref="F1:F308">
    <cfRule type="cellIs" dxfId="3" priority="1" operator="equal">
      <formula>0</formula>
    </cfRule>
  </conditionalFormatting>
  <conditionalFormatting sqref="E1:E308">
    <cfRule type="expression" dxfId="0" priority="2">
      <formula>iserror(E1)</formula>
    </cfRule>
  </conditionalFormatting>
  <conditionalFormatting sqref="E1:E308">
    <cfRule type="expression" dxfId="0" priority="3">
      <formula>countif(E:E,E1)&gt;1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13"/>
    <col customWidth="1" min="2" max="2" width="21.63"/>
    <col customWidth="1" min="3" max="3" width="14.38"/>
    <col customWidth="1" min="5" max="5" width="12.5"/>
    <col customWidth="1" min="6" max="6" width="8.88"/>
    <col customWidth="1" min="7" max="7" width="16.88"/>
    <col customWidth="1" min="8" max="8" width="18.0"/>
    <col customWidth="1" min="9" max="9" width="18.75"/>
    <col customWidth="1" min="10" max="10" width="17.5"/>
    <col customWidth="1" min="11" max="11" width="7.63"/>
    <col customWidth="1" min="12" max="12" width="10.88"/>
    <col customWidth="1" min="13" max="13" width="8.38"/>
  </cols>
  <sheetData>
    <row r="1">
      <c r="A1" s="79" t="s">
        <v>1</v>
      </c>
      <c r="B1" s="79" t="s">
        <v>1406</v>
      </c>
      <c r="C1" s="79" t="s">
        <v>21</v>
      </c>
      <c r="D1" s="7" t="s">
        <v>1408</v>
      </c>
      <c r="E1" s="58" t="s">
        <v>0</v>
      </c>
      <c r="F1" s="10" t="s">
        <v>1409</v>
      </c>
      <c r="G1" s="58" t="s">
        <v>1410</v>
      </c>
      <c r="H1" s="58" t="s">
        <v>1412</v>
      </c>
      <c r="I1" s="58" t="s">
        <v>1413</v>
      </c>
      <c r="J1" s="58" t="s">
        <v>1414</v>
      </c>
      <c r="K1" s="58" t="s">
        <v>1415</v>
      </c>
      <c r="L1" s="58" t="s">
        <v>1416</v>
      </c>
      <c r="M1" s="58" t="s">
        <v>1417</v>
      </c>
    </row>
    <row r="2">
      <c r="A2" s="80" t="s">
        <v>96</v>
      </c>
      <c r="B2" s="80" t="s">
        <v>4885</v>
      </c>
      <c r="C2" s="80" t="s">
        <v>98</v>
      </c>
      <c r="D2" s="18" t="str">
        <f t="shared" ref="D2:D304" si="1">SUBSTITUTE(SUBSTITUTE(C2,"{",""),"}","")</f>
        <v>kg</v>
      </c>
      <c r="E2" s="60" t="str">
        <f>VLOOKUP($A2,nist_names_ids!A:B,2,false)</f>
        <v>mal</v>
      </c>
      <c r="F2" s="61">
        <f>countif(Constants!A:A,E2)</f>
        <v>1</v>
      </c>
      <c r="G2" s="60" t="str">
        <f>IFERROR(__xludf.DUMMYFUNCTION("REGEXREPLACE(substitute(substitute(B2,"" "",""""),""..."",""""),""\(.*\)"","""")"),"6.64465598e-27")</f>
        <v>6.64465598e-27</v>
      </c>
      <c r="H2" s="62">
        <f t="shared" ref="H2:H304" si="2">value(G2)</f>
        <v>0</v>
      </c>
      <c r="I2" s="60" t="str">
        <f>IFERROR(__xludf.DUMMYFUNCTION("if(regexmatch($B2,""\(""),CONCATENATE(regexreplace(REGEXREPLACE(substitute(left($B2,find(""("",$B2)-1),"" "",""""),""\d"",""0""),""[-0]*\."",""0.""), REGEXEXTRACT($B2,""\((.*)\)""),TRIM(REGEXEXTRACT($B2,""\)(.*)""))),"""")"),"0.0000000052e-27")</f>
        <v>0.0000000052e-27</v>
      </c>
      <c r="J2" s="62">
        <f t="shared" ref="J2:J304" si="3">if(LEN(I2),value(I2),"")</f>
        <v>0</v>
      </c>
      <c r="K2" s="62" t="b">
        <f t="shared" ref="K2:K304" si="4">if(I2="(exact)", TRUE,FALSE)</f>
        <v>0</v>
      </c>
      <c r="L2" s="62" t="b">
        <f t="shared" ref="L2:L304" si="5">ISNUMBER(search("...",B2))</f>
        <v>0</v>
      </c>
      <c r="M2" s="60" t="str">
        <f>IFERROR(__xludf.DUMMYFUNCTION("if(regexmatch(B2,""e(.*)$""),regexextract(B2,""e(.*)$""),"""")"),"-27")</f>
        <v>-27</v>
      </c>
    </row>
    <row r="3">
      <c r="A3" s="80" t="s">
        <v>176</v>
      </c>
      <c r="B3" s="80" t="s">
        <v>4897</v>
      </c>
      <c r="C3" s="80" t="s">
        <v>173</v>
      </c>
      <c r="D3" s="18" t="str">
        <f t="shared" si="1"/>
        <v>J</v>
      </c>
      <c r="E3" s="60" t="str">
        <f>VLOOKUP($A3,nist_names_ids!A:B,2,false)</f>
        <v>malc2</v>
      </c>
      <c r="F3" s="61">
        <f>countif(Constants!A:A,E3)</f>
        <v>1</v>
      </c>
      <c r="G3" s="60" t="str">
        <f>IFERROR(__xludf.DUMMYFUNCTION("REGEXREPLACE(substitute(substitute(B3,"" "",""""),""..."",""""),""\(.*\)"","""")"),"5.97191897e-10")</f>
        <v>5.97191897e-10</v>
      </c>
      <c r="H3" s="62">
        <f t="shared" si="2"/>
        <v>0.000000000597191897</v>
      </c>
      <c r="I3" s="60" t="str">
        <f>IFERROR(__xludf.DUMMYFUNCTION("if(regexmatch($B3,""\(""),CONCATENATE(regexreplace(REGEXREPLACE(substitute(left($B3,find(""("",$B3)-1),"" "",""""),""\d"",""0""),""[-0]*\."",""0.""), REGEXEXTRACT($B3,""\((.*)\)""),TRIM(REGEXEXTRACT($B3,""\)(.*)""))),"""")"),"0.0000000047e-10")</f>
        <v>0.0000000047e-10</v>
      </c>
      <c r="J3" s="62">
        <f t="shared" si="3"/>
        <v>0</v>
      </c>
      <c r="K3" s="62" t="b">
        <f t="shared" si="4"/>
        <v>0</v>
      </c>
      <c r="L3" s="62" t="b">
        <f t="shared" si="5"/>
        <v>0</v>
      </c>
      <c r="M3" s="60" t="str">
        <f>IFERROR(__xludf.DUMMYFUNCTION("if(regexmatch(B3,""e(.*)$""),regexextract(B3,""e(.*)$""),"""")"),"-10")</f>
        <v>-10</v>
      </c>
    </row>
    <row r="4">
      <c r="A4" s="80" t="s">
        <v>222</v>
      </c>
      <c r="B4" s="80" t="s">
        <v>4899</v>
      </c>
      <c r="C4" s="80" t="s">
        <v>224</v>
      </c>
      <c r="D4" s="18" t="str">
        <f t="shared" si="1"/>
        <v>MeV</v>
      </c>
      <c r="E4" s="60" t="str">
        <f>VLOOKUP($A4,nist_names_ids!A:B,2,false)</f>
        <v>malc2mev</v>
      </c>
      <c r="F4" s="61">
        <f>countif(Constants!A:A,E4)</f>
        <v>1</v>
      </c>
      <c r="G4" s="60" t="str">
        <f>IFERROR(__xludf.DUMMYFUNCTION("REGEXREPLACE(substitute(substitute(B4,"" "",""""),""..."",""""),""\(.*\)"","""")"),"3727.37904")</f>
        <v>3727.37904</v>
      </c>
      <c r="H4" s="62">
        <f t="shared" si="2"/>
        <v>3727.37904</v>
      </c>
      <c r="I4" s="60" t="str">
        <f>IFERROR(__xludf.DUMMYFUNCTION("if(regexmatch($B4,""\(""),CONCATENATE(regexreplace(REGEXREPLACE(substitute(left($B4,find(""("",$B4)-1),"" "",""""),""\d"",""0""),""[-0]*\."",""0.""), REGEXEXTRACT($B4,""\((.*)\)""),TRIM(REGEXEXTRACT($B4,""\)(.*)""))),"""")"),"0.0000015")</f>
        <v>0.0000015</v>
      </c>
      <c r="J4" s="62">
        <f t="shared" si="3"/>
        <v>0.0000015</v>
      </c>
      <c r="K4" s="62" t="b">
        <f t="shared" si="4"/>
        <v>0</v>
      </c>
      <c r="L4" s="62" t="b">
        <f t="shared" si="5"/>
        <v>0</v>
      </c>
      <c r="M4" s="60" t="str">
        <f>IFERROR(__xludf.DUMMYFUNCTION("if(regexmatch(B4,""e(.*)$""),regexextract(B4,""e(.*)$""),"""")"),"")</f>
        <v/>
      </c>
    </row>
    <row r="5">
      <c r="A5" s="80" t="s">
        <v>245</v>
      </c>
      <c r="B5" s="80" t="s">
        <v>4906</v>
      </c>
      <c r="C5" s="80" t="s">
        <v>249</v>
      </c>
      <c r="D5" s="18" t="str">
        <f t="shared" si="1"/>
        <v>u</v>
      </c>
      <c r="E5" s="60" t="str">
        <f>VLOOKUP($A5,nist_names_ids!A:B,2,false)</f>
        <v>malu</v>
      </c>
      <c r="F5" s="61">
        <f>countif(Constants!A:A,E5)</f>
        <v>1</v>
      </c>
      <c r="G5" s="60" t="str">
        <f>IFERROR(__xludf.DUMMYFUNCTION("REGEXREPLACE(substitute(substitute(B5,"" "",""""),""..."",""""),""\(.*\)"","""")"),"4.0015061747")</f>
        <v>4.0015061747</v>
      </c>
      <c r="H5" s="62">
        <f t="shared" si="2"/>
        <v>4.001506175</v>
      </c>
      <c r="I5" s="60" t="str">
        <f>IFERROR(__xludf.DUMMYFUNCTION("if(regexmatch($B5,""\(""),CONCATENATE(regexreplace(REGEXREPLACE(substitute(left($B5,find(""("",$B5)-1),"" "",""""),""\d"",""0""),""[-0]*\."",""0.""), REGEXEXTRACT($B5,""\((.*)\)""),TRIM(REGEXEXTRACT($B5,""\)(.*)""))),"""")"),"0.000000000010")</f>
        <v>0.000000000010</v>
      </c>
      <c r="J5" s="62">
        <f t="shared" si="3"/>
        <v>0</v>
      </c>
      <c r="K5" s="62" t="b">
        <f t="shared" si="4"/>
        <v>0</v>
      </c>
      <c r="L5" s="62" t="b">
        <f t="shared" si="5"/>
        <v>0</v>
      </c>
      <c r="M5" s="60" t="str">
        <f>IFERROR(__xludf.DUMMYFUNCTION("if(regexmatch(B5,""e(.*)$""),regexextract(B5,""e(.*)$""),"""")"),"")</f>
        <v/>
      </c>
    </row>
    <row r="6">
      <c r="A6" s="80" t="s">
        <v>284</v>
      </c>
      <c r="B6" s="80" t="s">
        <v>4909</v>
      </c>
      <c r="C6" s="80" t="s">
        <v>4309</v>
      </c>
      <c r="D6" s="18" t="str">
        <f t="shared" si="1"/>
        <v>kg mol^-1</v>
      </c>
      <c r="E6" s="60" t="str">
        <f>VLOOKUP($A6,nist_names_ids!A:B,2,false)</f>
        <v>mmal</v>
      </c>
      <c r="F6" s="61">
        <f>countif(Constants!A:A,E6)</f>
        <v>1</v>
      </c>
      <c r="G6" s="60" t="str">
        <f>IFERROR(__xludf.DUMMYFUNCTION("REGEXREPLACE(substitute(substitute(B6,"" "",""""),""..."",""""),""\(.*\)"","""")"),"4.0015061747e-3")</f>
        <v>4.0015061747e-3</v>
      </c>
      <c r="H6" s="62">
        <f t="shared" si="2"/>
        <v>0.004001506175</v>
      </c>
      <c r="I6" s="60" t="str">
        <f>IFERROR(__xludf.DUMMYFUNCTION("if(regexmatch($B6,""\(""),CONCATENATE(regexreplace(REGEXREPLACE(substitute(left($B6,find(""("",$B6)-1),"" "",""""),""\d"",""0""),""[-0]*\."",""0.""), REGEXEXTRACT($B6,""\((.*)\)""),TRIM(REGEXEXTRACT($B6,""\)(.*)""))),"""")"),"0.000000000010e-3")</f>
        <v>0.000000000010e-3</v>
      </c>
      <c r="J6" s="62">
        <f t="shared" si="3"/>
        <v>0</v>
      </c>
      <c r="K6" s="62" t="b">
        <f t="shared" si="4"/>
        <v>0</v>
      </c>
      <c r="L6" s="62" t="b">
        <f t="shared" si="5"/>
        <v>0</v>
      </c>
      <c r="M6" s="60" t="str">
        <f>IFERROR(__xludf.DUMMYFUNCTION("if(regexmatch(B6,""e(.*)$""),regexextract(B6,""e(.*)$""),"""")"),"-3")</f>
        <v>-3</v>
      </c>
    </row>
    <row r="7">
      <c r="A7" s="80" t="s">
        <v>1153</v>
      </c>
      <c r="B7" s="80" t="s">
        <v>4913</v>
      </c>
      <c r="C7" s="80"/>
      <c r="D7" s="18" t="str">
        <f t="shared" si="1"/>
        <v/>
      </c>
      <c r="E7" s="60" t="str">
        <f>VLOOKUP($A7,nist_names_ids!A:B,2,false)</f>
        <v>malsme</v>
      </c>
      <c r="F7" s="61">
        <f>countif(Constants!A:A,E7)</f>
        <v>1</v>
      </c>
      <c r="G7" s="60" t="str">
        <f>IFERROR(__xludf.DUMMYFUNCTION("REGEXREPLACE(substitute(substitute(B7,"" "",""""),""..."",""""),""\(.*\)"","""")"),"7294.299508")</f>
        <v>7294.299508</v>
      </c>
      <c r="H7" s="62">
        <f t="shared" si="2"/>
        <v>7294.299508</v>
      </c>
      <c r="I7" s="60" t="str">
        <f>IFERROR(__xludf.DUMMYFUNCTION("if(regexmatch($B7,""\(""),CONCATENATE(regexreplace(REGEXREPLACE(substitute(left($B7,find(""("",$B7)-1),"" "",""""),""\d"",""0""),""[-0]*\."",""0.""), REGEXEXTRACT($B7,""\((.*)\)""),TRIM(REGEXEXTRACT($B7,""\)(.*)""))),"""")"),"0.00000016")</f>
        <v>0.00000016</v>
      </c>
      <c r="J7" s="62">
        <f t="shared" si="3"/>
        <v>0.00000016</v>
      </c>
      <c r="K7" s="62" t="b">
        <f t="shared" si="4"/>
        <v>0</v>
      </c>
      <c r="L7" s="62" t="b">
        <f t="shared" si="5"/>
        <v>0</v>
      </c>
      <c r="M7" s="60" t="str">
        <f>IFERROR(__xludf.DUMMYFUNCTION("if(regexmatch(B7,""e(.*)$""),regexextract(B7,""e(.*)$""),"""")"),"")</f>
        <v/>
      </c>
    </row>
    <row r="8">
      <c r="A8" s="80" t="s">
        <v>1171</v>
      </c>
      <c r="B8" s="80" t="s">
        <v>4915</v>
      </c>
      <c r="C8" s="80"/>
      <c r="D8" s="18" t="str">
        <f t="shared" si="1"/>
        <v/>
      </c>
      <c r="E8" s="60" t="str">
        <f>VLOOKUP($A8,nist_names_ids!A:B,2,false)</f>
        <v>malsmp</v>
      </c>
      <c r="F8" s="61">
        <f>countif(Constants!A:A,E8)</f>
        <v>1</v>
      </c>
      <c r="G8" s="60" t="str">
        <f>IFERROR(__xludf.DUMMYFUNCTION("REGEXREPLACE(substitute(substitute(B8,"" "",""""),""..."",""""),""\(.*\)"","""")"),"3.9725996846")</f>
        <v>3.9725996846</v>
      </c>
      <c r="H8" s="62">
        <f t="shared" si="2"/>
        <v>3.972599685</v>
      </c>
      <c r="I8" s="60" t="str">
        <f>IFERROR(__xludf.DUMMYFUNCTION("if(regexmatch($B8,""\(""),CONCATENATE(regexreplace(REGEXREPLACE(substitute(left($B8,find(""("",$B8)-1),"" "",""""),""\d"",""0""),""[-0]*\."",""0.""), REGEXEXTRACT($B8,""\((.*)\)""),TRIM(REGEXEXTRACT($B8,""\)(.*)""))),"""")"),"0.000000000011")</f>
        <v>0.000000000011</v>
      </c>
      <c r="J8" s="62">
        <f t="shared" si="3"/>
        <v>0</v>
      </c>
      <c r="K8" s="62" t="b">
        <f t="shared" si="4"/>
        <v>0</v>
      </c>
      <c r="L8" s="62" t="b">
        <f t="shared" si="5"/>
        <v>0</v>
      </c>
      <c r="M8" s="60" t="str">
        <f>IFERROR(__xludf.DUMMYFUNCTION("if(regexmatch(B8,""e(.*)$""),regexextract(B8,""e(.*)$""),"""")"),"")</f>
        <v/>
      </c>
    </row>
    <row r="9">
      <c r="A9" s="80" t="s">
        <v>399</v>
      </c>
      <c r="B9" s="80" t="s">
        <v>4916</v>
      </c>
      <c r="C9" s="80" t="s">
        <v>381</v>
      </c>
      <c r="D9" s="18" t="str">
        <f t="shared" si="1"/>
        <v>m</v>
      </c>
      <c r="E9" s="60" t="str">
        <f>VLOOKUP($A9,nist_names_ids!A:B,2,false)</f>
        <v>angstar</v>
      </c>
      <c r="F9" s="61">
        <f>countif(Constants!A:A,E9)</f>
        <v>1</v>
      </c>
      <c r="G9" s="60" t="str">
        <f>IFERROR(__xludf.DUMMYFUNCTION("REGEXREPLACE(substitute(substitute(B9,"" "",""""),""..."",""""),""\(.*\)"","""")"),"1.00001501e-10")</f>
        <v>1.00001501e-10</v>
      </c>
      <c r="H9" s="62">
        <f t="shared" si="2"/>
        <v>0.000000000100001501</v>
      </c>
      <c r="I9" s="60" t="str">
        <f>IFERROR(__xludf.DUMMYFUNCTION("if(regexmatch($B9,""\(""),CONCATENATE(regexreplace(REGEXREPLACE(substitute(left($B9,find(""("",$B9)-1),"" "",""""),""\d"",""0""),""[-0]*\."",""0.""), REGEXEXTRACT($B9,""\((.*)\)""),TRIM(REGEXEXTRACT($B9,""\)(.*)""))),"""")"),"0.0000000090e-10")</f>
        <v>0.0000000090e-10</v>
      </c>
      <c r="J9" s="62">
        <f t="shared" si="3"/>
        <v>0</v>
      </c>
      <c r="K9" s="62" t="b">
        <f t="shared" si="4"/>
        <v>0</v>
      </c>
      <c r="L9" s="62" t="b">
        <f t="shared" si="5"/>
        <v>0</v>
      </c>
      <c r="M9" s="60" t="str">
        <f>IFERROR(__xludf.DUMMYFUNCTION("if(regexmatch(B9,""e(.*)$""),regexextract(B9,""e(.*)$""),"""")"),"-10")</f>
        <v>-10</v>
      </c>
    </row>
    <row r="10">
      <c r="A10" s="80" t="s">
        <v>431</v>
      </c>
      <c r="B10" s="80" t="s">
        <v>4918</v>
      </c>
      <c r="C10" s="80" t="s">
        <v>98</v>
      </c>
      <c r="D10" s="18" t="str">
        <f t="shared" si="1"/>
        <v>kg</v>
      </c>
      <c r="E10" s="60" t="str">
        <f>VLOOKUP($A10,nist_names_ids!A:B,2,false)</f>
        <v>u</v>
      </c>
      <c r="F10" s="61">
        <f>countif(Constants!A:A,E10)</f>
        <v>1</v>
      </c>
      <c r="G10" s="60" t="str">
        <f>IFERROR(__xludf.DUMMYFUNCTION("REGEXREPLACE(substitute(substitute(B10,"" "",""""),""..."",""""),""\(.*\)"","""")"),"1.66053873e-27")</f>
        <v>1.66053873e-27</v>
      </c>
      <c r="H10" s="62">
        <f t="shared" si="2"/>
        <v>0</v>
      </c>
      <c r="I10" s="60" t="str">
        <f>IFERROR(__xludf.DUMMYFUNCTION("if(regexmatch($B10,""\(""),CONCATENATE(regexreplace(REGEXREPLACE(substitute(left($B10,find(""("",$B10)-1),"" "",""""),""\d"",""0""),""[-0]*\."",""0.""), REGEXEXTRACT($B10,""\((.*)\)""),TRIM(REGEXEXTRACT($B10,""\)(.*)""))),"""")"),"0.0000000013e-27")</f>
        <v>0.0000000013e-27</v>
      </c>
      <c r="J10" s="62">
        <f t="shared" si="3"/>
        <v>0</v>
      </c>
      <c r="K10" s="62" t="b">
        <f t="shared" si="4"/>
        <v>0</v>
      </c>
      <c r="L10" s="62" t="b">
        <f t="shared" si="5"/>
        <v>0</v>
      </c>
      <c r="M10" s="60" t="str">
        <f>IFERROR(__xludf.DUMMYFUNCTION("if(regexmatch(B10,""e(.*)$""),regexextract(B10,""e(.*)$""),"""")"),"-27")</f>
        <v>-27</v>
      </c>
    </row>
    <row r="11">
      <c r="A11" s="80" t="s">
        <v>619</v>
      </c>
      <c r="B11" s="80" t="s">
        <v>4921</v>
      </c>
      <c r="C11" s="80" t="s">
        <v>173</v>
      </c>
      <c r="D11" s="18" t="str">
        <f t="shared" si="1"/>
        <v>J</v>
      </c>
      <c r="E11" s="60" t="str">
        <f>VLOOKUP($A11,nist_names_ids!A:B,2,false)</f>
        <v>uj</v>
      </c>
      <c r="F11" s="61">
        <f>countif(Constants!A:A,E11)</f>
        <v>1</v>
      </c>
      <c r="G11" s="60" t="str">
        <f>IFERROR(__xludf.DUMMYFUNCTION("REGEXREPLACE(substitute(substitute(B11,"" "",""""),""..."",""""),""\(.*\)"","""")"),"1.49241778e-10")</f>
        <v>1.49241778e-10</v>
      </c>
      <c r="H11" s="62">
        <f t="shared" si="2"/>
        <v>0.000000000149241778</v>
      </c>
      <c r="I11" s="60" t="str">
        <f>IFERROR(__xludf.DUMMYFUNCTION("if(regexmatch($B11,""\(""),CONCATENATE(regexreplace(REGEXREPLACE(substitute(left($B11,find(""("",$B11)-1),"" "",""""),""\d"",""0""),""[-0]*\."",""0.""), REGEXEXTRACT($B11,""\((.*)\)""),TRIM(REGEXEXTRACT($B11,""\)(.*)""))),"""")"),"0.0000000012e-10")</f>
        <v>0.0000000012e-10</v>
      </c>
      <c r="J11" s="62">
        <f t="shared" si="3"/>
        <v>0</v>
      </c>
      <c r="K11" s="62" t="b">
        <f t="shared" si="4"/>
        <v>0</v>
      </c>
      <c r="L11" s="62" t="b">
        <f t="shared" si="5"/>
        <v>0</v>
      </c>
      <c r="M11" s="60" t="str">
        <f>IFERROR(__xludf.DUMMYFUNCTION("if(regexmatch(B11,""e(.*)$""),regexextract(B11,""e(.*)$""),"""")"),"-10")</f>
        <v>-10</v>
      </c>
    </row>
    <row r="12">
      <c r="A12" s="80" t="s">
        <v>453</v>
      </c>
      <c r="B12" s="80" t="s">
        <v>4925</v>
      </c>
      <c r="C12" s="80" t="s">
        <v>224</v>
      </c>
      <c r="D12" s="18" t="str">
        <f t="shared" si="1"/>
        <v>MeV</v>
      </c>
      <c r="E12" s="60" t="str">
        <f>VLOOKUP($A12,nist_names_ids!A:B,2,false)</f>
        <v>muc2mev</v>
      </c>
      <c r="F12" s="61">
        <f>countif(Constants!A:A,E12)</f>
        <v>1</v>
      </c>
      <c r="G12" s="60" t="str">
        <f>IFERROR(__xludf.DUMMYFUNCTION("REGEXREPLACE(substitute(substitute(B12,"" "",""""),""..."",""""),""\(.*\)"","""")"),"931.494013")</f>
        <v>931.494013</v>
      </c>
      <c r="H12" s="62">
        <f t="shared" si="2"/>
        <v>931.494013</v>
      </c>
      <c r="I12" s="60" t="str">
        <f>IFERROR(__xludf.DUMMYFUNCTION("if(regexmatch($B12,""\(""),CONCATENATE(regexreplace(REGEXREPLACE(substitute(left($B12,find(""("",$B12)-1),"" "",""""),""\d"",""0""),""[-0]*\."",""0.""), REGEXEXTRACT($B12,""\((.*)\)""),TRIM(REGEXEXTRACT($B12,""\)(.*)""))),"""")"),"0.00000037")</f>
        <v>0.00000037</v>
      </c>
      <c r="J12" s="62">
        <f t="shared" si="3"/>
        <v>0.00000037</v>
      </c>
      <c r="K12" s="62" t="b">
        <f t="shared" si="4"/>
        <v>0</v>
      </c>
      <c r="L12" s="62" t="b">
        <f t="shared" si="5"/>
        <v>0</v>
      </c>
      <c r="M12" s="60" t="str">
        <f>IFERROR(__xludf.DUMMYFUNCTION("if(regexmatch(B12,""e(.*)$""),regexextract(B12,""e(.*)$""),"""")"),"")</f>
        <v/>
      </c>
    </row>
    <row r="13">
      <c r="A13" s="80" t="s">
        <v>1242</v>
      </c>
      <c r="B13" s="80" t="s">
        <v>4927</v>
      </c>
      <c r="C13" s="80" t="s">
        <v>181</v>
      </c>
      <c r="D13" s="18" t="str">
        <f t="shared" si="1"/>
        <v>eV</v>
      </c>
      <c r="E13" s="60" t="str">
        <f>VLOOKUP($A13,nist_names_ids!A:B,2,false)</f>
        <v>uev</v>
      </c>
      <c r="F13" s="61">
        <f>countif(Constants!A:A,E13)</f>
        <v>1</v>
      </c>
      <c r="G13" s="60" t="str">
        <f>IFERROR(__xludf.DUMMYFUNCTION("REGEXREPLACE(substitute(substitute(B13,"" "",""""),""..."",""""),""\(.*\)"","""")"),"931.494013e6")</f>
        <v>931.494013e6</v>
      </c>
      <c r="H13" s="62">
        <f t="shared" si="2"/>
        <v>931494013</v>
      </c>
      <c r="I13" s="60" t="str">
        <f>IFERROR(__xludf.DUMMYFUNCTION("if(regexmatch($B13,""\(""),CONCATENATE(regexreplace(REGEXREPLACE(substitute(left($B13,find(""("",$B13)-1),"" "",""""),""\d"",""0""),""[-0]*\."",""0.""), REGEXEXTRACT($B13,""\((.*)\)""),TRIM(REGEXEXTRACT($B13,""\)(.*)""))),"""")"),"0.00000037e6")</f>
        <v>0.00000037e6</v>
      </c>
      <c r="J13" s="62">
        <f t="shared" si="3"/>
        <v>0.37</v>
      </c>
      <c r="K13" s="62" t="b">
        <f t="shared" si="4"/>
        <v>0</v>
      </c>
      <c r="L13" s="62" t="b">
        <f t="shared" si="5"/>
        <v>0</v>
      </c>
      <c r="M13" s="60" t="str">
        <f>IFERROR(__xludf.DUMMYFUNCTION("if(regexmatch(B13,""e(.*)$""),regexextract(B13,""e(.*)$""),"""")"),"6")</f>
        <v>6</v>
      </c>
    </row>
    <row r="14">
      <c r="A14" s="80" t="s">
        <v>1272</v>
      </c>
      <c r="B14" s="80" t="s">
        <v>4928</v>
      </c>
      <c r="C14" s="80" t="s">
        <v>170</v>
      </c>
      <c r="D14" s="18" t="str">
        <f t="shared" si="1"/>
        <v>E_h</v>
      </c>
      <c r="E14" s="60" t="str">
        <f>VLOOKUP($A14,nist_names_ids!A:B,2,false)</f>
        <v>uhr</v>
      </c>
      <c r="F14" s="61">
        <f>countif(Constants!A:A,E14)</f>
        <v>1</v>
      </c>
      <c r="G14" s="60" t="str">
        <f>IFERROR(__xludf.DUMMYFUNCTION("REGEXREPLACE(substitute(substitute(B14,"" "",""""),""..."",""""),""\(.*\)"","""")"),"3.423177709e7")</f>
        <v>3.423177709e7</v>
      </c>
      <c r="H14" s="62">
        <f t="shared" si="2"/>
        <v>34231777.09</v>
      </c>
      <c r="I14" s="60" t="str">
        <f>IFERROR(__xludf.DUMMYFUNCTION("if(regexmatch($B14,""\(""),CONCATENATE(regexreplace(REGEXREPLACE(substitute(left($B14,find(""("",$B14)-1),"" "",""""),""\d"",""0""),""[-0]*\."",""0.""), REGEXEXTRACT($B14,""\((.*)\)""),TRIM(REGEXEXTRACT($B14,""\)(.*)""))),"""")"),"0.00000000026e7")</f>
        <v>0.00000000026e7</v>
      </c>
      <c r="J14" s="62">
        <f t="shared" si="3"/>
        <v>0.0026</v>
      </c>
      <c r="K14" s="62" t="b">
        <f t="shared" si="4"/>
        <v>0</v>
      </c>
      <c r="L14" s="62" t="b">
        <f t="shared" si="5"/>
        <v>0</v>
      </c>
      <c r="M14" s="60" t="str">
        <f>IFERROR(__xludf.DUMMYFUNCTION("if(regexmatch(B14,""e(.*)$""),regexextract(B14,""e(.*)$""),"""")"),"7")</f>
        <v>7</v>
      </c>
    </row>
    <row r="15">
      <c r="A15" s="80" t="s">
        <v>1288</v>
      </c>
      <c r="B15" s="80" t="s">
        <v>4934</v>
      </c>
      <c r="C15" s="80" t="s">
        <v>257</v>
      </c>
      <c r="D15" s="18" t="str">
        <f t="shared" si="1"/>
        <v>Hz</v>
      </c>
      <c r="E15" s="60" t="str">
        <f>VLOOKUP($A15,nist_names_ids!A:B,2,false)</f>
        <v>uhz</v>
      </c>
      <c r="F15" s="61">
        <f>countif(Constants!A:A,E15)</f>
        <v>1</v>
      </c>
      <c r="G15" s="60" t="str">
        <f>IFERROR(__xludf.DUMMYFUNCTION("REGEXREPLACE(substitute(substitute(B15,"" "",""""),""..."",""""),""\(.*\)"","""")"),"2.252342733e23")</f>
        <v>2.252342733e23</v>
      </c>
      <c r="H15" s="62">
        <f t="shared" si="2"/>
        <v>2.25234E+23</v>
      </c>
      <c r="I15" s="60" t="str">
        <f>IFERROR(__xludf.DUMMYFUNCTION("if(regexmatch($B15,""\(""),CONCATENATE(regexreplace(REGEXREPLACE(substitute(left($B15,find(""("",$B15)-1),"" "",""""),""\d"",""0""),""[-0]*\."",""0.""), REGEXEXTRACT($B15,""\((.*)\)""),TRIM(REGEXEXTRACT($B15,""\)(.*)""))),"""")"),"0.00000000017e23")</f>
        <v>0.00000000017e23</v>
      </c>
      <c r="J15" s="62">
        <f t="shared" si="3"/>
        <v>17000000000000</v>
      </c>
      <c r="K15" s="62" t="b">
        <f t="shared" si="4"/>
        <v>0</v>
      </c>
      <c r="L15" s="62" t="b">
        <f t="shared" si="5"/>
        <v>0</v>
      </c>
      <c r="M15" s="60" t="str">
        <f>IFERROR(__xludf.DUMMYFUNCTION("if(regexmatch(B15,""e(.*)$""),regexextract(B15,""e(.*)$""),"""")"),"23")</f>
        <v>23</v>
      </c>
    </row>
    <row r="16">
      <c r="A16" s="80" t="s">
        <v>1312</v>
      </c>
      <c r="B16" s="80" t="s">
        <v>4937</v>
      </c>
      <c r="C16" s="80" t="s">
        <v>4359</v>
      </c>
      <c r="D16" s="18" t="str">
        <f t="shared" si="1"/>
        <v>m^-1</v>
      </c>
      <c r="E16" s="60" t="str">
        <f>VLOOKUP($A16,nist_names_ids!A:B,2,false)</f>
        <v>uminv</v>
      </c>
      <c r="F16" s="61">
        <f>countif(Constants!A:A,E16)</f>
        <v>1</v>
      </c>
      <c r="G16" s="60" t="str">
        <f>IFERROR(__xludf.DUMMYFUNCTION("REGEXREPLACE(substitute(substitute(B16,"" "",""""),""..."",""""),""\(.*\)"","""")"),"7.513006658e14")</f>
        <v>7.513006658e14</v>
      </c>
      <c r="H16" s="62">
        <f t="shared" si="2"/>
        <v>751300665800000</v>
      </c>
      <c r="I16" s="60" t="str">
        <f>IFERROR(__xludf.DUMMYFUNCTION("if(regexmatch($B16,""\(""),CONCATENATE(regexreplace(REGEXREPLACE(substitute(left($B16,find(""("",$B16)-1),"" "",""""),""\d"",""0""),""[-0]*\."",""0.""), REGEXEXTRACT($B16,""\((.*)\)""),TRIM(REGEXEXTRACT($B16,""\)(.*)""))),"""")"),"0.00000000057e14")</f>
        <v>0.00000000057e14</v>
      </c>
      <c r="J16" s="62">
        <f t="shared" si="3"/>
        <v>57000</v>
      </c>
      <c r="K16" s="62" t="b">
        <f t="shared" si="4"/>
        <v>0</v>
      </c>
      <c r="L16" s="62" t="b">
        <f t="shared" si="5"/>
        <v>0</v>
      </c>
      <c r="M16" s="60" t="str">
        <f>IFERROR(__xludf.DUMMYFUNCTION("if(regexmatch(B16,""e(.*)$""),regexextract(B16,""e(.*)$""),"""")"),"14")</f>
        <v>14</v>
      </c>
    </row>
    <row r="17">
      <c r="A17" s="80" t="s">
        <v>1324</v>
      </c>
      <c r="B17" s="80" t="s">
        <v>4921</v>
      </c>
      <c r="C17" s="80" t="s">
        <v>173</v>
      </c>
      <c r="D17" s="18" t="str">
        <f t="shared" si="1"/>
        <v>J</v>
      </c>
      <c r="E17" s="60" t="str">
        <f>VLOOKUP($A17,nist_names_ids!A:B,2,false)</f>
        <v>Ruj</v>
      </c>
      <c r="F17" s="61">
        <f>countif(Constants!A:A,E17)</f>
        <v>1</v>
      </c>
      <c r="G17" s="60" t="str">
        <f>IFERROR(__xludf.DUMMYFUNCTION("REGEXREPLACE(substitute(substitute(B17,"" "",""""),""..."",""""),""\(.*\)"","""")"),"1.49241778e-10")</f>
        <v>1.49241778e-10</v>
      </c>
      <c r="H17" s="62">
        <f t="shared" si="2"/>
        <v>0.000000000149241778</v>
      </c>
      <c r="I17" s="60" t="str">
        <f>IFERROR(__xludf.DUMMYFUNCTION("if(regexmatch($B17,""\(""),CONCATENATE(regexreplace(REGEXREPLACE(substitute(left($B17,find(""("",$B17)-1),"" "",""""),""\d"",""0""),""[-0]*\."",""0.""), REGEXEXTRACT($B17,""\((.*)\)""),TRIM(REGEXEXTRACT($B17,""\)(.*)""))),"""")"),"0.0000000012e-10")</f>
        <v>0.0000000012e-10</v>
      </c>
      <c r="J17" s="62">
        <f t="shared" si="3"/>
        <v>0</v>
      </c>
      <c r="K17" s="62" t="b">
        <f t="shared" si="4"/>
        <v>0</v>
      </c>
      <c r="L17" s="62" t="b">
        <f t="shared" si="5"/>
        <v>0</v>
      </c>
      <c r="M17" s="60" t="str">
        <f>IFERROR(__xludf.DUMMYFUNCTION("if(regexmatch(B17,""e(.*)$""),regexextract(B17,""e(.*)$""),"""")"),"-10")</f>
        <v>-10</v>
      </c>
    </row>
    <row r="18">
      <c r="A18" s="80" t="s">
        <v>1338</v>
      </c>
      <c r="B18" s="80" t="s">
        <v>4943</v>
      </c>
      <c r="C18" s="80" t="s">
        <v>345</v>
      </c>
      <c r="D18" s="18" t="str">
        <f t="shared" si="1"/>
        <v>K</v>
      </c>
      <c r="E18" s="60" t="str">
        <f>VLOOKUP($A18,nist_names_ids!A:B,2,false)</f>
        <v>uk</v>
      </c>
      <c r="F18" s="61">
        <f>countif(Constants!A:A,E18)</f>
        <v>1</v>
      </c>
      <c r="G18" s="60" t="str">
        <f>IFERROR(__xludf.DUMMYFUNCTION("REGEXREPLACE(substitute(substitute(B18,"" "",""""),""..."",""""),""\(.*\)"","""")"),"1.0809528e13")</f>
        <v>1.0809528e13</v>
      </c>
      <c r="H18" s="62">
        <f t="shared" si="2"/>
        <v>10809528000000</v>
      </c>
      <c r="I18" s="60" t="str">
        <f>IFERROR(__xludf.DUMMYFUNCTION("if(regexmatch($B18,""\(""),CONCATENATE(regexreplace(REGEXREPLACE(substitute(left($B18,find(""("",$B18)-1),"" "",""""),""\d"",""0""),""[-0]*\."",""0.""), REGEXEXTRACT($B18,""\((.*)\)""),TRIM(REGEXEXTRACT($B18,""\)(.*)""))),"""")"),"0.000000019e13")</f>
        <v>0.000000019e13</v>
      </c>
      <c r="J18" s="62">
        <f t="shared" si="3"/>
        <v>190000</v>
      </c>
      <c r="K18" s="62" t="b">
        <f t="shared" si="4"/>
        <v>0</v>
      </c>
      <c r="L18" s="62" t="b">
        <f t="shared" si="5"/>
        <v>0</v>
      </c>
      <c r="M18" s="60" t="str">
        <f>IFERROR(__xludf.DUMMYFUNCTION("if(regexmatch(B18,""e(.*)$""),regexextract(B18,""e(.*)$""),"""")"),"13")</f>
        <v>13</v>
      </c>
    </row>
    <row r="19">
      <c r="A19" s="80" t="s">
        <v>1349</v>
      </c>
      <c r="B19" s="80" t="s">
        <v>4918</v>
      </c>
      <c r="C19" s="80" t="s">
        <v>98</v>
      </c>
      <c r="D19" s="18" t="str">
        <f t="shared" si="1"/>
        <v>kg</v>
      </c>
      <c r="E19" s="60" t="str">
        <f>VLOOKUP($A19,nist_names_ids!A:B,2,false)</f>
        <v>Rukg</v>
      </c>
      <c r="F19" s="61">
        <f>countif(Constants!A:A,E19)</f>
        <v>1</v>
      </c>
      <c r="G19" s="60" t="str">
        <f>IFERROR(__xludf.DUMMYFUNCTION("REGEXREPLACE(substitute(substitute(B19,"" "",""""),""..."",""""),""\(.*\)"","""")"),"1.66053873e-27")</f>
        <v>1.66053873e-27</v>
      </c>
      <c r="H19" s="62">
        <f t="shared" si="2"/>
        <v>0</v>
      </c>
      <c r="I19" s="60" t="str">
        <f>IFERROR(__xludf.DUMMYFUNCTION("if(regexmatch($B19,""\(""),CONCATENATE(regexreplace(REGEXREPLACE(substitute(left($B19,find(""("",$B19)-1),"" "",""""),""\d"",""0""),""[-0]*\."",""0.""), REGEXEXTRACT($B19,""\((.*)\)""),TRIM(REGEXEXTRACT($B19,""\)(.*)""))),"""")"),"0.0000000013e-27")</f>
        <v>0.0000000013e-27</v>
      </c>
      <c r="J19" s="62">
        <f t="shared" si="3"/>
        <v>0</v>
      </c>
      <c r="K19" s="62" t="b">
        <f t="shared" si="4"/>
        <v>0</v>
      </c>
      <c r="L19" s="62" t="b">
        <f t="shared" si="5"/>
        <v>0</v>
      </c>
      <c r="M19" s="60" t="str">
        <f>IFERROR(__xludf.DUMMYFUNCTION("if(regexmatch(B19,""e(.*)$""),regexextract(B19,""e(.*)$""),"""")"),"-27")</f>
        <v>-27</v>
      </c>
    </row>
    <row r="20">
      <c r="A20" s="80" t="s">
        <v>1364</v>
      </c>
      <c r="B20" s="80" t="s">
        <v>4947</v>
      </c>
      <c r="C20" s="80" t="s">
        <v>4376</v>
      </c>
      <c r="D20" s="18" t="str">
        <f t="shared" si="1"/>
        <v>C^3 m^3 J^-2</v>
      </c>
      <c r="E20" s="60" t="str">
        <f>VLOOKUP($A20,nist_names_ids!A:B,2,false)</f>
        <v>auhypol</v>
      </c>
      <c r="F20" s="61">
        <f>countif(Constants!A:A,E20)</f>
        <v>1</v>
      </c>
      <c r="G20" s="60" t="str">
        <f>IFERROR(__xludf.DUMMYFUNCTION("REGEXREPLACE(substitute(substitute(B20,"" "",""""),""..."",""""),""\(.*\)"","""")"),"3.20636157e-53")</f>
        <v>3.20636157e-53</v>
      </c>
      <c r="H20" s="62">
        <f t="shared" si="2"/>
        <v>0</v>
      </c>
      <c r="I20" s="60" t="str">
        <f>IFERROR(__xludf.DUMMYFUNCTION("if(regexmatch($B20,""\(""),CONCATENATE(regexreplace(REGEXREPLACE(substitute(left($B20,find(""("",$B20)-1),"" "",""""),""\d"",""0""),""[-0]*\."",""0.""), REGEXEXTRACT($B20,""\((.*)\)""),TRIM(REGEXEXTRACT($B20,""\)(.*)""))),"""")"),"0.0000000014e-53")</f>
        <v>0.0000000014e-53</v>
      </c>
      <c r="J20" s="62">
        <f t="shared" si="3"/>
        <v>0</v>
      </c>
      <c r="K20" s="62" t="b">
        <f t="shared" si="4"/>
        <v>0</v>
      </c>
      <c r="L20" s="62" t="b">
        <f t="shared" si="5"/>
        <v>0</v>
      </c>
      <c r="M20" s="60" t="str">
        <f>IFERROR(__xludf.DUMMYFUNCTION("if(regexmatch(B20,""e(.*)$""),regexextract(B20,""e(.*)$""),"""")"),"-53")</f>
        <v>-53</v>
      </c>
    </row>
    <row r="21">
      <c r="A21" s="80" t="s">
        <v>1378</v>
      </c>
      <c r="B21" s="80" t="s">
        <v>4948</v>
      </c>
      <c r="C21" s="80" t="s">
        <v>4380</v>
      </c>
      <c r="D21" s="18" t="str">
        <f t="shared" si="1"/>
        <v>C^4 m^4 J^-3</v>
      </c>
      <c r="E21" s="60" t="str">
        <f>VLOOKUP($A21,nist_names_ids!A:B,2,false)</f>
        <v>au2hypol</v>
      </c>
      <c r="F21" s="61">
        <f>countif(Constants!A:A,E21)</f>
        <v>1</v>
      </c>
      <c r="G21" s="60" t="str">
        <f>IFERROR(__xludf.DUMMYFUNCTION("REGEXREPLACE(substitute(substitute(B21,"" "",""""),""..."",""""),""\(.*\)"","""")"),"6.23538112e-65")</f>
        <v>6.23538112e-65</v>
      </c>
      <c r="H21" s="62">
        <f t="shared" si="2"/>
        <v>0</v>
      </c>
      <c r="I21" s="60" t="str">
        <f>IFERROR(__xludf.DUMMYFUNCTION("if(regexmatch($B21,""\(""),CONCATENATE(regexreplace(REGEXREPLACE(substitute(left($B21,find(""("",$B21)-1),"" "",""""),""\d"",""0""),""[-0]*\."",""0.""), REGEXEXTRACT($B21,""\((.*)\)""),TRIM(REGEXEXTRACT($B21,""\)(.*)""))),"""")"),"0.0000000051e-65")</f>
        <v>0.0000000051e-65</v>
      </c>
      <c r="J21" s="62">
        <f t="shared" si="3"/>
        <v>0</v>
      </c>
      <c r="K21" s="62" t="b">
        <f t="shared" si="4"/>
        <v>0</v>
      </c>
      <c r="L21" s="62" t="b">
        <f t="shared" si="5"/>
        <v>0</v>
      </c>
      <c r="M21" s="60" t="str">
        <f>IFERROR(__xludf.DUMMYFUNCTION("if(regexmatch(B21,""e(.*)$""),regexextract(B21,""e(.*)$""),"""")"),"-65")</f>
        <v>-65</v>
      </c>
    </row>
    <row r="22">
      <c r="A22" s="80" t="s">
        <v>712</v>
      </c>
      <c r="B22" s="80" t="s">
        <v>4951</v>
      </c>
      <c r="C22" s="80" t="s">
        <v>714</v>
      </c>
      <c r="D22" s="18" t="str">
        <f t="shared" si="1"/>
        <v>J s</v>
      </c>
      <c r="E22" s="60" t="str">
        <f>VLOOKUP($A22,nist_names_ids!A:B,2,false)</f>
        <v>tthbar</v>
      </c>
      <c r="F22" s="61">
        <f>countif(Constants!A:A,E22)</f>
        <v>1</v>
      </c>
      <c r="G22" s="60" t="str">
        <f>IFERROR(__xludf.DUMMYFUNCTION("REGEXREPLACE(substitute(substitute(B22,"" "",""""),""..."",""""),""\(.*\)"","""")"),"1.054571596e-34")</f>
        <v>1.054571596e-34</v>
      </c>
      <c r="H22" s="62">
        <f t="shared" si="2"/>
        <v>0</v>
      </c>
      <c r="I22" s="60" t="str">
        <f>IFERROR(__xludf.DUMMYFUNCTION("if(regexmatch($B22,""\(""),CONCATENATE(regexreplace(REGEXREPLACE(substitute(left($B22,find(""("",$B22)-1),"" "",""""),""\d"",""0""),""[-0]*\."",""0.""), REGEXEXTRACT($B22,""\((.*)\)""),TRIM(REGEXEXTRACT($B22,""\)(.*)""))),"""")"),"0.00000000082e-34")</f>
        <v>0.00000000082e-34</v>
      </c>
      <c r="J22" s="62">
        <f t="shared" si="3"/>
        <v>0</v>
      </c>
      <c r="K22" s="62" t="b">
        <f t="shared" si="4"/>
        <v>0</v>
      </c>
      <c r="L22" s="62" t="b">
        <f t="shared" si="5"/>
        <v>0</v>
      </c>
      <c r="M22" s="60" t="str">
        <f>IFERROR(__xludf.DUMMYFUNCTION("if(regexmatch(B22,""e(.*)$""),regexextract(B22,""e(.*)$""),"""")"),"-34")</f>
        <v>-34</v>
      </c>
    </row>
    <row r="23">
      <c r="A23" s="80" t="s">
        <v>742</v>
      </c>
      <c r="B23" s="80" t="s">
        <v>4952</v>
      </c>
      <c r="C23" s="80" t="s">
        <v>4386</v>
      </c>
      <c r="D23" s="18" t="str">
        <f t="shared" si="1"/>
        <v>C m^-3</v>
      </c>
      <c r="E23" s="60" t="str">
        <f>VLOOKUP($A23,nist_names_ids!A:B,2,false)</f>
        <v>aucd</v>
      </c>
      <c r="F23" s="61">
        <f>countif(Constants!A:A,E23)</f>
        <v>1</v>
      </c>
      <c r="G23" s="60" t="str">
        <f>IFERROR(__xludf.DUMMYFUNCTION("REGEXREPLACE(substitute(substitute(B23,"" "",""""),""..."",""""),""\(.*\)"","""")"),"1.081202285e12")</f>
        <v>1.081202285e12</v>
      </c>
      <c r="H23" s="62">
        <f t="shared" si="2"/>
        <v>1081202285000</v>
      </c>
      <c r="I23" s="60" t="str">
        <f>IFERROR(__xludf.DUMMYFUNCTION("if(regexmatch($B23,""\(""),CONCATENATE(regexreplace(REGEXREPLACE(substitute(left($B23,find(""("",$B23)-1),"" "",""""),""\d"",""0""),""[-0]*\."",""0.""), REGEXEXTRACT($B23,""\((.*)\)""),TRIM(REGEXEXTRACT($B23,""\)(.*)""))),"""")"),"0.00000000043e12")</f>
        <v>0.00000000043e12</v>
      </c>
      <c r="J23" s="62">
        <f t="shared" si="3"/>
        <v>430</v>
      </c>
      <c r="K23" s="62" t="b">
        <f t="shared" si="4"/>
        <v>0</v>
      </c>
      <c r="L23" s="62" t="b">
        <f t="shared" si="5"/>
        <v>0</v>
      </c>
      <c r="M23" s="60" t="str">
        <f>IFERROR(__xludf.DUMMYFUNCTION("if(regexmatch(B23,""e(.*)$""),regexextract(B23,""e(.*)$""),"""")"),"12")</f>
        <v>12</v>
      </c>
    </row>
    <row r="24">
      <c r="A24" s="80" t="s">
        <v>756</v>
      </c>
      <c r="B24" s="80" t="s">
        <v>4953</v>
      </c>
      <c r="C24" s="80" t="s">
        <v>55</v>
      </c>
      <c r="D24" s="18" t="str">
        <f t="shared" si="1"/>
        <v>A</v>
      </c>
      <c r="E24" s="60" t="str">
        <f>VLOOKUP($A24,nist_names_ids!A:B,2,false)</f>
        <v>aucur</v>
      </c>
      <c r="F24" s="61">
        <f>countif(Constants!A:A,E24)</f>
        <v>1</v>
      </c>
      <c r="G24" s="60" t="str">
        <f>IFERROR(__xludf.DUMMYFUNCTION("REGEXREPLACE(substitute(substitute(B24,"" "",""""),""..."",""""),""\(.*\)"","""")"),"6.62361753e-3")</f>
        <v>6.62361753e-3</v>
      </c>
      <c r="H24" s="62">
        <f t="shared" si="2"/>
        <v>0.00662361753</v>
      </c>
      <c r="I24" s="60" t="str">
        <f>IFERROR(__xludf.DUMMYFUNCTION("if(regexmatch($B24,""\(""),CONCATENATE(regexreplace(REGEXREPLACE(substitute(left($B24,find(""("",$B24)-1),"" "",""""),""\d"",""0""),""[-0]*\."",""0.""), REGEXEXTRACT($B24,""\((.*)\)""),TRIM(REGEXEXTRACT($B24,""\)(.*)""))),"""")"),"0.0000000026e-3")</f>
        <v>0.0000000026e-3</v>
      </c>
      <c r="J24" s="62">
        <f t="shared" si="3"/>
        <v>0</v>
      </c>
      <c r="K24" s="62" t="b">
        <f t="shared" si="4"/>
        <v>0</v>
      </c>
      <c r="L24" s="62" t="b">
        <f t="shared" si="5"/>
        <v>0</v>
      </c>
      <c r="M24" s="60" t="str">
        <f>IFERROR(__xludf.DUMMYFUNCTION("if(regexmatch(B24,""e(.*)$""),regexextract(B24,""e(.*)$""),"""")"),"-3")</f>
        <v>-3</v>
      </c>
    </row>
    <row r="25">
      <c r="A25" s="80" t="s">
        <v>770</v>
      </c>
      <c r="B25" s="80" t="s">
        <v>4956</v>
      </c>
      <c r="C25" s="80" t="s">
        <v>772</v>
      </c>
      <c r="D25" s="18" t="str">
        <f t="shared" si="1"/>
        <v>C m</v>
      </c>
      <c r="E25" s="60" t="str">
        <f>VLOOKUP($A25,nist_names_ids!A:B,2,false)</f>
        <v>auedm</v>
      </c>
      <c r="F25" s="61">
        <f>countif(Constants!A:A,E25)</f>
        <v>1</v>
      </c>
      <c r="G25" s="60" t="str">
        <f>IFERROR(__xludf.DUMMYFUNCTION("REGEXREPLACE(substitute(substitute(B25,"" "",""""),""..."",""""),""\(.*\)"","""")"),"8.47835267e-30")</f>
        <v>8.47835267e-30</v>
      </c>
      <c r="H25" s="62">
        <f t="shared" si="2"/>
        <v>0</v>
      </c>
      <c r="I25" s="60" t="str">
        <f>IFERROR(__xludf.DUMMYFUNCTION("if(regexmatch($B25,""\(""),CONCATENATE(regexreplace(REGEXREPLACE(substitute(left($B25,find(""("",$B25)-1),"" "",""""),""\d"",""0""),""[-0]*\."",""0.""), REGEXEXTRACT($B25,""\((.*)\)""),TRIM(REGEXEXTRACT($B25,""\)(.*)""))),"""")"),"0.0000000033e-30")</f>
        <v>0.0000000033e-30</v>
      </c>
      <c r="J25" s="62">
        <f t="shared" si="3"/>
        <v>0</v>
      </c>
      <c r="K25" s="62" t="b">
        <f t="shared" si="4"/>
        <v>0</v>
      </c>
      <c r="L25" s="62" t="b">
        <f t="shared" si="5"/>
        <v>0</v>
      </c>
      <c r="M25" s="60" t="str">
        <f>IFERROR(__xludf.DUMMYFUNCTION("if(regexmatch(B25,""e(.*)$""),regexextract(B25,""e(.*)$""),"""")"),"-30")</f>
        <v>-30</v>
      </c>
    </row>
    <row r="26">
      <c r="A26" s="80" t="s">
        <v>787</v>
      </c>
      <c r="B26" s="80" t="s">
        <v>4959</v>
      </c>
      <c r="C26" s="80" t="s">
        <v>4394</v>
      </c>
      <c r="D26" s="18" t="str">
        <f t="shared" si="1"/>
        <v>V m^-1</v>
      </c>
      <c r="E26" s="60" t="str">
        <f>VLOOKUP($A26,nist_names_ids!A:B,2,false)</f>
        <v>auefld</v>
      </c>
      <c r="F26" s="61">
        <f>countif(Constants!A:A,E26)</f>
        <v>1</v>
      </c>
      <c r="G26" s="60" t="str">
        <f>IFERROR(__xludf.DUMMYFUNCTION("REGEXREPLACE(substitute(substitute(B26,"" "",""""),""..."",""""),""\(.*\)"","""")"),"5.14220624e11")</f>
        <v>5.14220624e11</v>
      </c>
      <c r="H26" s="62">
        <f t="shared" si="2"/>
        <v>514220624000</v>
      </c>
      <c r="I26" s="60" t="str">
        <f>IFERROR(__xludf.DUMMYFUNCTION("if(regexmatch($B26,""\(""),CONCATENATE(regexreplace(REGEXREPLACE(substitute(left($B26,find(""("",$B26)-1),"" "",""""),""\d"",""0""),""[-0]*\."",""0.""), REGEXEXTRACT($B26,""\((.*)\)""),TRIM(REGEXEXTRACT($B26,""\)(.*)""))),"""")"),"0.0000000020e11")</f>
        <v>0.0000000020e11</v>
      </c>
      <c r="J26" s="62">
        <f t="shared" si="3"/>
        <v>200</v>
      </c>
      <c r="K26" s="62" t="b">
        <f t="shared" si="4"/>
        <v>0</v>
      </c>
      <c r="L26" s="62" t="b">
        <f t="shared" si="5"/>
        <v>0</v>
      </c>
      <c r="M26" s="60" t="str">
        <f>IFERROR(__xludf.DUMMYFUNCTION("if(regexmatch(B26,""e(.*)$""),regexextract(B26,""e(.*)$""),"""")"),"11")</f>
        <v>11</v>
      </c>
    </row>
    <row r="27">
      <c r="A27" s="80" t="s">
        <v>810</v>
      </c>
      <c r="B27" s="80" t="s">
        <v>4964</v>
      </c>
      <c r="C27" s="80" t="s">
        <v>4396</v>
      </c>
      <c r="D27" s="18" t="str">
        <f t="shared" si="1"/>
        <v>V m^-2</v>
      </c>
      <c r="E27" s="60" t="str">
        <f>VLOOKUP($A27,nist_names_ids!A:B,2,false)</f>
        <v>auefg</v>
      </c>
      <c r="F27" s="61">
        <f>countif(Constants!A:A,E27)</f>
        <v>1</v>
      </c>
      <c r="G27" s="60" t="str">
        <f>IFERROR(__xludf.DUMMYFUNCTION("REGEXREPLACE(substitute(substitute(B27,"" "",""""),""..."",""""),""\(.*\)"","""")"),"9.71736153e21")</f>
        <v>9.71736153e21</v>
      </c>
      <c r="H27" s="62">
        <f t="shared" si="2"/>
        <v>9.71736E+21</v>
      </c>
      <c r="I27" s="60" t="str">
        <f>IFERROR(__xludf.DUMMYFUNCTION("if(regexmatch($B27,""\(""),CONCATENATE(regexreplace(REGEXREPLACE(substitute(left($B27,find(""("",$B27)-1),"" "",""""),""\d"",""0""),""[-0]*\."",""0.""), REGEXEXTRACT($B27,""\((.*)\)""),TRIM(REGEXEXTRACT($B27,""\)(.*)""))),"""")"),"0.0000000039e21")</f>
        <v>0.0000000039e21</v>
      </c>
      <c r="J27" s="62">
        <f t="shared" si="3"/>
        <v>3900000000000</v>
      </c>
      <c r="K27" s="62" t="b">
        <f t="shared" si="4"/>
        <v>0</v>
      </c>
      <c r="L27" s="62" t="b">
        <f t="shared" si="5"/>
        <v>0</v>
      </c>
      <c r="M27" s="60" t="str">
        <f>IFERROR(__xludf.DUMMYFUNCTION("if(regexmatch(B27,""e(.*)$""),regexextract(B27,""e(.*)$""),"""")"),"21")</f>
        <v>21</v>
      </c>
    </row>
    <row r="28">
      <c r="A28" s="80" t="s">
        <v>833</v>
      </c>
      <c r="B28" s="80" t="s">
        <v>4966</v>
      </c>
      <c r="C28" s="80" t="s">
        <v>4400</v>
      </c>
      <c r="D28" s="18" t="str">
        <f t="shared" si="1"/>
        <v>C^2 m^2 J^-1</v>
      </c>
      <c r="E28" s="60" t="str">
        <f>VLOOKUP($A28,nist_names_ids!A:B,2,false)</f>
        <v>auepol</v>
      </c>
      <c r="F28" s="61">
        <f>countif(Constants!A:A,E28)</f>
        <v>1</v>
      </c>
      <c r="G28" s="60" t="str">
        <f>IFERROR(__xludf.DUMMYFUNCTION("REGEXREPLACE(substitute(substitute(B28,"" "",""""),""..."",""""),""\(.*\)"","""")"),"1.648777251e-41")</f>
        <v>1.648777251e-41</v>
      </c>
      <c r="H28" s="62">
        <f t="shared" si="2"/>
        <v>0</v>
      </c>
      <c r="I28" s="60" t="str">
        <f>IFERROR(__xludf.DUMMYFUNCTION("if(regexmatch($B28,""\(""),CONCATENATE(regexreplace(REGEXREPLACE(substitute(left($B28,find(""("",$B28)-1),"" "",""""),""\d"",""0""),""[-0]*\."",""0.""), REGEXEXTRACT($B28,""\((.*)\)""),TRIM(REGEXEXTRACT($B28,""\)(.*)""))),"""")"),"0.00000000018e-41")</f>
        <v>0.00000000018e-41</v>
      </c>
      <c r="J28" s="62">
        <f t="shared" si="3"/>
        <v>0</v>
      </c>
      <c r="K28" s="62" t="b">
        <f t="shared" si="4"/>
        <v>0</v>
      </c>
      <c r="L28" s="62" t="b">
        <f t="shared" si="5"/>
        <v>0</v>
      </c>
      <c r="M28" s="60" t="str">
        <f>IFERROR(__xludf.DUMMYFUNCTION("if(regexmatch(B28,""e(.*)$""),regexextract(B28,""e(.*)$""),"""")"),"-41")</f>
        <v>-41</v>
      </c>
    </row>
    <row r="29">
      <c r="A29" s="80" t="s">
        <v>858</v>
      </c>
      <c r="B29" s="80" t="s">
        <v>4975</v>
      </c>
      <c r="C29" s="80" t="s">
        <v>546</v>
      </c>
      <c r="D29" s="18" t="str">
        <f t="shared" si="1"/>
        <v>V</v>
      </c>
      <c r="E29" s="60" t="str">
        <f>VLOOKUP($A29,nist_names_ids!A:B,2,false)</f>
        <v>auep</v>
      </c>
      <c r="F29" s="61">
        <f>countif(Constants!A:A,E29)</f>
        <v>1</v>
      </c>
      <c r="G29" s="60" t="str">
        <f>IFERROR(__xludf.DUMMYFUNCTION("REGEXREPLACE(substitute(substitute(B29,"" "",""""),""..."",""""),""\(.*\)"","""")"),"27.2113834")</f>
        <v>27.2113834</v>
      </c>
      <c r="H29" s="62">
        <f t="shared" si="2"/>
        <v>27.2113834</v>
      </c>
      <c r="I29" s="60" t="str">
        <f>IFERROR(__xludf.DUMMYFUNCTION("if(regexmatch($B29,""\(""),CONCATENATE(regexreplace(REGEXREPLACE(substitute(left($B29,find(""("",$B29)-1),"" "",""""),""\d"",""0""),""[-0]*\."",""0.""), REGEXEXTRACT($B29,""\((.*)\)""),TRIM(REGEXEXTRACT($B29,""\)(.*)""))),"""")"),"0.000000011")</f>
        <v>0.000000011</v>
      </c>
      <c r="J29" s="62">
        <f t="shared" si="3"/>
        <v>0.000000011</v>
      </c>
      <c r="K29" s="62" t="b">
        <f t="shared" si="4"/>
        <v>0</v>
      </c>
      <c r="L29" s="62" t="b">
        <f t="shared" si="5"/>
        <v>0</v>
      </c>
      <c r="M29" s="60" t="str">
        <f>IFERROR(__xludf.DUMMYFUNCTION("if(regexmatch(B29,""e(.*)$""),regexextract(B29,""e(.*)$""),"""")"),"")</f>
        <v/>
      </c>
    </row>
    <row r="30">
      <c r="A30" s="80" t="s">
        <v>882</v>
      </c>
      <c r="B30" s="80" t="s">
        <v>4977</v>
      </c>
      <c r="C30" s="80" t="s">
        <v>884</v>
      </c>
      <c r="D30" s="18" t="str">
        <f t="shared" si="1"/>
        <v>C m^2</v>
      </c>
      <c r="E30" s="60" t="str">
        <f>VLOOKUP($A30,nist_names_ids!A:B,2,false)</f>
        <v>aueqm</v>
      </c>
      <c r="F30" s="61">
        <f>countif(Constants!A:A,E30)</f>
        <v>1</v>
      </c>
      <c r="G30" s="60" t="str">
        <f>IFERROR(__xludf.DUMMYFUNCTION("REGEXREPLACE(substitute(substitute(B30,"" "",""""),""..."",""""),""\(.*\)"","""")"),"4.48655100e-40")</f>
        <v>4.48655100e-40</v>
      </c>
      <c r="H30" s="62">
        <f t="shared" si="2"/>
        <v>0</v>
      </c>
      <c r="I30" s="60" t="str">
        <f>IFERROR(__xludf.DUMMYFUNCTION("if(regexmatch($B30,""\(""),CONCATENATE(regexreplace(REGEXREPLACE(substitute(left($B30,find(""("",$B30)-1),"" "",""""),""\d"",""0""),""[-0]*\."",""0.""), REGEXEXTRACT($B30,""\((.*)\)""),TRIM(REGEXEXTRACT($B30,""\)(.*)""))),"""")"),"0.0000000018e-40")</f>
        <v>0.0000000018e-40</v>
      </c>
      <c r="J30" s="62">
        <f t="shared" si="3"/>
        <v>0</v>
      </c>
      <c r="K30" s="62" t="b">
        <f t="shared" si="4"/>
        <v>0</v>
      </c>
      <c r="L30" s="62" t="b">
        <f t="shared" si="5"/>
        <v>0</v>
      </c>
      <c r="M30" s="60" t="str">
        <f>IFERROR(__xludf.DUMMYFUNCTION("if(regexmatch(B30,""e(.*)$""),regexextract(B30,""e(.*)$""),"""")"),"-40")</f>
        <v>-40</v>
      </c>
    </row>
    <row r="31">
      <c r="A31" s="80" t="s">
        <v>901</v>
      </c>
      <c r="B31" s="80" t="s">
        <v>4978</v>
      </c>
      <c r="C31" s="80" t="s">
        <v>173</v>
      </c>
      <c r="D31" s="18" t="str">
        <f t="shared" si="1"/>
        <v>J</v>
      </c>
      <c r="E31" s="60" t="str">
        <f>VLOOKUP($A31,nist_names_ids!A:B,2,false)</f>
        <v>thr</v>
      </c>
      <c r="F31" s="61">
        <f>countif(Constants!A:A,E31)</f>
        <v>1</v>
      </c>
      <c r="G31" s="60" t="str">
        <f>IFERROR(__xludf.DUMMYFUNCTION("REGEXREPLACE(substitute(substitute(B31,"" "",""""),""..."",""""),""\(.*\)"","""")"),"4.35974381e-18")</f>
        <v>4.35974381e-18</v>
      </c>
      <c r="H31" s="62">
        <f t="shared" si="2"/>
        <v>0</v>
      </c>
      <c r="I31" s="60" t="str">
        <f>IFERROR(__xludf.DUMMYFUNCTION("if(regexmatch($B31,""\(""),CONCATENATE(regexreplace(REGEXREPLACE(substitute(left($B31,find(""("",$B31)-1),"" "",""""),""\d"",""0""),""[-0]*\."",""0.""), REGEXEXTRACT($B31,""\((.*)\)""),TRIM(REGEXEXTRACT($B31,""\)(.*)""))),"""")"),"0.0000000034e-18")</f>
        <v>0.0000000034e-18</v>
      </c>
      <c r="J31" s="62">
        <f t="shared" si="3"/>
        <v>0</v>
      </c>
      <c r="K31" s="62" t="b">
        <f t="shared" si="4"/>
        <v>0</v>
      </c>
      <c r="L31" s="62" t="b">
        <f t="shared" si="5"/>
        <v>0</v>
      </c>
      <c r="M31" s="60" t="str">
        <f>IFERROR(__xludf.DUMMYFUNCTION("if(regexmatch(B31,""e(.*)$""),regexextract(B31,""e(.*)$""),"""")"),"-18")</f>
        <v>-18</v>
      </c>
    </row>
    <row r="32">
      <c r="A32" s="80" t="s">
        <v>921</v>
      </c>
      <c r="B32" s="80" t="s">
        <v>4979</v>
      </c>
      <c r="C32" s="80" t="s">
        <v>486</v>
      </c>
      <c r="D32" s="18" t="str">
        <f t="shared" si="1"/>
        <v>N</v>
      </c>
      <c r="E32" s="60" t="str">
        <f>VLOOKUP($A32,nist_names_ids!A:B,2,false)</f>
        <v>auforce</v>
      </c>
      <c r="F32" s="61">
        <f>countif(Constants!A:A,E32)</f>
        <v>1</v>
      </c>
      <c r="G32" s="60" t="str">
        <f>IFERROR(__xludf.DUMMYFUNCTION("REGEXREPLACE(substitute(substitute(B32,"" "",""""),""..."",""""),""\(.*\)"","""")"),"8.23872181e-8")</f>
        <v>8.23872181e-8</v>
      </c>
      <c r="H32" s="62">
        <f t="shared" si="2"/>
        <v>0.0000000823872181</v>
      </c>
      <c r="I32" s="60" t="str">
        <f>IFERROR(__xludf.DUMMYFUNCTION("if(regexmatch($B32,""\(""),CONCATENATE(regexreplace(REGEXREPLACE(substitute(left($B32,find(""("",$B32)-1),"" "",""""),""\d"",""0""),""[-0]*\."",""0.""), REGEXEXTRACT($B32,""\((.*)\)""),TRIM(REGEXEXTRACT($B32,""\)(.*)""))),"""")"),"0.0000000064e-8")</f>
        <v>0.0000000064e-8</v>
      </c>
      <c r="J32" s="62">
        <f t="shared" si="3"/>
        <v>0</v>
      </c>
      <c r="K32" s="62" t="b">
        <f t="shared" si="4"/>
        <v>0</v>
      </c>
      <c r="L32" s="62" t="b">
        <f t="shared" si="5"/>
        <v>0</v>
      </c>
      <c r="M32" s="60" t="str">
        <f>IFERROR(__xludf.DUMMYFUNCTION("if(regexmatch(B32,""e(.*)$""),regexextract(B32,""e(.*)$""),"""")"),"-8")</f>
        <v>-8</v>
      </c>
    </row>
    <row r="33">
      <c r="A33" s="80" t="s">
        <v>940</v>
      </c>
      <c r="B33" s="80" t="s">
        <v>4980</v>
      </c>
      <c r="C33" s="80" t="s">
        <v>381</v>
      </c>
      <c r="D33" s="18" t="str">
        <f t="shared" si="1"/>
        <v>m</v>
      </c>
      <c r="E33" s="60" t="str">
        <f>VLOOKUP($A33,nist_names_ids!A:B,2,false)</f>
        <v>tbohrrada0</v>
      </c>
      <c r="F33" s="61">
        <f>countif(Constants!A:A,E33)</f>
        <v>1</v>
      </c>
      <c r="G33" s="60" t="str">
        <f>IFERROR(__xludf.DUMMYFUNCTION("REGEXREPLACE(substitute(substitute(B33,"" "",""""),""..."",""""),""\(.*\)"","""")"),"0.5291772083e-10")</f>
        <v>0.5291772083e-10</v>
      </c>
      <c r="H33" s="62">
        <f t="shared" si="2"/>
        <v>0</v>
      </c>
      <c r="I33" s="60" t="str">
        <f>IFERROR(__xludf.DUMMYFUNCTION("if(regexmatch($B33,""\(""),CONCATENATE(regexreplace(REGEXREPLACE(substitute(left($B33,find(""("",$B33)-1),"" "",""""),""\d"",""0""),""[-0]*\."",""0.""), REGEXEXTRACT($B33,""\((.*)\)""),TRIM(REGEXEXTRACT($B33,""\)(.*)""))),"""")"),"0.000000000019e-10")</f>
        <v>0.000000000019e-10</v>
      </c>
      <c r="J33" s="62">
        <f t="shared" si="3"/>
        <v>0</v>
      </c>
      <c r="K33" s="62" t="b">
        <f t="shared" si="4"/>
        <v>0</v>
      </c>
      <c r="L33" s="62" t="b">
        <f t="shared" si="5"/>
        <v>0</v>
      </c>
      <c r="M33" s="60" t="str">
        <f>IFERROR(__xludf.DUMMYFUNCTION("if(regexmatch(B33,""e(.*)$""),regexextract(B33,""e(.*)$""),"""")"),"-10")</f>
        <v>-10</v>
      </c>
    </row>
    <row r="34">
      <c r="A34" s="80" t="s">
        <v>962</v>
      </c>
      <c r="B34" s="80" t="s">
        <v>4981</v>
      </c>
      <c r="C34" s="80" t="s">
        <v>4421</v>
      </c>
      <c r="D34" s="18" t="str">
        <f t="shared" si="1"/>
        <v>J T^-1</v>
      </c>
      <c r="E34" s="60" t="str">
        <f>VLOOKUP($A34,nist_names_ids!A:B,2,false)</f>
        <v>aumdm</v>
      </c>
      <c r="F34" s="61">
        <f>countif(Constants!A:A,E34)</f>
        <v>1</v>
      </c>
      <c r="G34" s="60" t="str">
        <f>IFERROR(__xludf.DUMMYFUNCTION("REGEXREPLACE(substitute(substitute(B34,"" "",""""),""..."",""""),""\(.*\)"","""")"),"1.854801799e-23")</f>
        <v>1.854801799e-23</v>
      </c>
      <c r="H34" s="62">
        <f t="shared" si="2"/>
        <v>0</v>
      </c>
      <c r="I34" s="60" t="str">
        <f>IFERROR(__xludf.DUMMYFUNCTION("if(regexmatch($B34,""\(""),CONCATENATE(regexreplace(REGEXREPLACE(substitute(left($B34,find(""("",$B34)-1),"" "",""""),""\d"",""0""),""[-0]*\."",""0.""), REGEXEXTRACT($B34,""\((.*)\)""),TRIM(REGEXEXTRACT($B34,""\)(.*)""))),"""")"),"0.00000000075e-23")</f>
        <v>0.00000000075e-23</v>
      </c>
      <c r="J34" s="62">
        <f t="shared" si="3"/>
        <v>0</v>
      </c>
      <c r="K34" s="62" t="b">
        <f t="shared" si="4"/>
        <v>0</v>
      </c>
      <c r="L34" s="62" t="b">
        <f t="shared" si="5"/>
        <v>0</v>
      </c>
      <c r="M34" s="60" t="str">
        <f>IFERROR(__xludf.DUMMYFUNCTION("if(regexmatch(B34,""e(.*)$""),regexextract(B34,""e(.*)$""),"""")"),"-23")</f>
        <v>-23</v>
      </c>
    </row>
    <row r="35">
      <c r="A35" s="80" t="s">
        <v>1547</v>
      </c>
      <c r="B35" s="80" t="s">
        <v>4982</v>
      </c>
      <c r="C35" s="80" t="s">
        <v>535</v>
      </c>
      <c r="D35" s="18" t="str">
        <f t="shared" si="1"/>
        <v>T</v>
      </c>
      <c r="E35" s="60" t="str">
        <f>VLOOKUP($A35,nist_names_ids!A:B,2,false)</f>
        <v>aumfd</v>
      </c>
      <c r="F35" s="61">
        <f>countif(Constants!A:A,E35)</f>
        <v>1</v>
      </c>
      <c r="G35" s="60" t="str">
        <f>IFERROR(__xludf.DUMMYFUNCTION("REGEXREPLACE(substitute(substitute(B35,"" "",""""),""..."",""""),""\(.*\)"","""")"),"2.350517349e5")</f>
        <v>2.350517349e5</v>
      </c>
      <c r="H35" s="62">
        <f t="shared" si="2"/>
        <v>235051.7349</v>
      </c>
      <c r="I35" s="60" t="str">
        <f>IFERROR(__xludf.DUMMYFUNCTION("if(regexmatch($B35,""\(""),CONCATENATE(regexreplace(REGEXREPLACE(substitute(left($B35,find(""("",$B35)-1),"" "",""""),""\d"",""0""),""[-0]*\."",""0.""), REGEXEXTRACT($B35,""\((.*)\)""),TRIM(REGEXEXTRACT($B35,""\)(.*)""))),"""")"),"0.00000000094e5")</f>
        <v>0.00000000094e5</v>
      </c>
      <c r="J35" s="62">
        <f t="shared" si="3"/>
        <v>0.000094</v>
      </c>
      <c r="K35" s="62" t="b">
        <f t="shared" si="4"/>
        <v>0</v>
      </c>
      <c r="L35" s="62" t="b">
        <f t="shared" si="5"/>
        <v>0</v>
      </c>
      <c r="M35" s="60" t="str">
        <f>IFERROR(__xludf.DUMMYFUNCTION("if(regexmatch(B35,""e(.*)$""),regexextract(B35,""e(.*)$""),"""")"),"5")</f>
        <v>5</v>
      </c>
    </row>
    <row r="36">
      <c r="A36" s="80" t="s">
        <v>997</v>
      </c>
      <c r="B36" s="80" t="s">
        <v>4983</v>
      </c>
      <c r="C36" s="80" t="s">
        <v>4427</v>
      </c>
      <c r="D36" s="18" t="str">
        <f t="shared" si="1"/>
        <v>J T^-2</v>
      </c>
      <c r="E36" s="60" t="str">
        <f>VLOOKUP($A36,nist_names_ids!A:B,2,false)</f>
        <v>aumag</v>
      </c>
      <c r="F36" s="61">
        <f>countif(Constants!A:A,E36)</f>
        <v>1</v>
      </c>
      <c r="G36" s="60" t="str">
        <f>IFERROR(__xludf.DUMMYFUNCTION("REGEXREPLACE(substitute(substitute(B36,"" "",""""),""..."",""""),""\(.*\)"","""")"),"7.89103641e-29")</f>
        <v>7.89103641e-29</v>
      </c>
      <c r="H36" s="62">
        <f t="shared" si="2"/>
        <v>0</v>
      </c>
      <c r="I36" s="60" t="str">
        <f>IFERROR(__xludf.DUMMYFUNCTION("if(regexmatch($B36,""\(""),CONCATENATE(regexreplace(REGEXREPLACE(substitute(left($B36,find(""("",$B36)-1),"" "",""""),""\d"",""0""),""[-0]*\."",""0.""), REGEXEXTRACT($B36,""\((.*)\)""),TRIM(REGEXEXTRACT($B36,""\)(.*)""))),"""")"),"0.0000000014e-29")</f>
        <v>0.0000000014e-29</v>
      </c>
      <c r="J36" s="62">
        <f t="shared" si="3"/>
        <v>0</v>
      </c>
      <c r="K36" s="62" t="b">
        <f t="shared" si="4"/>
        <v>0</v>
      </c>
      <c r="L36" s="62" t="b">
        <f t="shared" si="5"/>
        <v>0</v>
      </c>
      <c r="M36" s="60" t="str">
        <f>IFERROR(__xludf.DUMMYFUNCTION("if(regexmatch(B36,""e(.*)$""),regexextract(B36,""e(.*)$""),"""")"),"-29")</f>
        <v>-29</v>
      </c>
    </row>
    <row r="37">
      <c r="A37" s="80" t="s">
        <v>1015</v>
      </c>
      <c r="B37" s="80" t="s">
        <v>4985</v>
      </c>
      <c r="C37" s="80" t="s">
        <v>98</v>
      </c>
      <c r="D37" s="18" t="str">
        <f t="shared" si="1"/>
        <v>kg</v>
      </c>
      <c r="E37" s="60" t="str">
        <f>VLOOKUP($A37,nist_names_ids!A:B,2,false)</f>
        <v>ttme</v>
      </c>
      <c r="F37" s="61">
        <f>countif(Constants!A:A,E37)</f>
        <v>1</v>
      </c>
      <c r="G37" s="60" t="str">
        <f>IFERROR(__xludf.DUMMYFUNCTION("REGEXREPLACE(substitute(substitute(B37,"" "",""""),""..."",""""),""\(.*\)"","""")"),"9.10938188e-31")</f>
        <v>9.10938188e-31</v>
      </c>
      <c r="H37" s="62">
        <f t="shared" si="2"/>
        <v>0</v>
      </c>
      <c r="I37" s="60" t="str">
        <f>IFERROR(__xludf.DUMMYFUNCTION("if(regexmatch($B37,""\(""),CONCATENATE(regexreplace(REGEXREPLACE(substitute(left($B37,find(""("",$B37)-1),"" "",""""),""\d"",""0""),""[-0]*\."",""0.""), REGEXEXTRACT($B37,""\((.*)\)""),TRIM(REGEXEXTRACT($B37,""\)(.*)""))),"""")"),"0.0000000072e-31")</f>
        <v>0.0000000072e-31</v>
      </c>
      <c r="J37" s="62">
        <f t="shared" si="3"/>
        <v>0</v>
      </c>
      <c r="K37" s="62" t="b">
        <f t="shared" si="4"/>
        <v>0</v>
      </c>
      <c r="L37" s="62" t="b">
        <f t="shared" si="5"/>
        <v>0</v>
      </c>
      <c r="M37" s="60" t="str">
        <f>IFERROR(__xludf.DUMMYFUNCTION("if(regexmatch(B37,""e(.*)$""),regexextract(B37,""e(.*)$""),"""")"),"-31")</f>
        <v>-31</v>
      </c>
    </row>
    <row r="38">
      <c r="A38" s="80" t="s">
        <v>1053</v>
      </c>
      <c r="B38" s="80" t="s">
        <v>4986</v>
      </c>
      <c r="C38" s="80" t="s">
        <v>4436</v>
      </c>
      <c r="D38" s="18" t="str">
        <f t="shared" si="1"/>
        <v>kg m s^-1</v>
      </c>
      <c r="E38" s="60" t="str">
        <f>VLOOKUP($A38,nist_names_ids!A:B,2,false)</f>
        <v>aumom</v>
      </c>
      <c r="F38" s="61">
        <f>countif(Constants!A:A,E38)</f>
        <v>1</v>
      </c>
      <c r="G38" s="60" t="str">
        <f>IFERROR(__xludf.DUMMYFUNCTION("REGEXREPLACE(substitute(substitute(B38,"" "",""""),""..."",""""),""\(.*\)"","""")"),"1.99285151e-24")</f>
        <v>1.99285151e-24</v>
      </c>
      <c r="H38" s="62">
        <f t="shared" si="2"/>
        <v>0</v>
      </c>
      <c r="I38" s="60" t="str">
        <f>IFERROR(__xludf.DUMMYFUNCTION("if(regexmatch($B38,""\(""),CONCATENATE(regexreplace(REGEXREPLACE(substitute(left($B38,find(""("",$B38)-1),"" "",""""),""\d"",""0""),""[-0]*\."",""0.""), REGEXEXTRACT($B38,""\((.*)\)""),TRIM(REGEXEXTRACT($B38,""\)(.*)""))),"""")"),"0.0000000016e-24")</f>
        <v>0.0000000016e-24</v>
      </c>
      <c r="J38" s="62">
        <f t="shared" si="3"/>
        <v>0</v>
      </c>
      <c r="K38" s="62" t="b">
        <f t="shared" si="4"/>
        <v>0</v>
      </c>
      <c r="L38" s="62" t="b">
        <f t="shared" si="5"/>
        <v>0</v>
      </c>
      <c r="M38" s="60" t="str">
        <f>IFERROR(__xludf.DUMMYFUNCTION("if(regexmatch(B38,""e(.*)$""),regexextract(B38,""e(.*)$""),"""")"),"-24")</f>
        <v>-24</v>
      </c>
    </row>
    <row r="39">
      <c r="A39" s="80" t="s">
        <v>1076</v>
      </c>
      <c r="B39" s="80" t="s">
        <v>4437</v>
      </c>
      <c r="C39" s="80" t="s">
        <v>4438</v>
      </c>
      <c r="D39" s="18" t="str">
        <f t="shared" si="1"/>
        <v>F m^-1</v>
      </c>
      <c r="E39" s="60" t="str">
        <f>VLOOKUP($A39,nist_names_ids!A:B,2,false)</f>
        <v>auperm</v>
      </c>
      <c r="F39" s="61">
        <f>countif(Constants!A:A,E39)</f>
        <v>1</v>
      </c>
      <c r="G39" s="60" t="str">
        <f>IFERROR(__xludf.DUMMYFUNCTION("REGEXREPLACE(substitute(substitute(B39,"" "",""""),""..."",""""),""\(.*\)"","""")"),"1.112650056e-10")</f>
        <v>1.112650056e-10</v>
      </c>
      <c r="H39" s="62">
        <f t="shared" si="2"/>
        <v>0.0000000001112650056</v>
      </c>
      <c r="I39" s="60" t="str">
        <f>IFERROR(__xludf.DUMMYFUNCTION("if(regexmatch($B39,""\(""),CONCATENATE(regexreplace(REGEXREPLACE(substitute(left($B39,find(""("",$B39)-1),"" "",""""),""\d"",""0""),""[-0]*\."",""0.""), REGEXEXTRACT($B39,""\((.*)\)""),TRIM(REGEXEXTRACT($B39,""\)(.*)""))),"""")"),"")</f>
        <v/>
      </c>
      <c r="J39" s="62" t="str">
        <f t="shared" si="3"/>
        <v/>
      </c>
      <c r="K39" s="62" t="b">
        <f t="shared" si="4"/>
        <v>0</v>
      </c>
      <c r="L39" s="62" t="b">
        <f t="shared" si="5"/>
        <v>1</v>
      </c>
      <c r="M39" s="60" t="str">
        <f>IFERROR(__xludf.DUMMYFUNCTION("if(regexmatch(B39,""e(.*)$""),regexextract(B39,""e(.*)$""),"""")"),"-10")</f>
        <v>-10</v>
      </c>
    </row>
    <row r="40">
      <c r="A40" s="80" t="s">
        <v>1090</v>
      </c>
      <c r="B40" s="80" t="s">
        <v>4987</v>
      </c>
      <c r="C40" s="80" t="s">
        <v>520</v>
      </c>
      <c r="D40" s="18" t="str">
        <f t="shared" si="1"/>
        <v>s</v>
      </c>
      <c r="E40" s="60" t="str">
        <f>VLOOKUP($A40,nist_names_ids!A:B,2,false)</f>
        <v>aut</v>
      </c>
      <c r="F40" s="61">
        <f>countif(Constants!A:A,E40)</f>
        <v>1</v>
      </c>
      <c r="G40" s="60" t="str">
        <f>IFERROR(__xludf.DUMMYFUNCTION("REGEXREPLACE(substitute(substitute(B40,"" "",""""),""..."",""""),""\(.*\)"","""")"),"2.418884326500e-17")</f>
        <v>2.418884326500e-17</v>
      </c>
      <c r="H40" s="62">
        <f t="shared" si="2"/>
        <v>0</v>
      </c>
      <c r="I40" s="60" t="str">
        <f>IFERROR(__xludf.DUMMYFUNCTION("if(regexmatch($B40,""\(""),CONCATENATE(regexreplace(REGEXREPLACE(substitute(left($B40,find(""("",$B40)-1),"" "",""""),""\d"",""0""),""[-0]*\."",""0.""), REGEXEXTRACT($B40,""\((.*)\)""),TRIM(REGEXEXTRACT($B40,""\)(.*)""))),"""")"),"0.00000000000018e-17")</f>
        <v>0.00000000000018e-17</v>
      </c>
      <c r="J40" s="62">
        <f t="shared" si="3"/>
        <v>0</v>
      </c>
      <c r="K40" s="62" t="b">
        <f t="shared" si="4"/>
        <v>0</v>
      </c>
      <c r="L40" s="62" t="b">
        <f t="shared" si="5"/>
        <v>0</v>
      </c>
      <c r="M40" s="60" t="str">
        <f>IFERROR(__xludf.DUMMYFUNCTION("if(regexmatch(B40,""e(.*)$""),regexextract(B40,""e(.*)$""),"""")"),"-17")</f>
        <v>-17</v>
      </c>
    </row>
    <row r="41">
      <c r="A41" s="80" t="s">
        <v>1107</v>
      </c>
      <c r="B41" s="80" t="s">
        <v>4990</v>
      </c>
      <c r="C41" s="80" t="s">
        <v>4447</v>
      </c>
      <c r="D41" s="18" t="str">
        <f t="shared" si="1"/>
        <v>m s^-1</v>
      </c>
      <c r="E41" s="60" t="str">
        <f>VLOOKUP($A41,nist_names_ids!A:B,2,false)</f>
        <v>auvel</v>
      </c>
      <c r="F41" s="61">
        <f>countif(Constants!A:A,E41)</f>
        <v>1</v>
      </c>
      <c r="G41" s="60" t="str">
        <f>IFERROR(__xludf.DUMMYFUNCTION("REGEXREPLACE(substitute(substitute(B41,"" "",""""),""..."",""""),""\(.*\)"","""")"),"2.1876912529e6")</f>
        <v>2.1876912529e6</v>
      </c>
      <c r="H41" s="62">
        <f t="shared" si="2"/>
        <v>2187691.253</v>
      </c>
      <c r="I41" s="60" t="str">
        <f>IFERROR(__xludf.DUMMYFUNCTION("if(regexmatch($B41,""\(""),CONCATENATE(regexreplace(REGEXREPLACE(substitute(left($B41,find(""("",$B41)-1),"" "",""""),""\d"",""0""),""[-0]*\."",""0.""), REGEXEXTRACT($B41,""\((.*)\)""),TRIM(REGEXEXTRACT($B41,""\)(.*)""))),"""")"),"0.000000000080e6")</f>
        <v>0.000000000080e6</v>
      </c>
      <c r="J41" s="62">
        <f t="shared" si="3"/>
        <v>0.00008</v>
      </c>
      <c r="K41" s="62" t="b">
        <f t="shared" si="4"/>
        <v>0</v>
      </c>
      <c r="L41" s="62" t="b">
        <f t="shared" si="5"/>
        <v>0</v>
      </c>
      <c r="M41" s="60" t="str">
        <f>IFERROR(__xludf.DUMMYFUNCTION("if(regexmatch(B41,""e(.*)$""),regexextract(B41,""e(.*)$""),"""")"),"6")</f>
        <v>6</v>
      </c>
    </row>
    <row r="42">
      <c r="A42" s="80" t="s">
        <v>1125</v>
      </c>
      <c r="B42" s="80" t="s">
        <v>4992</v>
      </c>
      <c r="C42" s="80" t="s">
        <v>4452</v>
      </c>
      <c r="D42" s="18" t="str">
        <f t="shared" si="1"/>
        <v>mol^-1</v>
      </c>
      <c r="E42" s="60" t="str">
        <f>VLOOKUP($A42,nist_names_ids!A:B,2,false)</f>
        <v>na</v>
      </c>
      <c r="F42" s="61">
        <f>countif(Constants!A:A,E42)</f>
        <v>1</v>
      </c>
      <c r="G42" s="60" t="str">
        <f>IFERROR(__xludf.DUMMYFUNCTION("REGEXREPLACE(substitute(substitute(B42,"" "",""""),""..."",""""),""\(.*\)"","""")"),"6.02214199e23")</f>
        <v>6.02214199e23</v>
      </c>
      <c r="H42" s="62">
        <f t="shared" si="2"/>
        <v>6.02214E+23</v>
      </c>
      <c r="I42" s="60" t="str">
        <f>IFERROR(__xludf.DUMMYFUNCTION("if(regexmatch($B42,""\(""),CONCATENATE(regexreplace(REGEXREPLACE(substitute(left($B42,find(""("",$B42)-1),"" "",""""),""\d"",""0""),""[-0]*\."",""0.""), REGEXEXTRACT($B42,""\((.*)\)""),TRIM(REGEXEXTRACT($B42,""\)(.*)""))),"""")"),"0.0000000047e23")</f>
        <v>0.0000000047e23</v>
      </c>
      <c r="J42" s="62">
        <f t="shared" si="3"/>
        <v>470000000000000</v>
      </c>
      <c r="K42" s="62" t="b">
        <f t="shared" si="4"/>
        <v>0</v>
      </c>
      <c r="L42" s="62" t="b">
        <f t="shared" si="5"/>
        <v>0</v>
      </c>
      <c r="M42" s="60" t="str">
        <f>IFERROR(__xludf.DUMMYFUNCTION("if(regexmatch(B42,""e(.*)$""),regexextract(B42,""e(.*)$""),"""")"),"23")</f>
        <v>23</v>
      </c>
    </row>
    <row r="43">
      <c r="A43" s="80" t="s">
        <v>1146</v>
      </c>
      <c r="B43" s="80" t="s">
        <v>4996</v>
      </c>
      <c r="C43" s="80" t="s">
        <v>4421</v>
      </c>
      <c r="D43" s="18" t="str">
        <f t="shared" si="1"/>
        <v>J T^-1</v>
      </c>
      <c r="E43" s="60" t="str">
        <f>VLOOKUP($A43,nist_names_ids!A:B,2,false)</f>
        <v>mub</v>
      </c>
      <c r="F43" s="61">
        <f>countif(Constants!A:A,E43)</f>
        <v>1</v>
      </c>
      <c r="G43" s="60" t="str">
        <f>IFERROR(__xludf.DUMMYFUNCTION("REGEXREPLACE(substitute(substitute(B43,"" "",""""),""..."",""""),""\(.*\)"","""")"),"927.400899e-26")</f>
        <v>927.400899e-26</v>
      </c>
      <c r="H43" s="62">
        <f t="shared" si="2"/>
        <v>0</v>
      </c>
      <c r="I43" s="60" t="str">
        <f>IFERROR(__xludf.DUMMYFUNCTION("if(regexmatch($B43,""\(""),CONCATENATE(regexreplace(REGEXREPLACE(substitute(left($B43,find(""("",$B43)-1),"" "",""""),""\d"",""0""),""[-0]*\."",""0.""), REGEXEXTRACT($B43,""\((.*)\)""),TRIM(REGEXEXTRACT($B43,""\)(.*)""))),"""")"),"0.00000037e-26")</f>
        <v>0.00000037e-26</v>
      </c>
      <c r="J43" s="62">
        <f t="shared" si="3"/>
        <v>0</v>
      </c>
      <c r="K43" s="62" t="b">
        <f t="shared" si="4"/>
        <v>0</v>
      </c>
      <c r="L43" s="62" t="b">
        <f t="shared" si="5"/>
        <v>0</v>
      </c>
      <c r="M43" s="60" t="str">
        <f>IFERROR(__xludf.DUMMYFUNCTION("if(regexmatch(B43,""e(.*)$""),regexextract(B43,""e(.*)$""),"""")"),"-26")</f>
        <v>-26</v>
      </c>
    </row>
    <row r="44">
      <c r="A44" s="80" t="s">
        <v>1184</v>
      </c>
      <c r="B44" s="80" t="s">
        <v>4997</v>
      </c>
      <c r="C44" s="80" t="s">
        <v>4459</v>
      </c>
      <c r="D44" s="18" t="str">
        <f t="shared" si="1"/>
        <v>Hz T^-1</v>
      </c>
      <c r="E44" s="60" t="str">
        <f>VLOOKUP($A44,nist_names_ids!A:B,2,false)</f>
        <v>mubshhz</v>
      </c>
      <c r="F44" s="61">
        <f>countif(Constants!A:A,E44)</f>
        <v>1</v>
      </c>
      <c r="G44" s="60" t="str">
        <f>IFERROR(__xludf.DUMMYFUNCTION("REGEXREPLACE(substitute(substitute(B44,"" "",""""),""..."",""""),""\(.*\)"","""")"),"13.99624624e9")</f>
        <v>13.99624624e9</v>
      </c>
      <c r="H44" s="62">
        <f t="shared" si="2"/>
        <v>13996246240</v>
      </c>
      <c r="I44" s="60" t="str">
        <f>IFERROR(__xludf.DUMMYFUNCTION("if(regexmatch($B44,""\(""),CONCATENATE(regexreplace(REGEXREPLACE(substitute(left($B44,find(""("",$B44)-1),"" "",""""),""\d"",""0""),""[-0]*\."",""0.""), REGEXEXTRACT($B44,""\((.*)\)""),TRIM(REGEXEXTRACT($B44,""\)(.*)""))),"""")"),"0.0000000056e9")</f>
        <v>0.0000000056e9</v>
      </c>
      <c r="J44" s="62">
        <f t="shared" si="3"/>
        <v>5.6</v>
      </c>
      <c r="K44" s="62" t="b">
        <f t="shared" si="4"/>
        <v>0</v>
      </c>
      <c r="L44" s="62" t="b">
        <f t="shared" si="5"/>
        <v>0</v>
      </c>
      <c r="M44" s="60" t="str">
        <f>IFERROR(__xludf.DUMMYFUNCTION("if(regexmatch(B44,""e(.*)$""),regexextract(B44,""e(.*)$""),"""")"),"9")</f>
        <v>9</v>
      </c>
    </row>
    <row r="45">
      <c r="A45" s="80" t="s">
        <v>1224</v>
      </c>
      <c r="B45" s="80" t="s">
        <v>4460</v>
      </c>
      <c r="C45" s="80" t="s">
        <v>4461</v>
      </c>
      <c r="D45" s="18" t="str">
        <f t="shared" si="1"/>
        <v>K T^-1</v>
      </c>
      <c r="E45" s="60" t="str">
        <f>VLOOKUP($A45,nist_names_ids!A:B,2,false)</f>
        <v>mubskk</v>
      </c>
      <c r="F45" s="61">
        <f>countif(Constants!A:A,E45)</f>
        <v>1</v>
      </c>
      <c r="G45" s="60" t="str">
        <f>IFERROR(__xludf.DUMMYFUNCTION("REGEXREPLACE(substitute(substitute(B45,"" "",""""),""..."",""""),""\(.*\)"","""")"),"0.6717131")</f>
        <v>0.6717131</v>
      </c>
      <c r="H45" s="62">
        <f t="shared" si="2"/>
        <v>0.6717131</v>
      </c>
      <c r="I45" s="60" t="str">
        <f>IFERROR(__xludf.DUMMYFUNCTION("if(regexmatch($B45,""\(""),CONCATENATE(regexreplace(REGEXREPLACE(substitute(left($B45,find(""("",$B45)-1),"" "",""""),""\d"",""0""),""[-0]*\."",""0.""), REGEXEXTRACT($B45,""\((.*)\)""),TRIM(REGEXEXTRACT($B45,""\)(.*)""))),"""")"),"0.000000012")</f>
        <v>0.000000012</v>
      </c>
      <c r="J45" s="62">
        <f t="shared" si="3"/>
        <v>0.000000012</v>
      </c>
      <c r="K45" s="62" t="b">
        <f t="shared" si="4"/>
        <v>0</v>
      </c>
      <c r="L45" s="62" t="b">
        <f t="shared" si="5"/>
        <v>0</v>
      </c>
      <c r="M45" s="60" t="str">
        <f>IFERROR(__xludf.DUMMYFUNCTION("if(regexmatch(B45,""e(.*)$""),regexextract(B45,""e(.*)$""),"""")"),"")</f>
        <v/>
      </c>
    </row>
    <row r="46">
      <c r="A46" s="80" t="s">
        <v>1162</v>
      </c>
      <c r="B46" s="80" t="s">
        <v>5001</v>
      </c>
      <c r="C46" s="80" t="s">
        <v>4469</v>
      </c>
      <c r="D46" s="18" t="str">
        <f t="shared" si="1"/>
        <v>eV T^-1</v>
      </c>
      <c r="E46" s="60" t="str">
        <f>VLOOKUP($A46,nist_names_ids!A:B,2,false)</f>
        <v>mubev</v>
      </c>
      <c r="F46" s="61">
        <f>countif(Constants!A:A,E46)</f>
        <v>1</v>
      </c>
      <c r="G46" s="60" t="str">
        <f>IFERROR(__xludf.DUMMYFUNCTION("REGEXREPLACE(substitute(substitute(B46,"" "",""""),""..."",""""),""\(.*\)"","""")"),"5.788381749e-5")</f>
        <v>5.788381749e-5</v>
      </c>
      <c r="H46" s="62">
        <f t="shared" si="2"/>
        <v>0.00005788381749</v>
      </c>
      <c r="I46" s="60" t="str">
        <f>IFERROR(__xludf.DUMMYFUNCTION("if(regexmatch($B46,""\(""),CONCATENATE(regexreplace(REGEXREPLACE(substitute(left($B46,find(""("",$B46)-1),"" "",""""),""\d"",""0""),""[-0]*\."",""0.""), REGEXEXTRACT($B46,""\((.*)\)""),TRIM(REGEXEXTRACT($B46,""\)(.*)""))),"""")"),"0.00000000043e-5")</f>
        <v>0.00000000043e-5</v>
      </c>
      <c r="J46" s="62">
        <f t="shared" si="3"/>
        <v>0</v>
      </c>
      <c r="K46" s="62" t="b">
        <f t="shared" si="4"/>
        <v>0</v>
      </c>
      <c r="L46" s="62" t="b">
        <f t="shared" si="5"/>
        <v>0</v>
      </c>
      <c r="M46" s="60" t="str">
        <f>IFERROR(__xludf.DUMMYFUNCTION("if(regexmatch(B46,""e(.*)$""),regexextract(B46,""e(.*)$""),"""")"),"-5")</f>
        <v>-5</v>
      </c>
    </row>
    <row r="47">
      <c r="A47" s="80" t="s">
        <v>1657</v>
      </c>
      <c r="B47" s="80" t="s">
        <v>5003</v>
      </c>
      <c r="C47" s="80" t="s">
        <v>4474</v>
      </c>
      <c r="D47" s="18" t="str">
        <f t="shared" si="1"/>
        <v>m^-1 T^-1</v>
      </c>
      <c r="E47" s="60" t="str">
        <f>VLOOKUP($A47,nist_names_ids!A:B,2,false)</f>
        <v>mubshcminv</v>
      </c>
      <c r="F47" s="61">
        <f>countif(Constants!A:A,E47)</f>
        <v>1</v>
      </c>
      <c r="G47" s="60" t="str">
        <f>IFERROR(__xludf.DUMMYFUNCTION("REGEXREPLACE(substitute(substitute(B47,"" "",""""),""..."",""""),""\(.*\)"","""")"),"46.6864521")</f>
        <v>46.6864521</v>
      </c>
      <c r="H47" s="62">
        <f t="shared" si="2"/>
        <v>46.6864521</v>
      </c>
      <c r="I47" s="60" t="str">
        <f>IFERROR(__xludf.DUMMYFUNCTION("if(regexmatch($B47,""\(""),CONCATENATE(regexreplace(REGEXREPLACE(substitute(left($B47,find(""("",$B47)-1),"" "",""""),""\d"",""0""),""[-0]*\."",""0.""), REGEXEXTRACT($B47,""\((.*)\)""),TRIM(REGEXEXTRACT($B47,""\)(.*)""))),"""")"),"0.000000019")</f>
        <v>0.000000019</v>
      </c>
      <c r="J47" s="62">
        <f t="shared" si="3"/>
        <v>0.000000019</v>
      </c>
      <c r="K47" s="62" t="b">
        <f t="shared" si="4"/>
        <v>0</v>
      </c>
      <c r="L47" s="62" t="b">
        <f t="shared" si="5"/>
        <v>0</v>
      </c>
      <c r="M47" s="60" t="str">
        <f>IFERROR(__xludf.DUMMYFUNCTION("if(regexmatch(B47,""e(.*)$""),regexextract(B47,""e(.*)$""),"""")"),"")</f>
        <v/>
      </c>
    </row>
    <row r="48">
      <c r="A48" s="80" t="s">
        <v>1240</v>
      </c>
      <c r="B48" s="80" t="s">
        <v>4980</v>
      </c>
      <c r="C48" s="80" t="s">
        <v>381</v>
      </c>
      <c r="D48" s="18" t="str">
        <f t="shared" si="1"/>
        <v>m</v>
      </c>
      <c r="E48" s="60" t="str">
        <f>VLOOKUP($A48,nist_names_ids!A:B,2,false)</f>
        <v>bohrrada0</v>
      </c>
      <c r="F48" s="61">
        <f>countif(Constants!A:A,E48)</f>
        <v>1</v>
      </c>
      <c r="G48" s="60" t="str">
        <f>IFERROR(__xludf.DUMMYFUNCTION("REGEXREPLACE(substitute(substitute(B48,"" "",""""),""..."",""""),""\(.*\)"","""")"),"0.5291772083e-10")</f>
        <v>0.5291772083e-10</v>
      </c>
      <c r="H48" s="62">
        <f t="shared" si="2"/>
        <v>0</v>
      </c>
      <c r="I48" s="60" t="str">
        <f>IFERROR(__xludf.DUMMYFUNCTION("if(regexmatch($B48,""\(""),CONCATENATE(regexreplace(REGEXREPLACE(substitute(left($B48,find(""("",$B48)-1),"" "",""""),""\d"",""0""),""[-0]*\."",""0.""), REGEXEXTRACT($B48,""\((.*)\)""),TRIM(REGEXEXTRACT($B48,""\)(.*)""))),"""")"),"0.000000000019e-10")</f>
        <v>0.000000000019e-10</v>
      </c>
      <c r="J48" s="62">
        <f t="shared" si="3"/>
        <v>0</v>
      </c>
      <c r="K48" s="62" t="b">
        <f t="shared" si="4"/>
        <v>0</v>
      </c>
      <c r="L48" s="62" t="b">
        <f t="shared" si="5"/>
        <v>0</v>
      </c>
      <c r="M48" s="60" t="str">
        <f>IFERROR(__xludf.DUMMYFUNCTION("if(regexmatch(B48,""e(.*)$""),regexextract(B48,""e(.*)$""),"""")"),"-10")</f>
        <v>-10</v>
      </c>
    </row>
    <row r="49">
      <c r="A49" s="80" t="s">
        <v>1258</v>
      </c>
      <c r="B49" s="80" t="s">
        <v>5005</v>
      </c>
      <c r="C49" s="80" t="s">
        <v>4481</v>
      </c>
      <c r="D49" s="18" t="str">
        <f t="shared" si="1"/>
        <v>J K^-1</v>
      </c>
      <c r="E49" s="60" t="str">
        <f>VLOOKUP($A49,nist_names_ids!A:B,2,false)</f>
        <v>k</v>
      </c>
      <c r="F49" s="61">
        <f>countif(Constants!A:A,E49)</f>
        <v>1</v>
      </c>
      <c r="G49" s="60" t="str">
        <f>IFERROR(__xludf.DUMMYFUNCTION("REGEXREPLACE(substitute(substitute(B49,"" "",""""),""..."",""""),""\(.*\)"","""")"),"1.3806503e-23")</f>
        <v>1.3806503e-23</v>
      </c>
      <c r="H49" s="62">
        <f t="shared" si="2"/>
        <v>0</v>
      </c>
      <c r="I49" s="60" t="str">
        <f>IFERROR(__xludf.DUMMYFUNCTION("if(regexmatch($B49,""\(""),CONCATENATE(regexreplace(REGEXREPLACE(substitute(left($B49,find(""("",$B49)-1),"" "",""""),""\d"",""0""),""[-0]*\."",""0.""), REGEXEXTRACT($B49,""\((.*)\)""),TRIM(REGEXEXTRACT($B49,""\)(.*)""))),"""")"),"0.000000024e-23")</f>
        <v>0.000000024e-23</v>
      </c>
      <c r="J49" s="62">
        <f t="shared" si="3"/>
        <v>0</v>
      </c>
      <c r="K49" s="62" t="b">
        <f t="shared" si="4"/>
        <v>0</v>
      </c>
      <c r="L49" s="62" t="b">
        <f t="shared" si="5"/>
        <v>0</v>
      </c>
      <c r="M49" s="60" t="str">
        <f>IFERROR(__xludf.DUMMYFUNCTION("if(regexmatch(B49,""e(.*)$""),regexextract(B49,""e(.*)$""),"""")"),"-23")</f>
        <v>-23</v>
      </c>
    </row>
    <row r="50">
      <c r="A50" s="80" t="s">
        <v>1301</v>
      </c>
      <c r="B50" s="80" t="s">
        <v>4485</v>
      </c>
      <c r="C50" s="80" t="s">
        <v>4487</v>
      </c>
      <c r="D50" s="18" t="str">
        <f t="shared" si="1"/>
        <v>Hz K^-1</v>
      </c>
      <c r="E50" s="60" t="str">
        <f>VLOOKUP($A50,nist_names_ids!A:B,2,false)</f>
        <v>kshhz</v>
      </c>
      <c r="F50" s="61">
        <f>countif(Constants!A:A,E50)</f>
        <v>1</v>
      </c>
      <c r="G50" s="60" t="str">
        <f>IFERROR(__xludf.DUMMYFUNCTION("REGEXREPLACE(substitute(substitute(B50,"" "",""""),""..."",""""),""\(.*\)"","""")"),"2.0836644e10")</f>
        <v>2.0836644e10</v>
      </c>
      <c r="H50" s="62">
        <f t="shared" si="2"/>
        <v>20836644000</v>
      </c>
      <c r="I50" s="60" t="str">
        <f>IFERROR(__xludf.DUMMYFUNCTION("if(regexmatch($B50,""\(""),CONCATENATE(regexreplace(REGEXREPLACE(substitute(left($B50,find(""("",$B50)-1),"" "",""""),""\d"",""0""),""[-0]*\."",""0.""), REGEXEXTRACT($B50,""\((.*)\)""),TRIM(REGEXEXTRACT($B50,""\)(.*)""))),"""")"),"0.000000036e10")</f>
        <v>0.000000036e10</v>
      </c>
      <c r="J50" s="62">
        <f t="shared" si="3"/>
        <v>360</v>
      </c>
      <c r="K50" s="62" t="b">
        <f t="shared" si="4"/>
        <v>0</v>
      </c>
      <c r="L50" s="62" t="b">
        <f t="shared" si="5"/>
        <v>0</v>
      </c>
      <c r="M50" s="60" t="str">
        <f>IFERROR(__xludf.DUMMYFUNCTION("if(regexmatch(B50,""e(.*)$""),regexextract(B50,""e(.*)$""),"""")"),"10")</f>
        <v>10</v>
      </c>
    </row>
    <row r="51">
      <c r="A51" s="80" t="s">
        <v>1279</v>
      </c>
      <c r="B51" s="80" t="s">
        <v>5006</v>
      </c>
      <c r="C51" s="80" t="s">
        <v>4491</v>
      </c>
      <c r="D51" s="18" t="str">
        <f t="shared" si="1"/>
        <v>eV K^-1</v>
      </c>
      <c r="E51" s="60" t="str">
        <f>VLOOKUP($A51,nist_names_ids!A:B,2,false)</f>
        <v>tkev</v>
      </c>
      <c r="F51" s="61">
        <f>countif(Constants!A:A,E51)</f>
        <v>1</v>
      </c>
      <c r="G51" s="60" t="str">
        <f>IFERROR(__xludf.DUMMYFUNCTION("REGEXREPLACE(substitute(substitute(B51,"" "",""""),""..."",""""),""\(.*\)"","""")"),"8.617342e-5")</f>
        <v>8.617342e-5</v>
      </c>
      <c r="H51" s="62">
        <f t="shared" si="2"/>
        <v>0.00008617342</v>
      </c>
      <c r="I51" s="60" t="str">
        <f>IFERROR(__xludf.DUMMYFUNCTION("if(regexmatch($B51,""\(""),CONCATENATE(regexreplace(REGEXREPLACE(substitute(left($B51,find(""("",$B51)-1),"" "",""""),""\d"",""0""),""[-0]*\."",""0.""), REGEXEXTRACT($B51,""\((.*)\)""),TRIM(REGEXEXTRACT($B51,""\)(.*)""))),"""")"),"0.00000015e-5")</f>
        <v>0.00000015e-5</v>
      </c>
      <c r="J51" s="62">
        <f t="shared" si="3"/>
        <v>0</v>
      </c>
      <c r="K51" s="62" t="b">
        <f t="shared" si="4"/>
        <v>0</v>
      </c>
      <c r="L51" s="62" t="b">
        <f t="shared" si="5"/>
        <v>0</v>
      </c>
      <c r="M51" s="60" t="str">
        <f>IFERROR(__xludf.DUMMYFUNCTION("if(regexmatch(B51,""e(.*)$""),regexextract(B51,""e(.*)$""),"""")"),"-5")</f>
        <v>-5</v>
      </c>
    </row>
    <row r="52">
      <c r="A52" s="80" t="s">
        <v>1691</v>
      </c>
      <c r="B52" s="80" t="s">
        <v>4517</v>
      </c>
      <c r="C52" s="80" t="s">
        <v>4518</v>
      </c>
      <c r="D52" s="18" t="str">
        <f t="shared" si="1"/>
        <v>m^-1 K^-1</v>
      </c>
      <c r="E52" s="60" t="str">
        <f>VLOOKUP($A52,nist_names_ids!A:B,2,false)</f>
        <v>kshcminv</v>
      </c>
      <c r="F52" s="61">
        <f>countif(Constants!A:A,E52)</f>
        <v>1</v>
      </c>
      <c r="G52" s="60" t="str">
        <f>IFERROR(__xludf.DUMMYFUNCTION("REGEXREPLACE(substitute(substitute(B52,"" "",""""),""..."",""""),""\(.*\)"","""")"),"69.50356")</f>
        <v>69.50356</v>
      </c>
      <c r="H52" s="62">
        <f t="shared" si="2"/>
        <v>69.50356</v>
      </c>
      <c r="I52" s="60" t="str">
        <f>IFERROR(__xludf.DUMMYFUNCTION("if(regexmatch($B52,""\(""),CONCATENATE(regexreplace(REGEXREPLACE(substitute(left($B52,find(""("",$B52)-1),"" "",""""),""\d"",""0""),""[-0]*\."",""0.""), REGEXEXTRACT($B52,""\((.*)\)""),TRIM(REGEXEXTRACT($B52,""\)(.*)""))),"""")"),"0.0000012")</f>
        <v>0.0000012</v>
      </c>
      <c r="J52" s="62">
        <f t="shared" si="3"/>
        <v>0.0000012</v>
      </c>
      <c r="K52" s="62" t="b">
        <f t="shared" si="4"/>
        <v>0</v>
      </c>
      <c r="L52" s="62" t="b">
        <f t="shared" si="5"/>
        <v>0</v>
      </c>
      <c r="M52" s="60" t="str">
        <f>IFERROR(__xludf.DUMMYFUNCTION("if(regexmatch(B52,""e(.*)$""),regexextract(B52,""e(.*)$""),"""")"),"")</f>
        <v/>
      </c>
    </row>
    <row r="53">
      <c r="A53" s="80" t="s">
        <v>1335</v>
      </c>
      <c r="B53" s="80" t="s">
        <v>4521</v>
      </c>
      <c r="C53" s="80" t="s">
        <v>506</v>
      </c>
      <c r="D53" s="18" t="str">
        <f t="shared" si="1"/>
        <v>Ohm</v>
      </c>
      <c r="E53" s="60" t="str">
        <f>VLOOKUP($A53,nist_names_ids!A:B,2,false)</f>
        <v>z0</v>
      </c>
      <c r="F53" s="61">
        <f>countif(Constants!A:A,E53)</f>
        <v>1</v>
      </c>
      <c r="G53" s="60" t="str">
        <f>IFERROR(__xludf.DUMMYFUNCTION("REGEXREPLACE(substitute(substitute(B53,"" "",""""),""..."",""""),""\(.*\)"","""")"),"376.730313461")</f>
        <v>376.730313461</v>
      </c>
      <c r="H53" s="62">
        <f t="shared" si="2"/>
        <v>376.7303135</v>
      </c>
      <c r="I53" s="60" t="str">
        <f>IFERROR(__xludf.DUMMYFUNCTION("if(regexmatch($B53,""\(""),CONCATENATE(regexreplace(REGEXREPLACE(substitute(left($B53,find(""("",$B53)-1),"" "",""""),""\d"",""0""),""[-0]*\."",""0.""), REGEXEXTRACT($B53,""\((.*)\)""),TRIM(REGEXEXTRACT($B53,""\)(.*)""))),"""")"),"")</f>
        <v/>
      </c>
      <c r="J53" s="62" t="str">
        <f t="shared" si="3"/>
        <v/>
      </c>
      <c r="K53" s="62" t="b">
        <f t="shared" si="4"/>
        <v>0</v>
      </c>
      <c r="L53" s="62" t="b">
        <f t="shared" si="5"/>
        <v>1</v>
      </c>
      <c r="M53" s="60" t="str">
        <f>IFERROR(__xludf.DUMMYFUNCTION("if(regexmatch(B53,""e(.*)$""),regexextract(B53,""e(.*)$""),"""")"),"")</f>
        <v/>
      </c>
    </row>
    <row r="54">
      <c r="A54" s="80" t="s">
        <v>1351</v>
      </c>
      <c r="B54" s="80" t="s">
        <v>5008</v>
      </c>
      <c r="C54" s="80" t="s">
        <v>381</v>
      </c>
      <c r="D54" s="18" t="str">
        <f t="shared" si="1"/>
        <v>m</v>
      </c>
      <c r="E54" s="60" t="str">
        <f>VLOOKUP($A54,nist_names_ids!A:B,2,false)</f>
        <v>re</v>
      </c>
      <c r="F54" s="61">
        <f>countif(Constants!A:A,E54)</f>
        <v>1</v>
      </c>
      <c r="G54" s="60" t="str">
        <f>IFERROR(__xludf.DUMMYFUNCTION("REGEXREPLACE(substitute(substitute(B54,"" "",""""),""..."",""""),""\(.*\)"","""")"),"2.817940285e-15")</f>
        <v>2.817940285e-15</v>
      </c>
      <c r="H54" s="62">
        <f t="shared" si="2"/>
        <v>0</v>
      </c>
      <c r="I54" s="60" t="str">
        <f>IFERROR(__xludf.DUMMYFUNCTION("if(regexmatch($B54,""\(""),CONCATENATE(regexreplace(REGEXREPLACE(substitute(left($B54,find(""("",$B54)-1),"" "",""""),""\d"",""0""),""[-0]*\."",""0.""), REGEXEXTRACT($B54,""\((.*)\)""),TRIM(REGEXEXTRACT($B54,""\)(.*)""))),"""")"),"0.00000000031e-15")</f>
        <v>0.00000000031e-15</v>
      </c>
      <c r="J54" s="62">
        <f t="shared" si="3"/>
        <v>0</v>
      </c>
      <c r="K54" s="62" t="b">
        <f t="shared" si="4"/>
        <v>0</v>
      </c>
      <c r="L54" s="62" t="b">
        <f t="shared" si="5"/>
        <v>0</v>
      </c>
      <c r="M54" s="60" t="str">
        <f>IFERROR(__xludf.DUMMYFUNCTION("if(regexmatch(B54,""e(.*)$""),regexextract(B54,""e(.*)$""),"""")"),"-15")</f>
        <v>-15</v>
      </c>
    </row>
    <row r="55">
      <c r="A55" s="80" t="s">
        <v>1371</v>
      </c>
      <c r="B55" s="80" t="s">
        <v>5009</v>
      </c>
      <c r="C55" s="80" t="s">
        <v>381</v>
      </c>
      <c r="D55" s="18" t="str">
        <f t="shared" si="1"/>
        <v>m</v>
      </c>
      <c r="E55" s="60" t="str">
        <f>VLOOKUP($A55,nist_names_ids!A:B,2,false)</f>
        <v>ecomwl</v>
      </c>
      <c r="F55" s="61">
        <f>countif(Constants!A:A,E55)</f>
        <v>1</v>
      </c>
      <c r="G55" s="60" t="str">
        <f>IFERROR(__xludf.DUMMYFUNCTION("REGEXREPLACE(substitute(substitute(B55,"" "",""""),""..."",""""),""\(.*\)"","""")"),"2.426310215e-12")</f>
        <v>2.426310215e-12</v>
      </c>
      <c r="H55" s="62">
        <f t="shared" si="2"/>
        <v>0</v>
      </c>
      <c r="I55" s="60" t="str">
        <f>IFERROR(__xludf.DUMMYFUNCTION("if(regexmatch($B55,""\(""),CONCATENATE(regexreplace(REGEXREPLACE(substitute(left($B55,find(""("",$B55)-1),"" "",""""),""\d"",""0""),""[-0]*\."",""0.""), REGEXEXTRACT($B55,""\((.*)\)""),TRIM(REGEXEXTRACT($B55,""\)(.*)""))),"""")"),"0.00000000018e-12")</f>
        <v>0.00000000018e-12</v>
      </c>
      <c r="J55" s="62">
        <f t="shared" si="3"/>
        <v>0</v>
      </c>
      <c r="K55" s="62" t="b">
        <f t="shared" si="4"/>
        <v>0</v>
      </c>
      <c r="L55" s="62" t="b">
        <f t="shared" si="5"/>
        <v>0</v>
      </c>
      <c r="M55" s="60" t="str">
        <f>IFERROR(__xludf.DUMMYFUNCTION("if(regexmatch(B55,""e(.*)$""),regexextract(B55,""e(.*)$""),"""")"),"-12")</f>
        <v>-12</v>
      </c>
    </row>
    <row r="56">
      <c r="A56" s="80" t="s">
        <v>1711</v>
      </c>
      <c r="B56" s="80" t="s">
        <v>5011</v>
      </c>
      <c r="C56" s="80" t="s">
        <v>381</v>
      </c>
      <c r="D56" s="18" t="str">
        <f t="shared" si="1"/>
        <v>m</v>
      </c>
      <c r="E56" s="60" t="str">
        <f>VLOOKUP($A56,nist_names_ids!A:B,2,false)</f>
        <v>ecomwlbar</v>
      </c>
      <c r="F56" s="61">
        <f>countif(Constants!A:A,E56)</f>
        <v>1</v>
      </c>
      <c r="G56" s="60" t="str">
        <f>IFERROR(__xludf.DUMMYFUNCTION("REGEXREPLACE(substitute(substitute(B56,"" "",""""),""..."",""""),""\(.*\)"","""")"),"386.1592642e-15")</f>
        <v>386.1592642e-15</v>
      </c>
      <c r="H56" s="62">
        <f t="shared" si="2"/>
        <v>0</v>
      </c>
      <c r="I56" s="60" t="str">
        <f>IFERROR(__xludf.DUMMYFUNCTION("if(regexmatch($B56,""\(""),CONCATENATE(regexreplace(REGEXREPLACE(substitute(left($B56,find(""("",$B56)-1),"" "",""""),""\d"",""0""),""[-0]*\."",""0.""), REGEXEXTRACT($B56,""\((.*)\)""),TRIM(REGEXEXTRACT($B56,""\)(.*)""))),"""")"),"0.000000028e-15")</f>
        <v>0.000000028e-15</v>
      </c>
      <c r="J56" s="62">
        <f t="shared" si="3"/>
        <v>0</v>
      </c>
      <c r="K56" s="62" t="b">
        <f t="shared" si="4"/>
        <v>0</v>
      </c>
      <c r="L56" s="62" t="b">
        <f t="shared" si="5"/>
        <v>0</v>
      </c>
      <c r="M56" s="60" t="str">
        <f>IFERROR(__xludf.DUMMYFUNCTION("if(regexmatch(B56,""e(.*)$""),regexextract(B56,""e(.*)$""),"""")"),"-15")</f>
        <v>-15</v>
      </c>
    </row>
    <row r="57">
      <c r="A57" s="80" t="s">
        <v>1388</v>
      </c>
      <c r="B57" s="80" t="s">
        <v>5013</v>
      </c>
      <c r="C57" s="80" t="s">
        <v>526</v>
      </c>
      <c r="D57" s="18" t="str">
        <f t="shared" si="1"/>
        <v>S</v>
      </c>
      <c r="E57" s="60" t="str">
        <f>VLOOKUP($A57,nist_names_ids!A:B,2,false)</f>
        <v>conqu2e2sh</v>
      </c>
      <c r="F57" s="61">
        <f>countif(Constants!A:A,E57)</f>
        <v>1</v>
      </c>
      <c r="G57" s="60" t="str">
        <f>IFERROR(__xludf.DUMMYFUNCTION("REGEXREPLACE(substitute(substitute(B57,"" "",""""),""..."",""""),""\(.*\)"","""")"),"7.748091696e-5")</f>
        <v>7.748091696e-5</v>
      </c>
      <c r="H57" s="62">
        <f t="shared" si="2"/>
        <v>0.00007748091696</v>
      </c>
      <c r="I57" s="60" t="str">
        <f>IFERROR(__xludf.DUMMYFUNCTION("if(regexmatch($B57,""\(""),CONCATENATE(regexreplace(REGEXREPLACE(substitute(left($B57,find(""("",$B57)-1),"" "",""""),""\d"",""0""),""[-0]*\."",""0.""), REGEXEXTRACT($B57,""\((.*)\)""),TRIM(REGEXEXTRACT($B57,""\)(.*)""))),"""")"),"0.00000000028e-5")</f>
        <v>0.00000000028e-5</v>
      </c>
      <c r="J57" s="62">
        <f t="shared" si="3"/>
        <v>0</v>
      </c>
      <c r="K57" s="62" t="b">
        <f t="shared" si="4"/>
        <v>0</v>
      </c>
      <c r="L57" s="62" t="b">
        <f t="shared" si="5"/>
        <v>0</v>
      </c>
      <c r="M57" s="60" t="str">
        <f>IFERROR(__xludf.DUMMYFUNCTION("if(regexmatch(B57,""e(.*)$""),regexextract(B57,""e(.*)$""),"""")"),"-5")</f>
        <v>-5</v>
      </c>
    </row>
    <row r="58">
      <c r="A58" s="80" t="s">
        <v>1445</v>
      </c>
      <c r="B58" s="80" t="s">
        <v>5016</v>
      </c>
      <c r="C58" s="80" t="s">
        <v>5017</v>
      </c>
      <c r="D58" s="18" t="str">
        <f t="shared" si="1"/>
        <v>GHz V^-1</v>
      </c>
      <c r="E58" s="60" t="str">
        <f>VLOOKUP($A58,nist_names_ids!A:B,2,false)</f>
        <v>kj90</v>
      </c>
      <c r="F58" s="61">
        <f>countif(Constants!A:A,E58)</f>
        <v>1</v>
      </c>
      <c r="G58" s="60" t="str">
        <f>IFERROR(__xludf.DUMMYFUNCTION("REGEXREPLACE(substitute(substitute(B58,"" "",""""),""..."",""""),""\(.*\)"","""")"),"483597900000000.0")</f>
        <v>483597900000000.0</v>
      </c>
      <c r="H58" s="62">
        <f t="shared" si="2"/>
        <v>483597900000000</v>
      </c>
      <c r="I58" s="60" t="str">
        <f>IFERROR(__xludf.DUMMYFUNCTION("if(regexmatch($B58,""\(""),CONCATENATE(regexreplace(REGEXREPLACE(substitute(left($B58,find(""("",$B58)-1),"" "",""""),""\d"",""0""),""[-0]*\."",""0.""), REGEXEXTRACT($B58,""\((.*)\)""),TRIM(REGEXEXTRACT($B58,""\)(.*)""))),"""")"),"")</f>
        <v/>
      </c>
      <c r="J58" s="62" t="str">
        <f t="shared" si="3"/>
        <v/>
      </c>
      <c r="K58" s="62" t="b">
        <f t="shared" si="4"/>
        <v>0</v>
      </c>
      <c r="L58" s="62" t="b">
        <f t="shared" si="5"/>
        <v>0</v>
      </c>
      <c r="M58" s="60" t="str">
        <f>IFERROR(__xludf.DUMMYFUNCTION("if(regexmatch(B58,""e(.*)$""),regexextract(B58,""e(.*)$""),"""")"),"")</f>
        <v/>
      </c>
    </row>
    <row r="59">
      <c r="A59" s="80" t="s">
        <v>1722</v>
      </c>
      <c r="B59" s="80" t="s">
        <v>1723</v>
      </c>
      <c r="C59" s="80" t="s">
        <v>506</v>
      </c>
      <c r="D59" s="18" t="str">
        <f t="shared" si="1"/>
        <v>Ohm</v>
      </c>
      <c r="E59" s="60" t="str">
        <f>VLOOKUP($A59,nist_names_ids!A:B,2,false)</f>
        <v>rk90</v>
      </c>
      <c r="F59" s="61">
        <f>countif(Constants!A:A,E59)</f>
        <v>1</v>
      </c>
      <c r="G59" s="60" t="str">
        <f>IFERROR(__xludf.DUMMYFUNCTION("REGEXREPLACE(substitute(substitute(B59,"" "",""""),""..."",""""),""\(.*\)"","""")"),"25812.807")</f>
        <v>25812.807</v>
      </c>
      <c r="H59" s="62">
        <f t="shared" si="2"/>
        <v>25812.807</v>
      </c>
      <c r="I59" s="60" t="str">
        <f>IFERROR(__xludf.DUMMYFUNCTION("if(regexmatch($B59,""\(""),CONCATENATE(regexreplace(REGEXREPLACE(substitute(left($B59,find(""("",$B59)-1),"" "",""""),""\d"",""0""),""[-0]*\."",""0.""), REGEXEXTRACT($B59,""\((.*)\)""),TRIM(REGEXEXTRACT($B59,""\)(.*)""))),"""")"),"")</f>
        <v/>
      </c>
      <c r="J59" s="62" t="str">
        <f t="shared" si="3"/>
        <v/>
      </c>
      <c r="K59" s="62" t="b">
        <f t="shared" si="4"/>
        <v>0</v>
      </c>
      <c r="L59" s="62" t="b">
        <f t="shared" si="5"/>
        <v>0</v>
      </c>
      <c r="M59" s="60" t="str">
        <f>IFERROR(__xludf.DUMMYFUNCTION("if(regexmatch(B59,""e(.*)$""),regexextract(B59,""e(.*)$""),"""")"),"")</f>
        <v/>
      </c>
    </row>
    <row r="60">
      <c r="A60" s="80" t="s">
        <v>1824</v>
      </c>
      <c r="B60" s="80" t="s">
        <v>5019</v>
      </c>
      <c r="C60" s="80" t="s">
        <v>381</v>
      </c>
      <c r="D60" s="18" t="str">
        <f t="shared" si="1"/>
        <v>m</v>
      </c>
      <c r="E60" s="60" t="str">
        <f>VLOOKUP($A60,nist_names_ids!A:B,2,false)</f>
        <v>xucukalph1</v>
      </c>
      <c r="F60" s="61">
        <f>countif(Constants!A:A,E60)</f>
        <v>1</v>
      </c>
      <c r="G60" s="60" t="str">
        <f>IFERROR(__xludf.DUMMYFUNCTION("REGEXREPLACE(substitute(substitute(B60,"" "",""""),""..."",""""),""\(.*\)"","""")"),"1.00207703e-13")</f>
        <v>1.00207703e-13</v>
      </c>
      <c r="H60" s="62">
        <f t="shared" si="2"/>
        <v>0</v>
      </c>
      <c r="I60" s="60" t="str">
        <f>IFERROR(__xludf.DUMMYFUNCTION("if(regexmatch($B60,""\(""),CONCATENATE(regexreplace(REGEXREPLACE(substitute(left($B60,find(""("",$B60)-1),"" "",""""),""\d"",""0""),""[-0]*\."",""0.""), REGEXEXTRACT($B60,""\((.*)\)""),TRIM(REGEXEXTRACT($B60,""\)(.*)""))),"""")"),"0.0000000028e-13")</f>
        <v>0.0000000028e-13</v>
      </c>
      <c r="J60" s="62">
        <f t="shared" si="3"/>
        <v>0</v>
      </c>
      <c r="K60" s="62" t="b">
        <f t="shared" si="4"/>
        <v>0</v>
      </c>
      <c r="L60" s="62" t="b">
        <f t="shared" si="5"/>
        <v>0</v>
      </c>
      <c r="M60" s="60" t="str">
        <f>IFERROR(__xludf.DUMMYFUNCTION("if(regexmatch(B60,""e(.*)$""),regexextract(B60,""e(.*)$""),"""")"),"-13")</f>
        <v>-13</v>
      </c>
    </row>
    <row r="61">
      <c r="A61" s="80" t="s">
        <v>1572</v>
      </c>
      <c r="B61" s="80" t="s">
        <v>5020</v>
      </c>
      <c r="C61" s="80" t="s">
        <v>4421</v>
      </c>
      <c r="D61" s="18" t="str">
        <f t="shared" si="1"/>
        <v>J T^-1</v>
      </c>
      <c r="E61" s="60" t="str">
        <f>VLOOKUP($A61,nist_names_ids!A:B,2,false)</f>
        <v>mud</v>
      </c>
      <c r="F61" s="61">
        <f>countif(Constants!A:A,E61)</f>
        <v>1</v>
      </c>
      <c r="G61" s="60" t="str">
        <f>IFERROR(__xludf.DUMMYFUNCTION("REGEXREPLACE(substitute(substitute(B61,"" "",""""),""..."",""""),""\(.*\)"","""")"),"0.433073457e-26")</f>
        <v>0.433073457e-26</v>
      </c>
      <c r="H61" s="62">
        <f t="shared" si="2"/>
        <v>0</v>
      </c>
      <c r="I61" s="60" t="str">
        <f>IFERROR(__xludf.DUMMYFUNCTION("if(regexmatch($B61,""\(""),CONCATENATE(regexreplace(REGEXREPLACE(substitute(left($B61,find(""("",$B61)-1),"" "",""""),""\d"",""0""),""[-0]*\."",""0.""), REGEXEXTRACT($B61,""\((.*)\)""),TRIM(REGEXEXTRACT($B61,""\)(.*)""))),"""")"),"0.00000000018e-26")</f>
        <v>0.00000000018e-26</v>
      </c>
      <c r="J61" s="62">
        <f t="shared" si="3"/>
        <v>0</v>
      </c>
      <c r="K61" s="62" t="b">
        <f t="shared" si="4"/>
        <v>0</v>
      </c>
      <c r="L61" s="62" t="b">
        <f t="shared" si="5"/>
        <v>0</v>
      </c>
      <c r="M61" s="60" t="str">
        <f>IFERROR(__xludf.DUMMYFUNCTION("if(regexmatch(B61,""e(.*)$""),regexextract(B61,""e(.*)$""),"""")"),"-26")</f>
        <v>-26</v>
      </c>
    </row>
    <row r="62">
      <c r="A62" s="80" t="s">
        <v>1588</v>
      </c>
      <c r="B62" s="80" t="s">
        <v>5021</v>
      </c>
      <c r="C62" s="80"/>
      <c r="D62" s="18" t="str">
        <f t="shared" si="1"/>
        <v/>
      </c>
      <c r="E62" s="60" t="str">
        <f>VLOOKUP($A62,nist_names_ids!A:B,2,false)</f>
        <v>mudsmub</v>
      </c>
      <c r="F62" s="61">
        <f>countif(Constants!A:A,E62)</f>
        <v>1</v>
      </c>
      <c r="G62" s="60" t="str">
        <f>IFERROR(__xludf.DUMMYFUNCTION("REGEXREPLACE(substitute(substitute(B62,"" "",""""),""..."",""""),""\(.*\)"","""")"),"0.4669754556e-3")</f>
        <v>0.4669754556e-3</v>
      </c>
      <c r="H62" s="62">
        <f t="shared" si="2"/>
        <v>0.0004669754556</v>
      </c>
      <c r="I62" s="60" t="str">
        <f>IFERROR(__xludf.DUMMYFUNCTION("if(regexmatch($B62,""\(""),CONCATENATE(regexreplace(REGEXREPLACE(substitute(left($B62,find(""("",$B62)-1),"" "",""""),""\d"",""0""),""[-0]*\."",""0.""), REGEXEXTRACT($B62,""\((.*)\)""),TRIM(REGEXEXTRACT($B62,""\)(.*)""))),"""")"),"0.000000000050e-3")</f>
        <v>0.000000000050e-3</v>
      </c>
      <c r="J62" s="62">
        <f t="shared" si="3"/>
        <v>0</v>
      </c>
      <c r="K62" s="62" t="b">
        <f t="shared" si="4"/>
        <v>0</v>
      </c>
      <c r="L62" s="62" t="b">
        <f t="shared" si="5"/>
        <v>0</v>
      </c>
      <c r="M62" s="60" t="str">
        <f>IFERROR(__xludf.DUMMYFUNCTION("if(regexmatch(B62,""e(.*)$""),regexextract(B62,""e(.*)$""),"""")"),"-3")</f>
        <v>-3</v>
      </c>
    </row>
    <row r="63">
      <c r="A63" s="80" t="s">
        <v>1600</v>
      </c>
      <c r="B63" s="80" t="s">
        <v>5024</v>
      </c>
      <c r="C63" s="80"/>
      <c r="D63" s="18" t="str">
        <f t="shared" si="1"/>
        <v/>
      </c>
      <c r="E63" s="60" t="str">
        <f>VLOOKUP($A63,nist_names_ids!A:B,2,false)</f>
        <v>mudsmun</v>
      </c>
      <c r="F63" s="61">
        <f>countif(Constants!A:A,E63)</f>
        <v>1</v>
      </c>
      <c r="G63" s="60" t="str">
        <f>IFERROR(__xludf.DUMMYFUNCTION("REGEXREPLACE(substitute(substitute(B63,"" "",""""),""..."",""""),""\(.*\)"","""")"),"0.8574382284")</f>
        <v>0.8574382284</v>
      </c>
      <c r="H63" s="62">
        <f t="shared" si="2"/>
        <v>0.8574382284</v>
      </c>
      <c r="I63" s="60" t="str">
        <f>IFERROR(__xludf.DUMMYFUNCTION("if(regexmatch($B63,""\(""),CONCATENATE(regexreplace(REGEXREPLACE(substitute(left($B63,find(""("",$B63)-1),"" "",""""),""\d"",""0""),""[-0]*\."",""0.""), REGEXEXTRACT($B63,""\((.*)\)""),TRIM(REGEXEXTRACT($B63,""\)(.*)""))),"""")"),"0.000000000094")</f>
        <v>0.000000000094</v>
      </c>
      <c r="J63" s="62">
        <f t="shared" si="3"/>
        <v>0</v>
      </c>
      <c r="K63" s="62" t="b">
        <f t="shared" si="4"/>
        <v>0</v>
      </c>
      <c r="L63" s="62" t="b">
        <f t="shared" si="5"/>
        <v>0</v>
      </c>
      <c r="M63" s="60" t="str">
        <f>IFERROR(__xludf.DUMMYFUNCTION("if(regexmatch(B63,""e(.*)$""),regexextract(B63,""e(.*)$""),"""")"),"")</f>
        <v/>
      </c>
    </row>
    <row r="64">
      <c r="A64" s="80" t="s">
        <v>1609</v>
      </c>
      <c r="B64" s="80" t="s">
        <v>5025</v>
      </c>
      <c r="C64" s="80" t="s">
        <v>98</v>
      </c>
      <c r="D64" s="18" t="str">
        <f t="shared" si="1"/>
        <v>kg</v>
      </c>
      <c r="E64" s="60" t="str">
        <f>VLOOKUP($A64,nist_names_ids!A:B,2,false)</f>
        <v>md</v>
      </c>
      <c r="F64" s="61">
        <f>countif(Constants!A:A,E64)</f>
        <v>1</v>
      </c>
      <c r="G64" s="60" t="str">
        <f>IFERROR(__xludf.DUMMYFUNCTION("REGEXREPLACE(substitute(substitute(B64,"" "",""""),""..."",""""),""\(.*\)"","""")"),"3.34358309e-27")</f>
        <v>3.34358309e-27</v>
      </c>
      <c r="H64" s="62">
        <f t="shared" si="2"/>
        <v>0</v>
      </c>
      <c r="I64" s="60" t="str">
        <f>IFERROR(__xludf.DUMMYFUNCTION("if(regexmatch($B64,""\(""),CONCATENATE(regexreplace(REGEXREPLACE(substitute(left($B64,find(""("",$B64)-1),"" "",""""),""\d"",""0""),""[-0]*\."",""0.""), REGEXEXTRACT($B64,""\((.*)\)""),TRIM(REGEXEXTRACT($B64,""\)(.*)""))),"""")"),"0.0000000026e-27")</f>
        <v>0.0000000026e-27</v>
      </c>
      <c r="J64" s="62">
        <f t="shared" si="3"/>
        <v>0</v>
      </c>
      <c r="K64" s="62" t="b">
        <f t="shared" si="4"/>
        <v>0</v>
      </c>
      <c r="L64" s="62" t="b">
        <f t="shared" si="5"/>
        <v>0</v>
      </c>
      <c r="M64" s="60" t="str">
        <f>IFERROR(__xludf.DUMMYFUNCTION("if(regexmatch(B64,""e(.*)$""),regexextract(B64,""e(.*)$""),"""")"),"-27")</f>
        <v>-27</v>
      </c>
    </row>
    <row r="65">
      <c r="A65" s="80" t="s">
        <v>1617</v>
      </c>
      <c r="B65" s="80" t="s">
        <v>5029</v>
      </c>
      <c r="C65" s="80" t="s">
        <v>173</v>
      </c>
      <c r="D65" s="18" t="str">
        <f t="shared" si="1"/>
        <v>J</v>
      </c>
      <c r="E65" s="60" t="str">
        <f>VLOOKUP($A65,nist_names_ids!A:B,2,false)</f>
        <v>mdc2</v>
      </c>
      <c r="F65" s="61">
        <f>countif(Constants!A:A,E65)</f>
        <v>1</v>
      </c>
      <c r="G65" s="60" t="str">
        <f>IFERROR(__xludf.DUMMYFUNCTION("REGEXREPLACE(substitute(substitute(B65,"" "",""""),""..."",""""),""\(.*\)"","""")"),"3.00506262e-10")</f>
        <v>3.00506262e-10</v>
      </c>
      <c r="H65" s="62">
        <f t="shared" si="2"/>
        <v>0.000000000300506262</v>
      </c>
      <c r="I65" s="60" t="str">
        <f>IFERROR(__xludf.DUMMYFUNCTION("if(regexmatch($B65,""\(""),CONCATENATE(regexreplace(REGEXREPLACE(substitute(left($B65,find(""("",$B65)-1),"" "",""""),""\d"",""0""),""[-0]*\."",""0.""), REGEXEXTRACT($B65,""\((.*)\)""),TRIM(REGEXEXTRACT($B65,""\)(.*)""))),"""")"),"0.0000000024e-10")</f>
        <v>0.0000000024e-10</v>
      </c>
      <c r="J65" s="62">
        <f t="shared" si="3"/>
        <v>0</v>
      </c>
      <c r="K65" s="62" t="b">
        <f t="shared" si="4"/>
        <v>0</v>
      </c>
      <c r="L65" s="62" t="b">
        <f t="shared" si="5"/>
        <v>0</v>
      </c>
      <c r="M65" s="60" t="str">
        <f>IFERROR(__xludf.DUMMYFUNCTION("if(regexmatch(B65,""e(.*)$""),regexextract(B65,""e(.*)$""),"""")"),"-10")</f>
        <v>-10</v>
      </c>
    </row>
    <row r="66">
      <c r="A66" s="80" t="s">
        <v>1632</v>
      </c>
      <c r="B66" s="80" t="s">
        <v>5031</v>
      </c>
      <c r="C66" s="80" t="s">
        <v>224</v>
      </c>
      <c r="D66" s="18" t="str">
        <f t="shared" si="1"/>
        <v>MeV</v>
      </c>
      <c r="E66" s="60" t="str">
        <f>VLOOKUP($A66,nist_names_ids!A:B,2,false)</f>
        <v>mdc2mev</v>
      </c>
      <c r="F66" s="61">
        <f>countif(Constants!A:A,E66)</f>
        <v>1</v>
      </c>
      <c r="G66" s="60" t="str">
        <f>IFERROR(__xludf.DUMMYFUNCTION("REGEXREPLACE(substitute(substitute(B66,"" "",""""),""..."",""""),""\(.*\)"","""")"),"1875.612762")</f>
        <v>1875.612762</v>
      </c>
      <c r="H66" s="62">
        <f t="shared" si="2"/>
        <v>1875.612762</v>
      </c>
      <c r="I66" s="60" t="str">
        <f>IFERROR(__xludf.DUMMYFUNCTION("if(regexmatch($B66,""\(""),CONCATENATE(regexreplace(REGEXREPLACE(substitute(left($B66,find(""("",$B66)-1),"" "",""""),""\d"",""0""),""[-0]*\."",""0.""), REGEXEXTRACT($B66,""\((.*)\)""),TRIM(REGEXEXTRACT($B66,""\)(.*)""))),"""")"),"0.00000075")</f>
        <v>0.00000075</v>
      </c>
      <c r="J66" s="62">
        <f t="shared" si="3"/>
        <v>0.00000075</v>
      </c>
      <c r="K66" s="62" t="b">
        <f t="shared" si="4"/>
        <v>0</v>
      </c>
      <c r="L66" s="62" t="b">
        <f t="shared" si="5"/>
        <v>0</v>
      </c>
      <c r="M66" s="60" t="str">
        <f>IFERROR(__xludf.DUMMYFUNCTION("if(regexmatch(B66,""e(.*)$""),regexextract(B66,""e(.*)$""),"""")"),"")</f>
        <v/>
      </c>
    </row>
    <row r="67">
      <c r="A67" s="80" t="s">
        <v>1643</v>
      </c>
      <c r="B67" s="80" t="s">
        <v>5034</v>
      </c>
      <c r="C67" s="80" t="s">
        <v>249</v>
      </c>
      <c r="D67" s="18" t="str">
        <f t="shared" si="1"/>
        <v>u</v>
      </c>
      <c r="E67" s="60" t="str">
        <f>VLOOKUP($A67,nist_names_ids!A:B,2,false)</f>
        <v>mdu</v>
      </c>
      <c r="F67" s="61">
        <f>countif(Constants!A:A,E67)</f>
        <v>1</v>
      </c>
      <c r="G67" s="60" t="str">
        <f>IFERROR(__xludf.DUMMYFUNCTION("REGEXREPLACE(substitute(substitute(B67,"" "",""""),""..."",""""),""\(.*\)"","""")"),"2.01355321271")</f>
        <v>2.01355321271</v>
      </c>
      <c r="H67" s="62">
        <f t="shared" si="2"/>
        <v>2.013553213</v>
      </c>
      <c r="I67" s="60" t="str">
        <f>IFERROR(__xludf.DUMMYFUNCTION("if(regexmatch($B67,""\(""),CONCATENATE(regexreplace(REGEXREPLACE(substitute(left($B67,find(""("",$B67)-1),"" "",""""),""\d"",""0""),""[-0]*\."",""0.""), REGEXEXTRACT($B67,""\((.*)\)""),TRIM(REGEXEXTRACT($B67,""\)(.*)""))),"""")"),"0.0000000000035")</f>
        <v>0.0000000000035</v>
      </c>
      <c r="J67" s="62">
        <f t="shared" si="3"/>
        <v>0</v>
      </c>
      <c r="K67" s="62" t="b">
        <f t="shared" si="4"/>
        <v>0</v>
      </c>
      <c r="L67" s="62" t="b">
        <f t="shared" si="5"/>
        <v>0</v>
      </c>
      <c r="M67" s="60" t="str">
        <f>IFERROR(__xludf.DUMMYFUNCTION("if(regexmatch(B67,""e(.*)$""),regexextract(B67,""e(.*)$""),"""")"),"")</f>
        <v/>
      </c>
    </row>
    <row r="68">
      <c r="A68" s="80" t="s">
        <v>1651</v>
      </c>
      <c r="B68" s="80" t="s">
        <v>5038</v>
      </c>
      <c r="C68" s="80" t="s">
        <v>4309</v>
      </c>
      <c r="D68" s="18" t="str">
        <f t="shared" si="1"/>
        <v>kg mol^-1</v>
      </c>
      <c r="E68" s="60" t="str">
        <f>VLOOKUP($A68,nist_names_ids!A:B,2,false)</f>
        <v>mmd</v>
      </c>
      <c r="F68" s="61">
        <f>countif(Constants!A:A,E68)</f>
        <v>1</v>
      </c>
      <c r="G68" s="60" t="str">
        <f>IFERROR(__xludf.DUMMYFUNCTION("REGEXREPLACE(substitute(substitute(B68,"" "",""""),""..."",""""),""\(.*\)"","""")"),"2.01355321271e-3")</f>
        <v>2.01355321271e-3</v>
      </c>
      <c r="H68" s="62">
        <f t="shared" si="2"/>
        <v>0.002013553213</v>
      </c>
      <c r="I68" s="60" t="str">
        <f>IFERROR(__xludf.DUMMYFUNCTION("if(regexmatch($B68,""\(""),CONCATENATE(regexreplace(REGEXREPLACE(substitute(left($B68,find(""("",$B68)-1),"" "",""""),""\d"",""0""),""[-0]*\."",""0.""), REGEXEXTRACT($B68,""\((.*)\)""),TRIM(REGEXEXTRACT($B68,""\)(.*)""))),"""")"),"0.0000000000035e-3")</f>
        <v>0.0000000000035e-3</v>
      </c>
      <c r="J68" s="62">
        <f t="shared" si="3"/>
        <v>0</v>
      </c>
      <c r="K68" s="62" t="b">
        <f t="shared" si="4"/>
        <v>0</v>
      </c>
      <c r="L68" s="62" t="b">
        <f t="shared" si="5"/>
        <v>0</v>
      </c>
      <c r="M68" s="60" t="str">
        <f>IFERROR(__xludf.DUMMYFUNCTION("if(regexmatch(B68,""e(.*)$""),regexextract(B68,""e(.*)$""),"""")"),"-3")</f>
        <v>-3</v>
      </c>
    </row>
    <row r="69">
      <c r="A69" s="80" t="s">
        <v>1985</v>
      </c>
      <c r="B69" s="80" t="s">
        <v>5040</v>
      </c>
      <c r="C69" s="80"/>
      <c r="D69" s="18" t="str">
        <f t="shared" si="1"/>
        <v/>
      </c>
      <c r="E69" s="60" t="str">
        <f>VLOOKUP($A69,nist_names_ids!A:B,2,false)</f>
        <v>mudsmuem</v>
      </c>
      <c r="F69" s="61">
        <f>countif(Constants!A:A,E69)</f>
        <v>1</v>
      </c>
      <c r="G69" s="60" t="str">
        <f>IFERROR(__xludf.DUMMYFUNCTION("REGEXREPLACE(substitute(substitute(B69,"" "",""""),""..."",""""),""\(.*\)"","""")"),"-4.664345537e-4")</f>
        <v>-4.664345537e-4</v>
      </c>
      <c r="H69" s="62">
        <f t="shared" si="2"/>
        <v>-0.0004664345537</v>
      </c>
      <c r="I69" s="60" t="str">
        <f>IFERROR(__xludf.DUMMYFUNCTION("if(regexmatch($B69,""\(""),CONCATENATE(regexreplace(REGEXREPLACE(substitute(left($B69,find(""("",$B69)-1),"" "",""""),""\d"",""0""),""[-0]*\."",""0.""), REGEXEXTRACT($B69,""\((.*)\)""),TRIM(REGEXEXTRACT($B69,""\)(.*)""))),"""")"),"0.00000000050e-4")</f>
        <v>0.00000000050e-4</v>
      </c>
      <c r="J69" s="62">
        <f t="shared" si="3"/>
        <v>0</v>
      </c>
      <c r="K69" s="62" t="b">
        <f t="shared" si="4"/>
        <v>0</v>
      </c>
      <c r="L69" s="62" t="b">
        <f t="shared" si="5"/>
        <v>0</v>
      </c>
      <c r="M69" s="60" t="str">
        <f>IFERROR(__xludf.DUMMYFUNCTION("if(regexmatch(B69,""e(.*)$""),regexextract(B69,""e(.*)$""),"""")"),"-4")</f>
        <v>-4</v>
      </c>
    </row>
    <row r="70">
      <c r="A70" s="80" t="s">
        <v>1738</v>
      </c>
      <c r="B70" s="80" t="s">
        <v>5043</v>
      </c>
      <c r="C70" s="80"/>
      <c r="D70" s="18" t="str">
        <f t="shared" si="1"/>
        <v/>
      </c>
      <c r="E70" s="60" t="str">
        <f>VLOOKUP($A70,nist_names_ids!A:B,2,false)</f>
        <v>mdsme</v>
      </c>
      <c r="F70" s="61">
        <f>countif(Constants!A:A,E70)</f>
        <v>1</v>
      </c>
      <c r="G70" s="60" t="str">
        <f>IFERROR(__xludf.DUMMYFUNCTION("REGEXREPLACE(substitute(substitute(B70,"" "",""""),""..."",""""),""\(.*\)"","""")"),"3670.4829550")</f>
        <v>3670.4829550</v>
      </c>
      <c r="H70" s="62">
        <f t="shared" si="2"/>
        <v>3670.482955</v>
      </c>
      <c r="I70" s="60" t="str">
        <f>IFERROR(__xludf.DUMMYFUNCTION("if(regexmatch($B70,""\(""),CONCATENATE(regexreplace(REGEXREPLACE(substitute(left($B70,find(""("",$B70)-1),"" "",""""),""\d"",""0""),""[-0]*\."",""0.""), REGEXEXTRACT($B70,""\((.*)\)""),TRIM(REGEXEXTRACT($B70,""\)(.*)""))),"""")"),"0.000000078")</f>
        <v>0.000000078</v>
      </c>
      <c r="J70" s="62">
        <f t="shared" si="3"/>
        <v>0.000000078</v>
      </c>
      <c r="K70" s="62" t="b">
        <f t="shared" si="4"/>
        <v>0</v>
      </c>
      <c r="L70" s="62" t="b">
        <f t="shared" si="5"/>
        <v>0</v>
      </c>
      <c r="M70" s="60" t="str">
        <f>IFERROR(__xludf.DUMMYFUNCTION("if(regexmatch(B70,""e(.*)$""),regexextract(B70,""e(.*)$""),"""")"),"")</f>
        <v/>
      </c>
    </row>
    <row r="71">
      <c r="A71" s="80" t="s">
        <v>1994</v>
      </c>
      <c r="B71" s="80" t="s">
        <v>4574</v>
      </c>
      <c r="C71" s="80"/>
      <c r="D71" s="18" t="str">
        <f t="shared" si="1"/>
        <v/>
      </c>
      <c r="E71" s="60" t="str">
        <f>VLOOKUP($A71,nist_names_ids!A:B,2,false)</f>
        <v>mudsmunn</v>
      </c>
      <c r="F71" s="61">
        <f>countif(Constants!A:A,E71)</f>
        <v>1</v>
      </c>
      <c r="G71" s="60" t="str">
        <f>IFERROR(__xludf.DUMMYFUNCTION("REGEXREPLACE(substitute(substitute(B71,"" "",""""),""..."",""""),""\(.*\)"","""")"),"-0.44820652")</f>
        <v>-0.44820652</v>
      </c>
      <c r="H71" s="62">
        <f t="shared" si="2"/>
        <v>-0.44820652</v>
      </c>
      <c r="I71" s="60" t="str">
        <f>IFERROR(__xludf.DUMMYFUNCTION("if(regexmatch($B71,""\(""),CONCATENATE(regexreplace(REGEXREPLACE(substitute(left($B71,find(""("",$B71)-1),"" "",""""),""\d"",""0""),""[-0]*\."",""0.""), REGEXEXTRACT($B71,""\((.*)\)""),TRIM(REGEXEXTRACT($B71,""\)(.*)""))),"""")"),"0.0000000011")</f>
        <v>0.0000000011</v>
      </c>
      <c r="J71" s="62">
        <f t="shared" si="3"/>
        <v>0.0000000011</v>
      </c>
      <c r="K71" s="62" t="b">
        <f t="shared" si="4"/>
        <v>0</v>
      </c>
      <c r="L71" s="62" t="b">
        <f t="shared" si="5"/>
        <v>0</v>
      </c>
      <c r="M71" s="60" t="str">
        <f>IFERROR(__xludf.DUMMYFUNCTION("if(regexmatch(B71,""e(.*)$""),regexextract(B71,""e(.*)$""),"""")"),"")</f>
        <v/>
      </c>
    </row>
    <row r="72">
      <c r="A72" s="80" t="s">
        <v>2016</v>
      </c>
      <c r="B72" s="80" t="s">
        <v>5047</v>
      </c>
      <c r="C72" s="80"/>
      <c r="D72" s="18" t="str">
        <f t="shared" si="1"/>
        <v/>
      </c>
      <c r="E72" s="60" t="str">
        <f>VLOOKUP($A72,nist_names_ids!A:B,2,false)</f>
        <v>mudsmup</v>
      </c>
      <c r="F72" s="61">
        <f>countif(Constants!A:A,E72)</f>
        <v>1</v>
      </c>
      <c r="G72" s="60" t="str">
        <f>IFERROR(__xludf.DUMMYFUNCTION("REGEXREPLACE(substitute(substitute(B72,"" "",""""),""..."",""""),""\(.*\)"","""")"),"0.3070122083")</f>
        <v>0.3070122083</v>
      </c>
      <c r="H72" s="62">
        <f t="shared" si="2"/>
        <v>0.3070122083</v>
      </c>
      <c r="I72" s="60" t="str">
        <f>IFERROR(__xludf.DUMMYFUNCTION("if(regexmatch($B72,""\(""),CONCATENATE(regexreplace(REGEXREPLACE(substitute(left($B72,find(""("",$B72)-1),"" "",""""),""\d"",""0""),""[-0]*\."",""0.""), REGEXEXTRACT($B72,""\((.*)\)""),TRIM(REGEXEXTRACT($B72,""\)(.*)""))),"""")"),"0.000000000045")</f>
        <v>0.000000000045</v>
      </c>
      <c r="J72" s="62">
        <f t="shared" si="3"/>
        <v>0</v>
      </c>
      <c r="K72" s="62" t="b">
        <f t="shared" si="4"/>
        <v>0</v>
      </c>
      <c r="L72" s="62" t="b">
        <f t="shared" si="5"/>
        <v>0</v>
      </c>
      <c r="M72" s="60" t="str">
        <f>IFERROR(__xludf.DUMMYFUNCTION("if(regexmatch(B72,""e(.*)$""),regexextract(B72,""e(.*)$""),"""")"),"")</f>
        <v/>
      </c>
    </row>
    <row r="73">
      <c r="A73" s="80" t="s">
        <v>1785</v>
      </c>
      <c r="B73" s="80" t="s">
        <v>5049</v>
      </c>
      <c r="C73" s="80"/>
      <c r="D73" s="18" t="str">
        <f t="shared" si="1"/>
        <v/>
      </c>
      <c r="E73" s="60" t="str">
        <f>VLOOKUP($A73,nist_names_ids!A:B,2,false)</f>
        <v>mdsmp</v>
      </c>
      <c r="F73" s="61">
        <f>countif(Constants!A:A,E73)</f>
        <v>1</v>
      </c>
      <c r="G73" s="60" t="str">
        <f>IFERROR(__xludf.DUMMYFUNCTION("REGEXREPLACE(substitute(substitute(B73,"" "",""""),""..."",""""),""\(.*\)"","""")"),"1.99900750083")</f>
        <v>1.99900750083</v>
      </c>
      <c r="H73" s="62">
        <f t="shared" si="2"/>
        <v>1.999007501</v>
      </c>
      <c r="I73" s="60" t="str">
        <f>IFERROR(__xludf.DUMMYFUNCTION("if(regexmatch($B73,""\(""),CONCATENATE(regexreplace(REGEXREPLACE(substitute(left($B73,find(""("",$B73)-1),"" "",""""),""\d"",""0""),""[-0]*\."",""0.""), REGEXEXTRACT($B73,""\((.*)\)""),TRIM(REGEXEXTRACT($B73,""\)(.*)""))),"""")"),"0.0000000000041")</f>
        <v>0.0000000000041</v>
      </c>
      <c r="J73" s="62">
        <f t="shared" si="3"/>
        <v>0</v>
      </c>
      <c r="K73" s="62" t="b">
        <f t="shared" si="4"/>
        <v>0</v>
      </c>
      <c r="L73" s="62" t="b">
        <f t="shared" si="5"/>
        <v>0</v>
      </c>
      <c r="M73" s="60" t="str">
        <f>IFERROR(__xludf.DUMMYFUNCTION("if(regexmatch(B73,""e(.*)$""),regexextract(B73,""e(.*)$""),"""")"),"")</f>
        <v/>
      </c>
    </row>
    <row r="74">
      <c r="A74" s="80" t="s">
        <v>2034</v>
      </c>
      <c r="B74" s="80" t="s">
        <v>4582</v>
      </c>
      <c r="C74" s="80" t="s">
        <v>4438</v>
      </c>
      <c r="D74" s="18" t="str">
        <f t="shared" si="1"/>
        <v>F m^-1</v>
      </c>
      <c r="E74" s="60" t="str">
        <f>VLOOKUP($A74,nist_names_ids!A:B,2,false)</f>
        <v>ep0</v>
      </c>
      <c r="F74" s="61">
        <f>countif(Constants!A:A,E74)</f>
        <v>1</v>
      </c>
      <c r="G74" s="60" t="str">
        <f>IFERROR(__xludf.DUMMYFUNCTION("REGEXREPLACE(substitute(substitute(B74,"" "",""""),""..."",""""),""\(.*\)"","""")"),"8.854187817e-12")</f>
        <v>8.854187817e-12</v>
      </c>
      <c r="H74" s="62">
        <f t="shared" si="2"/>
        <v>0</v>
      </c>
      <c r="I74" s="60" t="str">
        <f>IFERROR(__xludf.DUMMYFUNCTION("if(regexmatch($B74,""\(""),CONCATENATE(regexreplace(REGEXREPLACE(substitute(left($B74,find(""("",$B74)-1),"" "",""""),""\d"",""0""),""[-0]*\."",""0.""), REGEXEXTRACT($B74,""\((.*)\)""),TRIM(REGEXEXTRACT($B74,""\)(.*)""))),"""")"),"")</f>
        <v/>
      </c>
      <c r="J74" s="62" t="str">
        <f t="shared" si="3"/>
        <v/>
      </c>
      <c r="K74" s="62" t="b">
        <f t="shared" si="4"/>
        <v>0</v>
      </c>
      <c r="L74" s="62" t="b">
        <f t="shared" si="5"/>
        <v>1</v>
      </c>
      <c r="M74" s="60" t="str">
        <f>IFERROR(__xludf.DUMMYFUNCTION("if(regexmatch(B74,""e(.*)$""),regexextract(B74,""e(.*)$""),"""")"),"-12")</f>
        <v>-12</v>
      </c>
    </row>
    <row r="75">
      <c r="A75" s="80" t="s">
        <v>1687</v>
      </c>
      <c r="B75" s="80" t="s">
        <v>5052</v>
      </c>
      <c r="C75" s="80" t="s">
        <v>4587</v>
      </c>
      <c r="D75" s="18" t="str">
        <f t="shared" si="1"/>
        <v>C kg^-1</v>
      </c>
      <c r="E75" s="60" t="str">
        <f>VLOOKUP($A75,nist_names_ids!A:B,2,false)</f>
        <v>esme</v>
      </c>
      <c r="F75" s="61">
        <f>countif(Constants!A:A,E75)</f>
        <v>1</v>
      </c>
      <c r="G75" s="60" t="str">
        <f>IFERROR(__xludf.DUMMYFUNCTION("REGEXREPLACE(substitute(substitute(B75,"" "",""""),""..."",""""),""\(.*\)"","""")"),"-1.758820174e11")</f>
        <v>-1.758820174e11</v>
      </c>
      <c r="H75" s="62">
        <f t="shared" si="2"/>
        <v>-175882017400</v>
      </c>
      <c r="I75" s="60" t="str">
        <f>IFERROR(__xludf.DUMMYFUNCTION("if(regexmatch($B75,""\(""),CONCATENATE(regexreplace(REGEXREPLACE(substitute(left($B75,find(""("",$B75)-1),"" "",""""),""\d"",""0""),""[-0]*\."",""0.""), REGEXEXTRACT($B75,""\((.*)\)""),TRIM(REGEXEXTRACT($B75,""\)(.*)""))),"""")"),"0.00000000071e11")</f>
        <v>0.00000000071e11</v>
      </c>
      <c r="J75" s="62">
        <f t="shared" si="3"/>
        <v>71</v>
      </c>
      <c r="K75" s="62" t="b">
        <f t="shared" si="4"/>
        <v>0</v>
      </c>
      <c r="L75" s="62" t="b">
        <f t="shared" si="5"/>
        <v>0</v>
      </c>
      <c r="M75" s="60" t="str">
        <f>IFERROR(__xludf.DUMMYFUNCTION("if(regexmatch(B75,""e(.*)$""),regexextract(B75,""e(.*)$""),"""")"),"11")</f>
        <v>11</v>
      </c>
    </row>
    <row r="76">
      <c r="A76" s="80" t="s">
        <v>1706</v>
      </c>
      <c r="B76" s="80" t="s">
        <v>5055</v>
      </c>
      <c r="C76" s="80"/>
      <c r="D76" s="18" t="str">
        <f t="shared" si="1"/>
        <v/>
      </c>
      <c r="E76" s="60" t="str">
        <f>VLOOKUP($A76,nist_names_ids!A:B,2,false)</f>
        <v>gem</v>
      </c>
      <c r="F76" s="61">
        <f>countif(Constants!A:A,E76)</f>
        <v>1</v>
      </c>
      <c r="G76" s="60" t="str">
        <f>IFERROR(__xludf.DUMMYFUNCTION("REGEXREPLACE(substitute(substitute(B76,"" "",""""),""..."",""""),""\(.*\)"","""")"),"-2.0023193043737")</f>
        <v>-2.0023193043737</v>
      </c>
      <c r="H76" s="62">
        <f t="shared" si="2"/>
        <v>-2.002319304</v>
      </c>
      <c r="I76" s="60" t="str">
        <f>IFERROR(__xludf.DUMMYFUNCTION("if(regexmatch($B76,""\(""),CONCATENATE(regexreplace(REGEXREPLACE(substitute(left($B76,find(""("",$B76)-1),"" "",""""),""\d"",""0""),""[-0]*\."",""0.""), REGEXEXTRACT($B76,""\((.*)\)""),TRIM(REGEXEXTRACT($B76,""\)(.*)""))),"""")"),"0.000000000000082")</f>
        <v>0.000000000000082</v>
      </c>
      <c r="J76" s="62">
        <f t="shared" si="3"/>
        <v>0</v>
      </c>
      <c r="K76" s="62" t="b">
        <f t="shared" si="4"/>
        <v>0</v>
      </c>
      <c r="L76" s="62" t="b">
        <f t="shared" si="5"/>
        <v>0</v>
      </c>
      <c r="M76" s="60" t="str">
        <f>IFERROR(__xludf.DUMMYFUNCTION("if(regexmatch(B76,""e(.*)$""),regexextract(B76,""e(.*)$""),"""")"),"")</f>
        <v/>
      </c>
    </row>
    <row r="77">
      <c r="A77" s="80" t="s">
        <v>1715</v>
      </c>
      <c r="B77" s="80" t="s">
        <v>5058</v>
      </c>
      <c r="C77" s="80" t="s">
        <v>4596</v>
      </c>
      <c r="D77" s="18" t="str">
        <f t="shared" si="1"/>
        <v>s^-1 T^-1</v>
      </c>
      <c r="E77" s="60" t="str">
        <f>VLOOKUP($A77,nist_names_ids!A:B,2,false)</f>
        <v>gammae</v>
      </c>
      <c r="F77" s="61">
        <f>countif(Constants!A:A,E77)</f>
        <v>1</v>
      </c>
      <c r="G77" s="60" t="str">
        <f>IFERROR(__xludf.DUMMYFUNCTION("REGEXREPLACE(substitute(substitute(B77,"" "",""""),""..."",""""),""\(.*\)"","""")"),"1.760859794e11")</f>
        <v>1.760859794e11</v>
      </c>
      <c r="H77" s="62">
        <f t="shared" si="2"/>
        <v>176085979400</v>
      </c>
      <c r="I77" s="60" t="str">
        <f>IFERROR(__xludf.DUMMYFUNCTION("if(regexmatch($B77,""\(""),CONCATENATE(regexreplace(REGEXREPLACE(substitute(left($B77,find(""("",$B77)-1),"" "",""""),""\d"",""0""),""[-0]*\."",""0.""), REGEXEXTRACT($B77,""\((.*)\)""),TRIM(REGEXEXTRACT($B77,""\)(.*)""))),"""")"),"0.00000000071e11")</f>
        <v>0.00000000071e11</v>
      </c>
      <c r="J77" s="62">
        <f t="shared" si="3"/>
        <v>71</v>
      </c>
      <c r="K77" s="62" t="b">
        <f t="shared" si="4"/>
        <v>0</v>
      </c>
      <c r="L77" s="62" t="b">
        <f t="shared" si="5"/>
        <v>0</v>
      </c>
      <c r="M77" s="60" t="str">
        <f>IFERROR(__xludf.DUMMYFUNCTION("if(regexmatch(B77,""e(.*)$""),regexextract(B77,""e(.*)$""),"""")"),"11")</f>
        <v>11</v>
      </c>
    </row>
    <row r="78">
      <c r="A78" s="80" t="s">
        <v>1731</v>
      </c>
      <c r="B78" s="80" t="s">
        <v>5061</v>
      </c>
      <c r="C78" s="80" t="s">
        <v>4602</v>
      </c>
      <c r="D78" s="18" t="str">
        <f t="shared" si="1"/>
        <v>MHz T^-1</v>
      </c>
      <c r="E78" s="60" t="str">
        <f>VLOOKUP($A78,nist_names_ids!A:B,2,false)</f>
        <v>gammaebar</v>
      </c>
      <c r="F78" s="61">
        <f>countif(Constants!A:A,E78)</f>
        <v>1</v>
      </c>
      <c r="G78" s="60" t="str">
        <f>IFERROR(__xludf.DUMMYFUNCTION("REGEXREPLACE(substitute(substitute(B78,"" "",""""),""..."",""""),""\(.*\)"","""")"),"28024.9540")</f>
        <v>28024.9540</v>
      </c>
      <c r="H78" s="62">
        <f t="shared" si="2"/>
        <v>28024.954</v>
      </c>
      <c r="I78" s="60" t="str">
        <f>IFERROR(__xludf.DUMMYFUNCTION("if(regexmatch($B78,""\(""),CONCATENATE(regexreplace(REGEXREPLACE(substitute(left($B78,find(""("",$B78)-1),"" "",""""),""\d"",""0""),""[-0]*\."",""0.""), REGEXEXTRACT($B78,""\((.*)\)""),TRIM(REGEXEXTRACT($B78,""\)(.*)""))),"""")"),"0.000011")</f>
        <v>0.000011</v>
      </c>
      <c r="J78" s="62">
        <f t="shared" si="3"/>
        <v>0.000011</v>
      </c>
      <c r="K78" s="62" t="b">
        <f t="shared" si="4"/>
        <v>0</v>
      </c>
      <c r="L78" s="62" t="b">
        <f t="shared" si="5"/>
        <v>0</v>
      </c>
      <c r="M78" s="60" t="str">
        <f>IFERROR(__xludf.DUMMYFUNCTION("if(regexmatch(B78,""e(.*)$""),regexextract(B78,""e(.*)$""),"""")"),"")</f>
        <v/>
      </c>
    </row>
    <row r="79">
      <c r="A79" s="80" t="s">
        <v>1763</v>
      </c>
      <c r="B79" s="80" t="s">
        <v>5063</v>
      </c>
      <c r="C79" s="80" t="s">
        <v>4421</v>
      </c>
      <c r="D79" s="18" t="str">
        <f t="shared" si="1"/>
        <v>J T^-1</v>
      </c>
      <c r="E79" s="60" t="str">
        <f>VLOOKUP($A79,nist_names_ids!A:B,2,false)</f>
        <v>muem</v>
      </c>
      <c r="F79" s="61">
        <f>countif(Constants!A:A,E79)</f>
        <v>1</v>
      </c>
      <c r="G79" s="60" t="str">
        <f>IFERROR(__xludf.DUMMYFUNCTION("REGEXREPLACE(substitute(substitute(B79,"" "",""""),""..."",""""),""\(.*\)"","""")"),"-928.476362e-26")</f>
        <v>-928.476362e-26</v>
      </c>
      <c r="H79" s="62">
        <f t="shared" si="2"/>
        <v>0</v>
      </c>
      <c r="I79" s="60" t="str">
        <f>IFERROR(__xludf.DUMMYFUNCTION("if(regexmatch($B79,""\(""),CONCATENATE(regexreplace(REGEXREPLACE(substitute(left($B79,find(""("",$B79)-1),"" "",""""),""\d"",""0""),""[-0]*\."",""0.""), REGEXEXTRACT($B79,""\((.*)\)""),TRIM(REGEXEXTRACT($B79,""\)(.*)""))),"""")"),"0.00000037e-26")</f>
        <v>0.00000037e-26</v>
      </c>
      <c r="J79" s="62">
        <f t="shared" si="3"/>
        <v>0</v>
      </c>
      <c r="K79" s="62" t="b">
        <f t="shared" si="4"/>
        <v>0</v>
      </c>
      <c r="L79" s="62" t="b">
        <f t="shared" si="5"/>
        <v>0</v>
      </c>
      <c r="M79" s="60" t="str">
        <f>IFERROR(__xludf.DUMMYFUNCTION("if(regexmatch(B79,""e(.*)$""),regexextract(B79,""e(.*)$""),"""")"),"-26")</f>
        <v>-26</v>
      </c>
    </row>
    <row r="80">
      <c r="A80" s="80" t="s">
        <v>1773</v>
      </c>
      <c r="B80" s="80" t="s">
        <v>5065</v>
      </c>
      <c r="C80" s="80"/>
      <c r="D80" s="18" t="str">
        <f t="shared" si="1"/>
        <v/>
      </c>
      <c r="E80" s="60" t="str">
        <f>VLOOKUP($A80,nist_names_ids!A:B,2,false)</f>
        <v>ae</v>
      </c>
      <c r="F80" s="61">
        <f>countif(Constants!A:A,E80)</f>
        <v>2</v>
      </c>
      <c r="G80" s="60" t="str">
        <f>IFERROR(__xludf.DUMMYFUNCTION("REGEXREPLACE(substitute(substitute(B80,"" "",""""),""..."",""""),""\(.*\)"","""")"),"1.1596521869e-3")</f>
        <v>1.1596521869e-3</v>
      </c>
      <c r="H80" s="62">
        <f t="shared" si="2"/>
        <v>0.001159652187</v>
      </c>
      <c r="I80" s="60" t="str">
        <f>IFERROR(__xludf.DUMMYFUNCTION("if(regexmatch($B80,""\(""),CONCATENATE(regexreplace(REGEXREPLACE(substitute(left($B80,find(""("",$B80)-1),"" "",""""),""\d"",""0""),""[-0]*\."",""0.""), REGEXEXTRACT($B80,""\((.*)\)""),TRIM(REGEXEXTRACT($B80,""\)(.*)""))),"""")"),"0.000000000041e-3")</f>
        <v>0.000000000041e-3</v>
      </c>
      <c r="J80" s="62">
        <f t="shared" si="3"/>
        <v>0</v>
      </c>
      <c r="K80" s="62" t="b">
        <f t="shared" si="4"/>
        <v>0</v>
      </c>
      <c r="L80" s="62" t="b">
        <f t="shared" si="5"/>
        <v>0</v>
      </c>
      <c r="M80" s="60" t="str">
        <f>IFERROR(__xludf.DUMMYFUNCTION("if(regexmatch(B80,""e(.*)$""),regexextract(B80,""e(.*)$""),"""")"),"-3")</f>
        <v>-3</v>
      </c>
    </row>
    <row r="81">
      <c r="A81" s="80" t="s">
        <v>1789</v>
      </c>
      <c r="B81" s="80" t="s">
        <v>5069</v>
      </c>
      <c r="C81" s="80"/>
      <c r="D81" s="18" t="str">
        <f t="shared" si="1"/>
        <v/>
      </c>
      <c r="E81" s="60" t="str">
        <f>VLOOKUP($A81,nist_names_ids!A:B,2,false)</f>
        <v>muemsmub</v>
      </c>
      <c r="F81" s="61">
        <f>countif(Constants!A:A,E81)</f>
        <v>1</v>
      </c>
      <c r="G81" s="60" t="str">
        <f>IFERROR(__xludf.DUMMYFUNCTION("REGEXREPLACE(substitute(substitute(B81,"" "",""""),""..."",""""),""\(.*\)"","""")"),"-1.0011596521869")</f>
        <v>-1.0011596521869</v>
      </c>
      <c r="H81" s="62">
        <f t="shared" si="2"/>
        <v>-1.001159652</v>
      </c>
      <c r="I81" s="60" t="str">
        <f>IFERROR(__xludf.DUMMYFUNCTION("if(regexmatch($B81,""\(""),CONCATENATE(regexreplace(REGEXREPLACE(substitute(left($B81,find(""("",$B81)-1),"" "",""""),""\d"",""0""),""[-0]*\."",""0.""), REGEXEXTRACT($B81,""\((.*)\)""),TRIM(REGEXEXTRACT($B81,""\)(.*)""))),"""")"),"0.000000000000041")</f>
        <v>0.000000000000041</v>
      </c>
      <c r="J81" s="62">
        <f t="shared" si="3"/>
        <v>0</v>
      </c>
      <c r="K81" s="62" t="b">
        <f t="shared" si="4"/>
        <v>0</v>
      </c>
      <c r="L81" s="62" t="b">
        <f t="shared" si="5"/>
        <v>0</v>
      </c>
      <c r="M81" s="60" t="str">
        <f>IFERROR(__xludf.DUMMYFUNCTION("if(regexmatch(B81,""e(.*)$""),regexextract(B81,""e(.*)$""),"""")"),"")</f>
        <v/>
      </c>
    </row>
    <row r="82">
      <c r="A82" s="80" t="s">
        <v>1800</v>
      </c>
      <c r="B82" s="80" t="s">
        <v>5070</v>
      </c>
      <c r="C82" s="80"/>
      <c r="D82" s="18" t="str">
        <f t="shared" si="1"/>
        <v/>
      </c>
      <c r="E82" s="60" t="str">
        <f>VLOOKUP($A82,nist_names_ids!A:B,2,false)</f>
        <v>muemsmun</v>
      </c>
      <c r="F82" s="61">
        <f>countif(Constants!A:A,E82)</f>
        <v>1</v>
      </c>
      <c r="G82" s="60" t="str">
        <f>IFERROR(__xludf.DUMMYFUNCTION("REGEXREPLACE(substitute(substitute(B82,"" "",""""),""..."",""""),""\(.*\)"","""")"),"-1838.2819660")</f>
        <v>-1838.2819660</v>
      </c>
      <c r="H82" s="62">
        <f t="shared" si="2"/>
        <v>-1838.281966</v>
      </c>
      <c r="I82" s="60" t="str">
        <f>IFERROR(__xludf.DUMMYFUNCTION("if(regexmatch($B82,""\(""),CONCATENATE(regexreplace(REGEXREPLACE(substitute(left($B82,find(""("",$B82)-1),"" "",""""),""\d"",""0""),""[-0]*\."",""0.""), REGEXEXTRACT($B82,""\((.*)\)""),TRIM(REGEXEXTRACT($B82,""\)(.*)""))),"""")"),"0.000000039")</f>
        <v>0.000000039</v>
      </c>
      <c r="J82" s="62">
        <f t="shared" si="3"/>
        <v>0.000000039</v>
      </c>
      <c r="K82" s="62" t="b">
        <f t="shared" si="4"/>
        <v>0</v>
      </c>
      <c r="L82" s="62" t="b">
        <f t="shared" si="5"/>
        <v>0</v>
      </c>
      <c r="M82" s="60" t="str">
        <f>IFERROR(__xludf.DUMMYFUNCTION("if(regexmatch(B82,""e(.*)$""),regexextract(B82,""e(.*)$""),"""")"),"")</f>
        <v/>
      </c>
    </row>
    <row r="83">
      <c r="A83" s="80" t="s">
        <v>1818</v>
      </c>
      <c r="B83" s="80" t="s">
        <v>4985</v>
      </c>
      <c r="C83" s="80" t="s">
        <v>98</v>
      </c>
      <c r="D83" s="18" t="str">
        <f t="shared" si="1"/>
        <v>kg</v>
      </c>
      <c r="E83" s="60" t="str">
        <f>VLOOKUP($A83,nist_names_ids!A:B,2,false)</f>
        <v>me</v>
      </c>
      <c r="F83" s="61">
        <f>countif(Constants!A:A,E83)</f>
        <v>1</v>
      </c>
      <c r="G83" s="60" t="str">
        <f>IFERROR(__xludf.DUMMYFUNCTION("REGEXREPLACE(substitute(substitute(B83,"" "",""""),""..."",""""),""\(.*\)"","""")"),"9.10938188e-31")</f>
        <v>9.10938188e-31</v>
      </c>
      <c r="H83" s="62">
        <f t="shared" si="2"/>
        <v>0</v>
      </c>
      <c r="I83" s="60" t="str">
        <f>IFERROR(__xludf.DUMMYFUNCTION("if(regexmatch($B83,""\(""),CONCATENATE(regexreplace(REGEXREPLACE(substitute(left($B83,find(""("",$B83)-1),"" "",""""),""\d"",""0""),""[-0]*\."",""0.""), REGEXEXTRACT($B83,""\((.*)\)""),TRIM(REGEXEXTRACT($B83,""\)(.*)""))),"""")"),"0.0000000072e-31")</f>
        <v>0.0000000072e-31</v>
      </c>
      <c r="J83" s="62">
        <f t="shared" si="3"/>
        <v>0</v>
      </c>
      <c r="K83" s="62" t="b">
        <f t="shared" si="4"/>
        <v>0</v>
      </c>
      <c r="L83" s="62" t="b">
        <f t="shared" si="5"/>
        <v>0</v>
      </c>
      <c r="M83" s="60" t="str">
        <f>IFERROR(__xludf.DUMMYFUNCTION("if(regexmatch(B83,""e(.*)$""),regexextract(B83,""e(.*)$""),"""")"),"-31")</f>
        <v>-31</v>
      </c>
    </row>
    <row r="84">
      <c r="A84" s="80" t="s">
        <v>1831</v>
      </c>
      <c r="B84" s="80" t="s">
        <v>5073</v>
      </c>
      <c r="C84" s="80" t="s">
        <v>173</v>
      </c>
      <c r="D84" s="18" t="str">
        <f t="shared" si="1"/>
        <v>J</v>
      </c>
      <c r="E84" s="60" t="str">
        <f>VLOOKUP($A84,nist_names_ids!A:B,2,false)</f>
        <v>mec2</v>
      </c>
      <c r="F84" s="61">
        <f>countif(Constants!A:A,E84)</f>
        <v>1</v>
      </c>
      <c r="G84" s="60" t="str">
        <f>IFERROR(__xludf.DUMMYFUNCTION("REGEXREPLACE(substitute(substitute(B84,"" "",""""),""..."",""""),""\(.*\)"","""")"),"8.18710414e-14")</f>
        <v>8.18710414e-14</v>
      </c>
      <c r="H84" s="62">
        <f t="shared" si="2"/>
        <v>0</v>
      </c>
      <c r="I84" s="60" t="str">
        <f>IFERROR(__xludf.DUMMYFUNCTION("if(regexmatch($B84,""\(""),CONCATENATE(regexreplace(REGEXREPLACE(substitute(left($B84,find(""("",$B84)-1),"" "",""""),""\d"",""0""),""[-0]*\."",""0.""), REGEXEXTRACT($B84,""\((.*)\)""),TRIM(REGEXEXTRACT($B84,""\)(.*)""))),"""")"),"0.0000000064e-14")</f>
        <v>0.0000000064e-14</v>
      </c>
      <c r="J84" s="62">
        <f t="shared" si="3"/>
        <v>0</v>
      </c>
      <c r="K84" s="62" t="b">
        <f t="shared" si="4"/>
        <v>0</v>
      </c>
      <c r="L84" s="62" t="b">
        <f t="shared" si="5"/>
        <v>0</v>
      </c>
      <c r="M84" s="60" t="str">
        <f>IFERROR(__xludf.DUMMYFUNCTION("if(regexmatch(B84,""e(.*)$""),regexextract(B84,""e(.*)$""),"""")"),"-14")</f>
        <v>-14</v>
      </c>
    </row>
    <row r="85">
      <c r="A85" s="80" t="s">
        <v>1845</v>
      </c>
      <c r="B85" s="80" t="s">
        <v>5075</v>
      </c>
      <c r="C85" s="80" t="s">
        <v>224</v>
      </c>
      <c r="D85" s="18" t="str">
        <f t="shared" si="1"/>
        <v>MeV</v>
      </c>
      <c r="E85" s="60" t="str">
        <f>VLOOKUP($A85,nist_names_ids!A:B,2,false)</f>
        <v>mec2mev</v>
      </c>
      <c r="F85" s="61">
        <f>countif(Constants!A:A,E85)</f>
        <v>1</v>
      </c>
      <c r="G85" s="60" t="str">
        <f>IFERROR(__xludf.DUMMYFUNCTION("REGEXREPLACE(substitute(substitute(B85,"" "",""""),""..."",""""),""\(.*\)"","""")"),"0.510998902")</f>
        <v>0.510998902</v>
      </c>
      <c r="H85" s="62">
        <f t="shared" si="2"/>
        <v>0.510998902</v>
      </c>
      <c r="I85" s="60" t="str">
        <f>IFERROR(__xludf.DUMMYFUNCTION("if(regexmatch($B85,""\(""),CONCATENATE(regexreplace(REGEXREPLACE(substitute(left($B85,find(""("",$B85)-1),"" "",""""),""\d"",""0""),""[-0]*\."",""0.""), REGEXEXTRACT($B85,""\((.*)\)""),TRIM(REGEXEXTRACT($B85,""\)(.*)""))),"""")"),"0.00000000021")</f>
        <v>0.00000000021</v>
      </c>
      <c r="J85" s="62">
        <f t="shared" si="3"/>
        <v>0.00000000021</v>
      </c>
      <c r="K85" s="62" t="b">
        <f t="shared" si="4"/>
        <v>0</v>
      </c>
      <c r="L85" s="62" t="b">
        <f t="shared" si="5"/>
        <v>0</v>
      </c>
      <c r="M85" s="60" t="str">
        <f>IFERROR(__xludf.DUMMYFUNCTION("if(regexmatch(B85,""e(.*)$""),regexextract(B85,""e(.*)$""),"""")"),"")</f>
        <v/>
      </c>
    </row>
    <row r="86">
      <c r="A86" s="80" t="s">
        <v>1853</v>
      </c>
      <c r="B86" s="80" t="s">
        <v>5079</v>
      </c>
      <c r="C86" s="80" t="s">
        <v>249</v>
      </c>
      <c r="D86" s="18" t="str">
        <f t="shared" si="1"/>
        <v>u</v>
      </c>
      <c r="E86" s="60" t="str">
        <f>VLOOKUP($A86,nist_names_ids!A:B,2,false)</f>
        <v>meu</v>
      </c>
      <c r="F86" s="61">
        <f>countif(Constants!A:A,E86)</f>
        <v>1</v>
      </c>
      <c r="G86" s="60" t="str">
        <f>IFERROR(__xludf.DUMMYFUNCTION("REGEXREPLACE(substitute(substitute(B86,"" "",""""),""..."",""""),""\(.*\)"","""")"),"5.485799110e-4")</f>
        <v>5.485799110e-4</v>
      </c>
      <c r="H86" s="62">
        <f t="shared" si="2"/>
        <v>0.000548579911</v>
      </c>
      <c r="I86" s="60" t="str">
        <f>IFERROR(__xludf.DUMMYFUNCTION("if(regexmatch($B86,""\(""),CONCATENATE(regexreplace(REGEXREPLACE(substitute(left($B86,find(""("",$B86)-1),"" "",""""),""\d"",""0""),""[-0]*\."",""0.""), REGEXEXTRACT($B86,""\((.*)\)""),TRIM(REGEXEXTRACT($B86,""\)(.*)""))),"""")"),"0.00000000012e-4")</f>
        <v>0.00000000012e-4</v>
      </c>
      <c r="J86" s="62">
        <f t="shared" si="3"/>
        <v>0</v>
      </c>
      <c r="K86" s="62" t="b">
        <f t="shared" si="4"/>
        <v>0</v>
      </c>
      <c r="L86" s="62" t="b">
        <f t="shared" si="5"/>
        <v>0</v>
      </c>
      <c r="M86" s="60" t="str">
        <f>IFERROR(__xludf.DUMMYFUNCTION("if(regexmatch(B86,""e(.*)$""),regexextract(B86,""e(.*)$""),"""")"),"-4")</f>
        <v>-4</v>
      </c>
    </row>
    <row r="87">
      <c r="A87" s="80" t="s">
        <v>1860</v>
      </c>
      <c r="B87" s="80" t="s">
        <v>5082</v>
      </c>
      <c r="C87" s="80" t="s">
        <v>4309</v>
      </c>
      <c r="D87" s="18" t="str">
        <f t="shared" si="1"/>
        <v>kg mol^-1</v>
      </c>
      <c r="E87" s="60" t="str">
        <f>VLOOKUP($A87,nist_names_ids!A:B,2,false)</f>
        <v>mme</v>
      </c>
      <c r="F87" s="61">
        <f>countif(Constants!A:A,E87)</f>
        <v>1</v>
      </c>
      <c r="G87" s="60" t="str">
        <f>IFERROR(__xludf.DUMMYFUNCTION("REGEXREPLACE(substitute(substitute(B87,"" "",""""),""..."",""""),""\(.*\)"","""")"),"5.485799110e-7")</f>
        <v>5.485799110e-7</v>
      </c>
      <c r="H87" s="62">
        <f t="shared" si="2"/>
        <v>0.000000548579911</v>
      </c>
      <c r="I87" s="60" t="str">
        <f>IFERROR(__xludf.DUMMYFUNCTION("if(regexmatch($B87,""\(""),CONCATENATE(regexreplace(REGEXREPLACE(substitute(left($B87,find(""("",$B87)-1),"" "",""""),""\d"",""0""),""[-0]*\."",""0.""), REGEXEXTRACT($B87,""\((.*)\)""),TRIM(REGEXEXTRACT($B87,""\)(.*)""))),"""")"),"0.00000000012e-7")</f>
        <v>0.00000000012e-7</v>
      </c>
      <c r="J87" s="62">
        <f t="shared" si="3"/>
        <v>0</v>
      </c>
      <c r="K87" s="62" t="b">
        <f t="shared" si="4"/>
        <v>0</v>
      </c>
      <c r="L87" s="62" t="b">
        <f t="shared" si="5"/>
        <v>0</v>
      </c>
      <c r="M87" s="60" t="str">
        <f>IFERROR(__xludf.DUMMYFUNCTION("if(regexmatch(B87,""e(.*)$""),regexextract(B87,""e(.*)$""),"""")"),"-7")</f>
        <v>-7</v>
      </c>
    </row>
    <row r="88">
      <c r="A88" s="80" t="s">
        <v>1900</v>
      </c>
      <c r="B88" s="80" t="s">
        <v>5085</v>
      </c>
      <c r="C88" s="80"/>
      <c r="D88" s="18" t="str">
        <f t="shared" si="1"/>
        <v/>
      </c>
      <c r="E88" s="60" t="str">
        <f>VLOOKUP($A88,nist_names_ids!A:B,2,false)</f>
        <v>mesmalpha</v>
      </c>
      <c r="F88" s="61">
        <f>countif(Constants!A:A,E88)</f>
        <v>1</v>
      </c>
      <c r="G88" s="60" t="str">
        <f>IFERROR(__xludf.DUMMYFUNCTION("REGEXREPLACE(substitute(substitute(B88,"" "",""""),""..."",""""),""\(.*\)"","""")"),"1.3709335611e-4")</f>
        <v>1.3709335611e-4</v>
      </c>
      <c r="H88" s="62">
        <f t="shared" si="2"/>
        <v>0.0001370933561</v>
      </c>
      <c r="I88" s="60" t="str">
        <f>IFERROR(__xludf.DUMMYFUNCTION("if(regexmatch($B88,""\(""),CONCATENATE(regexreplace(REGEXREPLACE(substitute(left($B88,find(""("",$B88)-1),"" "",""""),""\d"",""0""),""[-0]*\."",""0.""), REGEXEXTRACT($B88,""\((.*)\)""),TRIM(REGEXEXTRACT($B88,""\)(.*)""))),"""")"),"0.000000000029e-4")</f>
        <v>0.000000000029e-4</v>
      </c>
      <c r="J88" s="62">
        <f t="shared" si="3"/>
        <v>0</v>
      </c>
      <c r="K88" s="62" t="b">
        <f t="shared" si="4"/>
        <v>0</v>
      </c>
      <c r="L88" s="62" t="b">
        <f t="shared" si="5"/>
        <v>0</v>
      </c>
      <c r="M88" s="60" t="str">
        <f>IFERROR(__xludf.DUMMYFUNCTION("if(regexmatch(B88,""e(.*)$""),regexextract(B88,""e(.*)$""),"""")"),"-4")</f>
        <v>-4</v>
      </c>
    </row>
    <row r="89">
      <c r="A89" s="80" t="s">
        <v>2022</v>
      </c>
      <c r="B89" s="80" t="s">
        <v>5081</v>
      </c>
      <c r="C89" s="80"/>
      <c r="D89" s="18" t="str">
        <f t="shared" si="1"/>
        <v/>
      </c>
      <c r="E89" s="60" t="str">
        <f>VLOOKUP($A89,nist_names_ids!A:B,2,false)</f>
        <v>muemsmuhp</v>
      </c>
      <c r="F89" s="61">
        <f>countif(Constants!A:A,E89)</f>
        <v>1</v>
      </c>
      <c r="G89" s="60" t="str">
        <f>IFERROR(__xludf.DUMMYFUNCTION("REGEXREPLACE(substitute(substitute(B89,"" "",""""),""..."",""""),""\(.*\)"","""")"),"864.058255")</f>
        <v>864.058255</v>
      </c>
      <c r="H89" s="62">
        <f t="shared" si="2"/>
        <v>864.058255</v>
      </c>
      <c r="I89" s="60" t="str">
        <f>IFERROR(__xludf.DUMMYFUNCTION("if(regexmatch($B89,""\(""),CONCATENATE(regexreplace(REGEXREPLACE(substitute(left($B89,find(""("",$B89)-1),"" "",""""),""\d"",""0""),""[-0]*\."",""0.""), REGEXEXTRACT($B89,""\((.*)\)""),TRIM(REGEXEXTRACT($B89,""\)(.*)""))),"""")"),"0.00000010")</f>
        <v>0.00000010</v>
      </c>
      <c r="J89" s="62">
        <f t="shared" si="3"/>
        <v>0.0000001</v>
      </c>
      <c r="K89" s="62" t="b">
        <f t="shared" si="4"/>
        <v>0</v>
      </c>
      <c r="L89" s="62" t="b">
        <f t="shared" si="5"/>
        <v>0</v>
      </c>
      <c r="M89" s="60" t="str">
        <f>IFERROR(__xludf.DUMMYFUNCTION("if(regexmatch(B89,""e(.*)$""),regexextract(B89,""e(.*)$""),"""")"),"")</f>
        <v/>
      </c>
    </row>
    <row r="90">
      <c r="A90" s="80" t="s">
        <v>2031</v>
      </c>
      <c r="B90" s="80" t="s">
        <v>5102</v>
      </c>
      <c r="C90" s="80"/>
      <c r="D90" s="18" t="str">
        <f t="shared" si="1"/>
        <v/>
      </c>
      <c r="E90" s="60" t="str">
        <f>VLOOKUP($A90,nist_names_ids!A:B,2,false)</f>
        <v>muemsmupp</v>
      </c>
      <c r="F90" s="61">
        <f>countif(Constants!A:A,E90)</f>
        <v>1</v>
      </c>
      <c r="G90" s="60" t="str">
        <f>IFERROR(__xludf.DUMMYFUNCTION("REGEXREPLACE(substitute(substitute(B90,"" "",""""),""..."",""""),""\(.*\)"","""")"),"-658.2275954")</f>
        <v>-658.2275954</v>
      </c>
      <c r="H90" s="62">
        <f t="shared" si="2"/>
        <v>-658.2275954</v>
      </c>
      <c r="I90" s="60" t="str">
        <f>IFERROR(__xludf.DUMMYFUNCTION("if(regexmatch($B90,""\(""),CONCATENATE(regexreplace(REGEXREPLACE(substitute(left($B90,find(""("",$B90)-1),"" "",""""),""\d"",""0""),""[-0]*\."",""0.""), REGEXEXTRACT($B90,""\((.*)\)""),TRIM(REGEXEXTRACT($B90,""\)(.*)""))),"""")"),"0.000000071")</f>
        <v>0.000000071</v>
      </c>
      <c r="J90" s="62">
        <f t="shared" si="3"/>
        <v>0.000000071</v>
      </c>
      <c r="K90" s="62" t="b">
        <f t="shared" si="4"/>
        <v>0</v>
      </c>
      <c r="L90" s="62" t="b">
        <f t="shared" si="5"/>
        <v>0</v>
      </c>
      <c r="M90" s="60" t="str">
        <f>IFERROR(__xludf.DUMMYFUNCTION("if(regexmatch(B90,""e(.*)$""),regexextract(B90,""e(.*)$""),"""")"),"")</f>
        <v/>
      </c>
    </row>
    <row r="91">
      <c r="A91" s="80" t="s">
        <v>1919</v>
      </c>
      <c r="B91" s="80" t="s">
        <v>5104</v>
      </c>
      <c r="C91" s="80" t="s">
        <v>173</v>
      </c>
      <c r="D91" s="18" t="str">
        <f t="shared" si="1"/>
        <v>J</v>
      </c>
      <c r="E91" s="60" t="str">
        <f>VLOOKUP($A91,nist_names_ids!A:B,2,false)</f>
        <v>tevj</v>
      </c>
      <c r="F91" s="61">
        <f>countif(Constants!A:A,E91)</f>
        <v>1</v>
      </c>
      <c r="G91" s="60" t="str">
        <f>IFERROR(__xludf.DUMMYFUNCTION("REGEXREPLACE(substitute(substitute(B91,"" "",""""),""..."",""""),""\(.*\)"","""")"),"1.602176462e-19")</f>
        <v>1.602176462e-19</v>
      </c>
      <c r="H91" s="62">
        <f t="shared" si="2"/>
        <v>0</v>
      </c>
      <c r="I91" s="60" t="str">
        <f>IFERROR(__xludf.DUMMYFUNCTION("if(regexmatch($B91,""\(""),CONCATENATE(regexreplace(REGEXREPLACE(substitute(left($B91,find(""("",$B91)-1),"" "",""""),""\d"",""0""),""[-0]*\."",""0.""), REGEXEXTRACT($B91,""\((.*)\)""),TRIM(REGEXEXTRACT($B91,""\)(.*)""))),"""")"),"0.00000000063e-19")</f>
        <v>0.00000000063e-19</v>
      </c>
      <c r="J91" s="62">
        <f t="shared" si="3"/>
        <v>0</v>
      </c>
      <c r="K91" s="62" t="b">
        <f t="shared" si="4"/>
        <v>0</v>
      </c>
      <c r="L91" s="62" t="b">
        <f t="shared" si="5"/>
        <v>0</v>
      </c>
      <c r="M91" s="60" t="str">
        <f>IFERROR(__xludf.DUMMYFUNCTION("if(regexmatch(B91,""e(.*)$""),regexextract(B91,""e(.*)$""),"""")"),"-19")</f>
        <v>-19</v>
      </c>
    </row>
    <row r="92">
      <c r="A92" s="80" t="s">
        <v>1920</v>
      </c>
      <c r="B92" s="80" t="s">
        <v>5112</v>
      </c>
      <c r="C92" s="80" t="s">
        <v>249</v>
      </c>
      <c r="D92" s="18" t="str">
        <f t="shared" si="1"/>
        <v>u</v>
      </c>
      <c r="E92" s="60" t="str">
        <f>VLOOKUP($A92,nist_names_ids!A:B,2,false)</f>
        <v>evu</v>
      </c>
      <c r="F92" s="61">
        <f>countif(Constants!A:A,E92)</f>
        <v>1</v>
      </c>
      <c r="G92" s="60" t="str">
        <f>IFERROR(__xludf.DUMMYFUNCTION("REGEXREPLACE(substitute(substitute(B92,"" "",""""),""..."",""""),""\(.*\)"","""")"),"1.073544206e-9")</f>
        <v>1.073544206e-9</v>
      </c>
      <c r="H92" s="62">
        <f t="shared" si="2"/>
        <v>0.000000001073544206</v>
      </c>
      <c r="I92" s="60" t="str">
        <f>IFERROR(__xludf.DUMMYFUNCTION("if(regexmatch($B92,""\(""),CONCATENATE(regexreplace(REGEXREPLACE(substitute(left($B92,find(""("",$B92)-1),"" "",""""),""\d"",""0""),""[-0]*\."",""0.""), REGEXEXTRACT($B92,""\((.*)\)""),TRIM(REGEXEXTRACT($B92,""\)(.*)""))),"""")"),"0.00000000043e-9")</f>
        <v>0.00000000043e-9</v>
      </c>
      <c r="J92" s="62">
        <f t="shared" si="3"/>
        <v>0</v>
      </c>
      <c r="K92" s="62" t="b">
        <f t="shared" si="4"/>
        <v>0</v>
      </c>
      <c r="L92" s="62" t="b">
        <f t="shared" si="5"/>
        <v>0</v>
      </c>
      <c r="M92" s="60" t="str">
        <f>IFERROR(__xludf.DUMMYFUNCTION("if(regexmatch(B92,""e(.*)$""),regexextract(B92,""e(.*)$""),"""")"),"-9")</f>
        <v>-9</v>
      </c>
    </row>
    <row r="93">
      <c r="A93" s="80" t="s">
        <v>1923</v>
      </c>
      <c r="B93" s="80" t="s">
        <v>5115</v>
      </c>
      <c r="C93" s="80" t="s">
        <v>170</v>
      </c>
      <c r="D93" s="18" t="str">
        <f t="shared" si="1"/>
        <v>E_h</v>
      </c>
      <c r="E93" s="60" t="str">
        <f>VLOOKUP($A93,nist_names_ids!A:B,2,false)</f>
        <v>evhr</v>
      </c>
      <c r="F93" s="61">
        <f>countif(Constants!A:A,E93)</f>
        <v>1</v>
      </c>
      <c r="G93" s="60" t="str">
        <f>IFERROR(__xludf.DUMMYFUNCTION("REGEXREPLACE(substitute(substitute(B93,"" "",""""),""..."",""""),""\(.*\)"","""")"),"3.67493260e-2")</f>
        <v>3.67493260e-2</v>
      </c>
      <c r="H93" s="62">
        <f t="shared" si="2"/>
        <v>0.036749326</v>
      </c>
      <c r="I93" s="60" t="str">
        <f>IFERROR(__xludf.DUMMYFUNCTION("if(regexmatch($B93,""\(""),CONCATENATE(regexreplace(REGEXREPLACE(substitute(left($B93,find(""("",$B93)-1),"" "",""""),""\d"",""0""),""[-0]*\."",""0.""), REGEXEXTRACT($B93,""\((.*)\)""),TRIM(REGEXEXTRACT($B93,""\)(.*)""))),"""")"),"0.0000000014e-2")</f>
        <v>0.0000000014e-2</v>
      </c>
      <c r="J93" s="62">
        <f t="shared" si="3"/>
        <v>0</v>
      </c>
      <c r="K93" s="62" t="b">
        <f t="shared" si="4"/>
        <v>0</v>
      </c>
      <c r="L93" s="62" t="b">
        <f t="shared" si="5"/>
        <v>0</v>
      </c>
      <c r="M93" s="60" t="str">
        <f>IFERROR(__xludf.DUMMYFUNCTION("if(regexmatch(B93,""e(.*)$""),regexextract(B93,""e(.*)$""),"""")"),"-2")</f>
        <v>-2</v>
      </c>
    </row>
    <row r="94">
      <c r="A94" s="80" t="s">
        <v>1931</v>
      </c>
      <c r="B94" s="80" t="s">
        <v>5120</v>
      </c>
      <c r="C94" s="80" t="s">
        <v>257</v>
      </c>
      <c r="D94" s="18" t="str">
        <f t="shared" si="1"/>
        <v>Hz</v>
      </c>
      <c r="E94" s="60" t="str">
        <f>VLOOKUP($A94,nist_names_ids!A:B,2,false)</f>
        <v>evhz</v>
      </c>
      <c r="F94" s="61">
        <f>countif(Constants!A:A,E94)</f>
        <v>1</v>
      </c>
      <c r="G94" s="60" t="str">
        <f>IFERROR(__xludf.DUMMYFUNCTION("REGEXREPLACE(substitute(substitute(B94,"" "",""""),""..."",""""),""\(.*\)"","""")"),"2.417989491e14")</f>
        <v>2.417989491e14</v>
      </c>
      <c r="H94" s="62">
        <f t="shared" si="2"/>
        <v>241798949100000</v>
      </c>
      <c r="I94" s="60" t="str">
        <f>IFERROR(__xludf.DUMMYFUNCTION("if(regexmatch($B94,""\(""),CONCATENATE(regexreplace(REGEXREPLACE(substitute(left($B94,find(""("",$B94)-1),"" "",""""),""\d"",""0""),""[-0]*\."",""0.""), REGEXEXTRACT($B94,""\((.*)\)""),TRIM(REGEXEXTRACT($B94,""\)(.*)""))),"""")"),"0.00000000095e14")</f>
        <v>0.00000000095e14</v>
      </c>
      <c r="J94" s="62">
        <f t="shared" si="3"/>
        <v>95000</v>
      </c>
      <c r="K94" s="62" t="b">
        <f t="shared" si="4"/>
        <v>0</v>
      </c>
      <c r="L94" s="62" t="b">
        <f t="shared" si="5"/>
        <v>0</v>
      </c>
      <c r="M94" s="60" t="str">
        <f>IFERROR(__xludf.DUMMYFUNCTION("if(regexmatch(B94,""e(.*)$""),regexextract(B94,""e(.*)$""),"""")"),"14")</f>
        <v>14</v>
      </c>
    </row>
    <row r="95">
      <c r="A95" s="80" t="s">
        <v>1934</v>
      </c>
      <c r="B95" s="80" t="s">
        <v>5124</v>
      </c>
      <c r="C95" s="80" t="s">
        <v>4359</v>
      </c>
      <c r="D95" s="18" t="str">
        <f t="shared" si="1"/>
        <v>m^-1</v>
      </c>
      <c r="E95" s="60" t="str">
        <f>VLOOKUP($A95,nist_names_ids!A:B,2,false)</f>
        <v>evminv</v>
      </c>
      <c r="F95" s="61">
        <f>countif(Constants!A:A,E95)</f>
        <v>1</v>
      </c>
      <c r="G95" s="60" t="str">
        <f>IFERROR(__xludf.DUMMYFUNCTION("REGEXREPLACE(substitute(substitute(B95,"" "",""""),""..."",""""),""\(.*\)"","""")"),"8.06554477e5")</f>
        <v>8.06554477e5</v>
      </c>
      <c r="H95" s="62">
        <f t="shared" si="2"/>
        <v>806554.477</v>
      </c>
      <c r="I95" s="60" t="str">
        <f>IFERROR(__xludf.DUMMYFUNCTION("if(regexmatch($B95,""\(""),CONCATENATE(regexreplace(REGEXREPLACE(substitute(left($B95,find(""("",$B95)-1),"" "",""""),""\d"",""0""),""[-0]*\."",""0.""), REGEXEXTRACT($B95,""\((.*)\)""),TRIM(REGEXEXTRACT($B95,""\)(.*)""))),"""")"),"0.0000000032e5")</f>
        <v>0.0000000032e5</v>
      </c>
      <c r="J95" s="62">
        <f t="shared" si="3"/>
        <v>0.00032</v>
      </c>
      <c r="K95" s="62" t="b">
        <f t="shared" si="4"/>
        <v>0</v>
      </c>
      <c r="L95" s="62" t="b">
        <f t="shared" si="5"/>
        <v>0</v>
      </c>
      <c r="M95" s="60" t="str">
        <f>IFERROR(__xludf.DUMMYFUNCTION("if(regexmatch(B95,""e(.*)$""),regexextract(B95,""e(.*)$""),"""")"),"5")</f>
        <v>5</v>
      </c>
    </row>
    <row r="96">
      <c r="A96" s="80" t="s">
        <v>1937</v>
      </c>
      <c r="B96" s="80" t="s">
        <v>5104</v>
      </c>
      <c r="C96" s="80" t="s">
        <v>173</v>
      </c>
      <c r="D96" s="18" t="str">
        <f t="shared" si="1"/>
        <v>J</v>
      </c>
      <c r="E96" s="60" t="str">
        <f>VLOOKUP($A96,nist_names_ids!A:B,2,false)</f>
        <v>evj</v>
      </c>
      <c r="F96" s="61">
        <f>countif(Constants!A:A,E96)</f>
        <v>1</v>
      </c>
      <c r="G96" s="60" t="str">
        <f>IFERROR(__xludf.DUMMYFUNCTION("REGEXREPLACE(substitute(substitute(B96,"" "",""""),""..."",""""),""\(.*\)"","""")"),"1.602176462e-19")</f>
        <v>1.602176462e-19</v>
      </c>
      <c r="H96" s="62">
        <f t="shared" si="2"/>
        <v>0</v>
      </c>
      <c r="I96" s="60" t="str">
        <f>IFERROR(__xludf.DUMMYFUNCTION("if(regexmatch($B96,""\(""),CONCATENATE(regexreplace(REGEXREPLACE(substitute(left($B96,find(""("",$B96)-1),"" "",""""),""\d"",""0""),""[-0]*\."",""0.""), REGEXEXTRACT($B96,""\((.*)\)""),TRIM(REGEXEXTRACT($B96,""\)(.*)""))),"""")"),"0.00000000063e-19")</f>
        <v>0.00000000063e-19</v>
      </c>
      <c r="J96" s="62">
        <f t="shared" si="3"/>
        <v>0</v>
      </c>
      <c r="K96" s="62" t="b">
        <f t="shared" si="4"/>
        <v>0</v>
      </c>
      <c r="L96" s="62" t="b">
        <f t="shared" si="5"/>
        <v>0</v>
      </c>
      <c r="M96" s="60" t="str">
        <f>IFERROR(__xludf.DUMMYFUNCTION("if(regexmatch(B96,""e(.*)$""),regexextract(B96,""e(.*)$""),"""")"),"-19")</f>
        <v>-19</v>
      </c>
    </row>
    <row r="97">
      <c r="A97" s="80" t="s">
        <v>1940</v>
      </c>
      <c r="B97" s="80" t="s">
        <v>5134</v>
      </c>
      <c r="C97" s="80" t="s">
        <v>345</v>
      </c>
      <c r="D97" s="18" t="str">
        <f t="shared" si="1"/>
        <v>K</v>
      </c>
      <c r="E97" s="60" t="str">
        <f>VLOOKUP($A97,nist_names_ids!A:B,2,false)</f>
        <v>evk</v>
      </c>
      <c r="F97" s="61">
        <f>countif(Constants!A:A,E97)</f>
        <v>1</v>
      </c>
      <c r="G97" s="60" t="str">
        <f>IFERROR(__xludf.DUMMYFUNCTION("REGEXREPLACE(substitute(substitute(B97,"" "",""""),""..."",""""),""\(.*\)"","""")"),"1.1604506e4")</f>
        <v>1.1604506e4</v>
      </c>
      <c r="H97" s="62">
        <f t="shared" si="2"/>
        <v>11604.506</v>
      </c>
      <c r="I97" s="60" t="str">
        <f>IFERROR(__xludf.DUMMYFUNCTION("if(regexmatch($B97,""\(""),CONCATENATE(regexreplace(REGEXREPLACE(substitute(left($B97,find(""("",$B97)-1),"" "",""""),""\d"",""0""),""[-0]*\."",""0.""), REGEXEXTRACT($B97,""\((.*)\)""),TRIM(REGEXEXTRACT($B97,""\)(.*)""))),"""")"),"0.000000020e4")</f>
        <v>0.000000020e4</v>
      </c>
      <c r="J97" s="62">
        <f t="shared" si="3"/>
        <v>0.0002</v>
      </c>
      <c r="K97" s="62" t="b">
        <f t="shared" si="4"/>
        <v>0</v>
      </c>
      <c r="L97" s="62" t="b">
        <f t="shared" si="5"/>
        <v>0</v>
      </c>
      <c r="M97" s="60" t="str">
        <f>IFERROR(__xludf.DUMMYFUNCTION("if(regexmatch(B97,""e(.*)$""),regexextract(B97,""e(.*)$""),"""")"),"4")</f>
        <v>4</v>
      </c>
    </row>
    <row r="98">
      <c r="A98" s="80" t="s">
        <v>1944</v>
      </c>
      <c r="B98" s="80" t="s">
        <v>5137</v>
      </c>
      <c r="C98" s="80" t="s">
        <v>98</v>
      </c>
      <c r="D98" s="18" t="str">
        <f t="shared" si="1"/>
        <v>kg</v>
      </c>
      <c r="E98" s="60" t="str">
        <f>VLOOKUP($A98,nist_names_ids!A:B,2,false)</f>
        <v>evkg</v>
      </c>
      <c r="F98" s="61">
        <f>countif(Constants!A:A,E98)</f>
        <v>1</v>
      </c>
      <c r="G98" s="60" t="str">
        <f>IFERROR(__xludf.DUMMYFUNCTION("REGEXREPLACE(substitute(substitute(B98,"" "",""""),""..."",""""),""\(.*\)"","""")"),"1.782661731e-36")</f>
        <v>1.782661731e-36</v>
      </c>
      <c r="H98" s="62">
        <f t="shared" si="2"/>
        <v>0</v>
      </c>
      <c r="I98" s="60" t="str">
        <f>IFERROR(__xludf.DUMMYFUNCTION("if(regexmatch($B98,""\(""),CONCATENATE(regexreplace(REGEXREPLACE(substitute(left($B98,find(""("",$B98)-1),"" "",""""),""\d"",""0""),""[-0]*\."",""0.""), REGEXEXTRACT($B98,""\((.*)\)""),TRIM(REGEXEXTRACT($B98,""\)(.*)""))),"""")"),"0.00000000070e-36")</f>
        <v>0.00000000070e-36</v>
      </c>
      <c r="J98" s="62">
        <f t="shared" si="3"/>
        <v>0</v>
      </c>
      <c r="K98" s="62" t="b">
        <f t="shared" si="4"/>
        <v>0</v>
      </c>
      <c r="L98" s="62" t="b">
        <f t="shared" si="5"/>
        <v>0</v>
      </c>
      <c r="M98" s="60" t="str">
        <f>IFERROR(__xludf.DUMMYFUNCTION("if(regexmatch(B98,""e(.*)$""),regexextract(B98,""e(.*)$""),"""")"),"-36")</f>
        <v>-36</v>
      </c>
    </row>
    <row r="99">
      <c r="A99" s="80" t="s">
        <v>2376</v>
      </c>
      <c r="B99" s="80" t="s">
        <v>5139</v>
      </c>
      <c r="C99" s="80"/>
      <c r="D99" s="18" t="str">
        <f t="shared" si="1"/>
        <v/>
      </c>
      <c r="E99" s="60" t="str">
        <f>VLOOKUP($A99,nist_names_ids!A:B,2,false)</f>
        <v>muemsmud</v>
      </c>
      <c r="F99" s="61">
        <f>countif(Constants!A:A,E99)</f>
        <v>1</v>
      </c>
      <c r="G99" s="60" t="str">
        <f>IFERROR(__xludf.DUMMYFUNCTION("REGEXREPLACE(substitute(substitute(B99,"" "",""""),""..."",""""),""\(.*\)"","""")"),"-2143.923498")</f>
        <v>-2143.923498</v>
      </c>
      <c r="H99" s="62">
        <f t="shared" si="2"/>
        <v>-2143.923498</v>
      </c>
      <c r="I99" s="60" t="str">
        <f>IFERROR(__xludf.DUMMYFUNCTION("if(regexmatch($B99,""\(""),CONCATENATE(regexreplace(REGEXREPLACE(substitute(left($B99,find(""("",$B99)-1),"" "",""""),""\d"",""0""),""[-0]*\."",""0.""), REGEXEXTRACT($B99,""\((.*)\)""),TRIM(REGEXEXTRACT($B99,""\)(.*)""))),"""")"),"0.00000023")</f>
        <v>0.00000023</v>
      </c>
      <c r="J99" s="62">
        <f t="shared" si="3"/>
        <v>0.00000023</v>
      </c>
      <c r="K99" s="62" t="b">
        <f t="shared" si="4"/>
        <v>0</v>
      </c>
      <c r="L99" s="62" t="b">
        <f t="shared" si="5"/>
        <v>0</v>
      </c>
      <c r="M99" s="60" t="str">
        <f>IFERROR(__xludf.DUMMYFUNCTION("if(regexmatch(B99,""e(.*)$""),regexextract(B99,""e(.*)$""),"""")"),"")</f>
        <v/>
      </c>
    </row>
    <row r="100">
      <c r="A100" s="80" t="s">
        <v>1806</v>
      </c>
      <c r="B100" s="80" t="s">
        <v>5142</v>
      </c>
      <c r="C100" s="80"/>
      <c r="D100" s="18" t="str">
        <f t="shared" si="1"/>
        <v/>
      </c>
      <c r="E100" s="60" t="str">
        <f>VLOOKUP($A100,nist_names_ids!A:B,2,false)</f>
        <v>mesmd</v>
      </c>
      <c r="F100" s="61">
        <f>countif(Constants!A:A,E100)</f>
        <v>1</v>
      </c>
      <c r="G100" s="60" t="str">
        <f>IFERROR(__xludf.DUMMYFUNCTION("REGEXREPLACE(substitute(substitute(B100,"" "",""""),""..."",""""),""\(.*\)"","""")"),"2.7244371170e-4")</f>
        <v>2.7244371170e-4</v>
      </c>
      <c r="H100" s="62">
        <f t="shared" si="2"/>
        <v>0.0002724437117</v>
      </c>
      <c r="I100" s="60" t="str">
        <f>IFERROR(__xludf.DUMMYFUNCTION("if(regexmatch($B100,""\(""),CONCATENATE(regexreplace(REGEXREPLACE(substitute(left($B100,find(""("",$B100)-1),"" "",""""),""\d"",""0""),""[-0]*\."",""0.""), REGEXEXTRACT($B100,""\((.*)\)""),TRIM(REGEXEXTRACT($B100,""\)(.*)""))),"""")"),"0.000000000058e-4")</f>
        <v>0.000000000058e-4</v>
      </c>
      <c r="J100" s="62">
        <f t="shared" si="3"/>
        <v>0</v>
      </c>
      <c r="K100" s="62" t="b">
        <f t="shared" si="4"/>
        <v>0</v>
      </c>
      <c r="L100" s="62" t="b">
        <f t="shared" si="5"/>
        <v>0</v>
      </c>
      <c r="M100" s="60" t="str">
        <f>IFERROR(__xludf.DUMMYFUNCTION("if(regexmatch(B100,""e(.*)$""),regexextract(B100,""e(.*)$""),"""")"),"-4")</f>
        <v>-4</v>
      </c>
    </row>
    <row r="101">
      <c r="A101" s="80" t="s">
        <v>2432</v>
      </c>
      <c r="B101" s="80" t="s">
        <v>5146</v>
      </c>
      <c r="C101" s="80"/>
      <c r="D101" s="18" t="str">
        <f t="shared" si="1"/>
        <v/>
      </c>
      <c r="E101" s="60" t="str">
        <f>VLOOKUP($A101,nist_names_ids!A:B,2,false)</f>
        <v>muemsmumum</v>
      </c>
      <c r="F101" s="61">
        <f>countif(Constants!A:A,E101)</f>
        <v>1</v>
      </c>
      <c r="G101" s="60" t="str">
        <f>IFERROR(__xludf.DUMMYFUNCTION("REGEXREPLACE(substitute(substitute(B101,"" "",""""),""..."",""""),""\(.*\)"","""")"),"206.7669720")</f>
        <v>206.7669720</v>
      </c>
      <c r="H101" s="62">
        <f t="shared" si="2"/>
        <v>206.766972</v>
      </c>
      <c r="I101" s="60" t="str">
        <f>IFERROR(__xludf.DUMMYFUNCTION("if(regexmatch($B101,""\(""),CONCATENATE(regexreplace(REGEXREPLACE(substitute(left($B101,find(""("",$B101)-1),"" "",""""),""\d"",""0""),""[-0]*\."",""0.""), REGEXEXTRACT($B101,""\((.*)\)""),TRIM(REGEXEXTRACT($B101,""\)(.*)""))),"""")"),"0.000000063")</f>
        <v>0.000000063</v>
      </c>
      <c r="J101" s="62">
        <f t="shared" si="3"/>
        <v>0.000000063</v>
      </c>
      <c r="K101" s="62" t="b">
        <f t="shared" si="4"/>
        <v>0</v>
      </c>
      <c r="L101" s="62" t="b">
        <f t="shared" si="5"/>
        <v>0</v>
      </c>
      <c r="M101" s="60" t="str">
        <f>IFERROR(__xludf.DUMMYFUNCTION("if(regexmatch(B101,""e(.*)$""),regexextract(B101,""e(.*)$""),"""")"),"")</f>
        <v/>
      </c>
    </row>
    <row r="102">
      <c r="A102" s="80" t="s">
        <v>1868</v>
      </c>
      <c r="B102" s="80" t="s">
        <v>5149</v>
      </c>
      <c r="C102" s="80"/>
      <c r="D102" s="18" t="str">
        <f t="shared" si="1"/>
        <v/>
      </c>
      <c r="E102" s="60" t="str">
        <f>VLOOKUP($A102,nist_names_ids!A:B,2,false)</f>
        <v>mesmmu</v>
      </c>
      <c r="F102" s="61">
        <f>countif(Constants!A:A,E102)</f>
        <v>1</v>
      </c>
      <c r="G102" s="60" t="str">
        <f>IFERROR(__xludf.DUMMYFUNCTION("REGEXREPLACE(substitute(substitute(B102,"" "",""""),""..."",""""),""\(.*\)"","""")"),"4.83633210e-3")</f>
        <v>4.83633210e-3</v>
      </c>
      <c r="H102" s="62">
        <f t="shared" si="2"/>
        <v>0.0048363321</v>
      </c>
      <c r="I102" s="60" t="str">
        <f>IFERROR(__xludf.DUMMYFUNCTION("if(regexmatch($B102,""\(""),CONCATENATE(regexreplace(REGEXREPLACE(substitute(left($B102,find(""("",$B102)-1),"" "",""""),""\d"",""0""),""[-0]*\."",""0.""), REGEXEXTRACT($B102,""\((.*)\)""),TRIM(REGEXEXTRACT($B102,""\)(.*)""))),"""")"),"0.0000000015e-3")</f>
        <v>0.0000000015e-3</v>
      </c>
      <c r="J102" s="62">
        <f t="shared" si="3"/>
        <v>0</v>
      </c>
      <c r="K102" s="62" t="b">
        <f t="shared" si="4"/>
        <v>0</v>
      </c>
      <c r="L102" s="62" t="b">
        <f t="shared" si="5"/>
        <v>0</v>
      </c>
      <c r="M102" s="60" t="str">
        <f>IFERROR(__xludf.DUMMYFUNCTION("if(regexmatch(B102,""e(.*)$""),regexextract(B102,""e(.*)$""),"""")"),"-3")</f>
        <v>-3</v>
      </c>
    </row>
    <row r="103">
      <c r="A103" s="80" t="s">
        <v>2498</v>
      </c>
      <c r="B103" s="80" t="s">
        <v>4776</v>
      </c>
      <c r="C103" s="80"/>
      <c r="D103" s="18" t="str">
        <f t="shared" si="1"/>
        <v/>
      </c>
      <c r="E103" s="60" t="str">
        <f>VLOOKUP($A103,nist_names_ids!A:B,2,false)</f>
        <v>muemsmunn</v>
      </c>
      <c r="F103" s="61">
        <f>countif(Constants!A:A,E103)</f>
        <v>1</v>
      </c>
      <c r="G103" s="60" t="str">
        <f>IFERROR(__xludf.DUMMYFUNCTION("REGEXREPLACE(substitute(substitute(B103,"" "",""""),""..."",""""),""\(.*\)"","""")"),"960.92050")</f>
        <v>960.92050</v>
      </c>
      <c r="H103" s="62">
        <f t="shared" si="2"/>
        <v>960.9205</v>
      </c>
      <c r="I103" s="60" t="str">
        <f>IFERROR(__xludf.DUMMYFUNCTION("if(regexmatch($B103,""\(""),CONCATENATE(regexreplace(REGEXREPLACE(substitute(left($B103,find(""("",$B103)-1),"" "",""""),""\d"",""0""),""[-0]*\."",""0.""), REGEXEXTRACT($B103,""\((.*)\)""),TRIM(REGEXEXTRACT($B103,""\)(.*)""))),"""")"),"0.0000023")</f>
        <v>0.0000023</v>
      </c>
      <c r="J103" s="62">
        <f t="shared" si="3"/>
        <v>0.0000023</v>
      </c>
      <c r="K103" s="62" t="b">
        <f t="shared" si="4"/>
        <v>0</v>
      </c>
      <c r="L103" s="62" t="b">
        <f t="shared" si="5"/>
        <v>0</v>
      </c>
      <c r="M103" s="60" t="str">
        <f>IFERROR(__xludf.DUMMYFUNCTION("if(regexmatch(B103,""e(.*)$""),regexextract(B103,""e(.*)$""),"""")"),"")</f>
        <v/>
      </c>
    </row>
    <row r="104">
      <c r="A104" s="80" t="s">
        <v>1878</v>
      </c>
      <c r="B104" s="80" t="s">
        <v>5157</v>
      </c>
      <c r="C104" s="80"/>
      <c r="D104" s="18" t="str">
        <f t="shared" si="1"/>
        <v/>
      </c>
      <c r="E104" s="60" t="str">
        <f>VLOOKUP($A104,nist_names_ids!A:B,2,false)</f>
        <v>mesmn</v>
      </c>
      <c r="F104" s="61">
        <f>countif(Constants!A:A,E104)</f>
        <v>1</v>
      </c>
      <c r="G104" s="60" t="str">
        <f>IFERROR(__xludf.DUMMYFUNCTION("REGEXREPLACE(substitute(substitute(B104,"" "",""""),""..."",""""),""\(.*\)"","""")"),"5.438673462e-4")</f>
        <v>5.438673462e-4</v>
      </c>
      <c r="H104" s="62">
        <f t="shared" si="2"/>
        <v>0.0005438673462</v>
      </c>
      <c r="I104" s="60" t="str">
        <f>IFERROR(__xludf.DUMMYFUNCTION("if(regexmatch($B104,""\(""),CONCATENATE(regexreplace(REGEXREPLACE(substitute(left($B104,find(""("",$B104)-1),"" "",""""),""\d"",""0""),""[-0]*\."",""0.""), REGEXEXTRACT($B104,""\((.*)\)""),TRIM(REGEXEXTRACT($B104,""\)(.*)""))),"""")"),"0.00000000012e-4")</f>
        <v>0.00000000012e-4</v>
      </c>
      <c r="J104" s="62">
        <f t="shared" si="3"/>
        <v>0</v>
      </c>
      <c r="K104" s="62" t="b">
        <f t="shared" si="4"/>
        <v>0</v>
      </c>
      <c r="L104" s="62" t="b">
        <f t="shared" si="5"/>
        <v>0</v>
      </c>
      <c r="M104" s="60" t="str">
        <f>IFERROR(__xludf.DUMMYFUNCTION("if(regexmatch(B104,""e(.*)$""),regexextract(B104,""e(.*)$""),"""")"),"-4")</f>
        <v>-4</v>
      </c>
    </row>
    <row r="105">
      <c r="A105" s="80" t="s">
        <v>2541</v>
      </c>
      <c r="B105" s="80" t="s">
        <v>5160</v>
      </c>
      <c r="C105" s="80"/>
      <c r="D105" s="18" t="str">
        <f t="shared" si="1"/>
        <v/>
      </c>
      <c r="E105" s="60" t="str">
        <f>VLOOKUP($A105,nist_names_ids!A:B,2,false)</f>
        <v>muemsmup</v>
      </c>
      <c r="F105" s="61">
        <f>countif(Constants!A:A,E105)</f>
        <v>1</v>
      </c>
      <c r="G105" s="60" t="str">
        <f>IFERROR(__xludf.DUMMYFUNCTION("REGEXREPLACE(substitute(substitute(B105,"" "",""""),""..."",""""),""\(.*\)"","""")"),"-658.2106875")</f>
        <v>-658.2106875</v>
      </c>
      <c r="H105" s="62">
        <f t="shared" si="2"/>
        <v>-658.2106875</v>
      </c>
      <c r="I105" s="60" t="str">
        <f>IFERROR(__xludf.DUMMYFUNCTION("if(regexmatch($B105,""\(""),CONCATENATE(regexreplace(REGEXREPLACE(substitute(left($B105,find(""("",$B105)-1),"" "",""""),""\d"",""0""),""[-0]*\."",""0.""), REGEXEXTRACT($B105,""\((.*)\)""),TRIM(REGEXEXTRACT($B105,""\)(.*)""))),"""")"),"0.000000066")</f>
        <v>0.000000066</v>
      </c>
      <c r="J105" s="62">
        <f t="shared" si="3"/>
        <v>0.000000066</v>
      </c>
      <c r="K105" s="62" t="b">
        <f t="shared" si="4"/>
        <v>0</v>
      </c>
      <c r="L105" s="62" t="b">
        <f t="shared" si="5"/>
        <v>0</v>
      </c>
      <c r="M105" s="60" t="str">
        <f>IFERROR(__xludf.DUMMYFUNCTION("if(regexmatch(B105,""e(.*)$""),regexextract(B105,""e(.*)$""),"""")"),"")</f>
        <v/>
      </c>
    </row>
    <row r="106">
      <c r="A106" s="80" t="s">
        <v>1886</v>
      </c>
      <c r="B106" s="80" t="s">
        <v>5164</v>
      </c>
      <c r="C106" s="80"/>
      <c r="D106" s="18" t="str">
        <f t="shared" si="1"/>
        <v/>
      </c>
      <c r="E106" s="60" t="str">
        <f>VLOOKUP($A106,nist_names_ids!A:B,2,false)</f>
        <v>mesmp</v>
      </c>
      <c r="F106" s="61">
        <f>countif(Constants!A:A,E106)</f>
        <v>1</v>
      </c>
      <c r="G106" s="60" t="str">
        <f>IFERROR(__xludf.DUMMYFUNCTION("REGEXREPLACE(substitute(substitute(B106,"" "",""""),""..."",""""),""\(.*\)"","""")"),"5.446170232e-4")</f>
        <v>5.446170232e-4</v>
      </c>
      <c r="H106" s="62">
        <f t="shared" si="2"/>
        <v>0.0005446170232</v>
      </c>
      <c r="I106" s="60" t="str">
        <f>IFERROR(__xludf.DUMMYFUNCTION("if(regexmatch($B106,""\(""),CONCATENATE(regexreplace(REGEXREPLACE(substitute(left($B106,find(""("",$B106)-1),"" "",""""),""\d"",""0""),""[-0]*\."",""0.""), REGEXEXTRACT($B106,""\((.*)\)""),TRIM(REGEXEXTRACT($B106,""\)(.*)""))),"""")"),"0.00000000012e-4")</f>
        <v>0.00000000012e-4</v>
      </c>
      <c r="J106" s="62">
        <f t="shared" si="3"/>
        <v>0</v>
      </c>
      <c r="K106" s="62" t="b">
        <f t="shared" si="4"/>
        <v>0</v>
      </c>
      <c r="L106" s="62" t="b">
        <f t="shared" si="5"/>
        <v>0</v>
      </c>
      <c r="M106" s="60" t="str">
        <f>IFERROR(__xludf.DUMMYFUNCTION("if(regexmatch(B106,""e(.*)$""),regexextract(B106,""e(.*)$""),"""")"),"-4")</f>
        <v>-4</v>
      </c>
    </row>
    <row r="107">
      <c r="A107" s="80" t="s">
        <v>1896</v>
      </c>
      <c r="B107" s="80" t="s">
        <v>5167</v>
      </c>
      <c r="C107" s="80"/>
      <c r="D107" s="18" t="str">
        <f t="shared" si="1"/>
        <v/>
      </c>
      <c r="E107" s="60" t="str">
        <f>VLOOKUP($A107,nist_names_ids!A:B,2,false)</f>
        <v>mesmtau</v>
      </c>
      <c r="F107" s="61">
        <f>countif(Constants!A:A,E107)</f>
        <v>1</v>
      </c>
      <c r="G107" s="60" t="str">
        <f>IFERROR(__xludf.DUMMYFUNCTION("REGEXREPLACE(substitute(substitute(B107,"" "",""""),""..."",""""),""\(.*\)"","""")"),"2.87555e-4")</f>
        <v>2.87555e-4</v>
      </c>
      <c r="H107" s="62">
        <f t="shared" si="2"/>
        <v>0.000287555</v>
      </c>
      <c r="I107" s="60" t="str">
        <f>IFERROR(__xludf.DUMMYFUNCTION("if(regexmatch($B107,""\(""),CONCATENATE(regexreplace(REGEXREPLACE(substitute(left($B107,find(""("",$B107)-1),"" "",""""),""\d"",""0""),""[-0]*\."",""0.""), REGEXEXTRACT($B107,""\((.*)\)""),TRIM(REGEXEXTRACT($B107,""\)(.*)""))),"""")"),"0.0000047e-4")</f>
        <v>0.0000047e-4</v>
      </c>
      <c r="J107" s="62">
        <f t="shared" si="3"/>
        <v>0.00000000047</v>
      </c>
      <c r="K107" s="62" t="b">
        <f t="shared" si="4"/>
        <v>0</v>
      </c>
      <c r="L107" s="62" t="b">
        <f t="shared" si="5"/>
        <v>0</v>
      </c>
      <c r="M107" s="60" t="str">
        <f>IFERROR(__xludf.DUMMYFUNCTION("if(regexmatch(B107,""e(.*)$""),regexextract(B107,""e(.*)$""),"""")"),"-4")</f>
        <v>-4</v>
      </c>
    </row>
    <row r="108">
      <c r="A108" s="80" t="s">
        <v>2603</v>
      </c>
      <c r="B108" s="80" t="s">
        <v>5120</v>
      </c>
      <c r="C108" s="80" t="s">
        <v>4803</v>
      </c>
      <c r="D108" s="18" t="str">
        <f t="shared" si="1"/>
        <v>A J^-1</v>
      </c>
      <c r="E108" s="60" t="str">
        <f>VLOOKUP($A108,nist_names_ids!A:B,2,false)</f>
        <v>eshbar</v>
      </c>
      <c r="F108" s="61">
        <f>countif(Constants!A:A,E108)</f>
        <v>1</v>
      </c>
      <c r="G108" s="60" t="str">
        <f>IFERROR(__xludf.DUMMYFUNCTION("REGEXREPLACE(substitute(substitute(B108,"" "",""""),""..."",""""),""\(.*\)"","""")"),"2.417989491e14")</f>
        <v>2.417989491e14</v>
      </c>
      <c r="H108" s="62">
        <f t="shared" si="2"/>
        <v>241798949100000</v>
      </c>
      <c r="I108" s="60" t="str">
        <f>IFERROR(__xludf.DUMMYFUNCTION("if(regexmatch($B108,""\(""),CONCATENATE(regexreplace(REGEXREPLACE(substitute(left($B108,find(""("",$B108)-1),"" "",""""),""\d"",""0""),""[-0]*\."",""0.""), REGEXEXTRACT($B108,""\((.*)\)""),TRIM(REGEXEXTRACT($B108,""\)(.*)""))),"""")"),"0.00000000095e14")</f>
        <v>0.00000000095e14</v>
      </c>
      <c r="J108" s="62">
        <f t="shared" si="3"/>
        <v>95000</v>
      </c>
      <c r="K108" s="62" t="b">
        <f t="shared" si="4"/>
        <v>0</v>
      </c>
      <c r="L108" s="62" t="b">
        <f t="shared" si="5"/>
        <v>0</v>
      </c>
      <c r="M108" s="60" t="str">
        <f>IFERROR(__xludf.DUMMYFUNCTION("if(regexmatch(B108,""e(.*)$""),regexextract(B108,""e(.*)$""),"""")"),"14")</f>
        <v>14</v>
      </c>
    </row>
    <row r="109">
      <c r="A109" s="80" t="s">
        <v>1956</v>
      </c>
      <c r="B109" s="80" t="s">
        <v>5175</v>
      </c>
      <c r="C109" s="80" t="s">
        <v>4807</v>
      </c>
      <c r="D109" s="18" t="str">
        <f t="shared" si="1"/>
        <v>C mol^-1</v>
      </c>
      <c r="E109" s="60" t="str">
        <f>VLOOKUP($A109,nist_names_ids!A:B,2,false)</f>
        <v>f</v>
      </c>
      <c r="F109" s="61">
        <f>countif(Constants!A:A,E109)</f>
        <v>1</v>
      </c>
      <c r="G109" s="60" t="str">
        <f>IFERROR(__xludf.DUMMYFUNCTION("REGEXREPLACE(substitute(substitute(B109,"" "",""""),""..."",""""),""\(.*\)"","""")"),"96485.3415")</f>
        <v>96485.3415</v>
      </c>
      <c r="H109" s="62">
        <f t="shared" si="2"/>
        <v>96485.3415</v>
      </c>
      <c r="I109" s="60" t="str">
        <f>IFERROR(__xludf.DUMMYFUNCTION("if(regexmatch($B109,""\(""),CONCATENATE(regexreplace(REGEXREPLACE(substitute(left($B109,find(""("",$B109)-1),"" "",""""),""\d"",""0""),""[-0]*\."",""0.""), REGEXEXTRACT($B109,""\((.*)\)""),TRIM(REGEXEXTRACT($B109,""\)(.*)""))),"""")"),"0.000039")</f>
        <v>0.000039</v>
      </c>
      <c r="J109" s="62">
        <f t="shared" si="3"/>
        <v>0.000039</v>
      </c>
      <c r="K109" s="62" t="b">
        <f t="shared" si="4"/>
        <v>0</v>
      </c>
      <c r="L109" s="62" t="b">
        <f t="shared" si="5"/>
        <v>0</v>
      </c>
      <c r="M109" s="60" t="str">
        <f>IFERROR(__xludf.DUMMYFUNCTION("if(regexmatch(B109,""e(.*)$""),regexextract(B109,""e(.*)$""),"""")"),"")</f>
        <v/>
      </c>
    </row>
    <row r="110">
      <c r="A110" s="80" t="s">
        <v>2239</v>
      </c>
      <c r="B110" s="80" t="s">
        <v>5177</v>
      </c>
      <c r="C110" s="80" t="s">
        <v>4812</v>
      </c>
      <c r="D110" s="18" t="str">
        <f t="shared" si="1"/>
        <v>C_90 mol^-1</v>
      </c>
      <c r="E110" s="60" t="str">
        <f>VLOOKUP($A110,nist_names_ids!A:B,2,false)</f>
        <v>f90</v>
      </c>
      <c r="F110" s="61">
        <f>countif(Constants!A:A,E110)</f>
        <v>1</v>
      </c>
      <c r="G110" s="60" t="str">
        <f>IFERROR(__xludf.DUMMYFUNCTION("REGEXREPLACE(substitute(substitute(B110,"" "",""""),""..."",""""),""\(.*\)"","""")"),"96485.3432")</f>
        <v>96485.3432</v>
      </c>
      <c r="H110" s="62">
        <f t="shared" si="2"/>
        <v>96485.3432</v>
      </c>
      <c r="I110" s="60" t="str">
        <f>IFERROR(__xludf.DUMMYFUNCTION("if(regexmatch($B110,""\(""),CONCATENATE(regexreplace(REGEXREPLACE(substitute(left($B110,find(""("",$B110)-1),"" "",""""),""\d"",""0""),""[-0]*\."",""0.""), REGEXEXTRACT($B110,""\((.*)\)""),TRIM(REGEXEXTRACT($B110,""\)(.*)""))),"""")"),"0.000076")</f>
        <v>0.000076</v>
      </c>
      <c r="J110" s="62">
        <f t="shared" si="3"/>
        <v>0.000076</v>
      </c>
      <c r="K110" s="62" t="b">
        <f t="shared" si="4"/>
        <v>0</v>
      </c>
      <c r="L110" s="62" t="b">
        <f t="shared" si="5"/>
        <v>0</v>
      </c>
      <c r="M110" s="60" t="str">
        <f>IFERROR(__xludf.DUMMYFUNCTION("if(regexmatch(B110,""e(.*)$""),regexextract(B110,""e(.*)$""),"""")"),"")</f>
        <v/>
      </c>
    </row>
    <row r="111">
      <c r="A111" s="80" t="s">
        <v>1960</v>
      </c>
      <c r="B111" s="80" t="s">
        <v>5123</v>
      </c>
      <c r="C111" s="80" t="s">
        <v>4815</v>
      </c>
      <c r="D111" s="18" t="str">
        <f t="shared" si="1"/>
        <v>GeV^-2</v>
      </c>
      <c r="E111" s="60" t="str">
        <f>VLOOKUP($A111,nist_names_ids!A:B,2,false)</f>
        <v>gf</v>
      </c>
      <c r="F111" s="61">
        <f>countif(Constants!A:A,E111)</f>
        <v>1</v>
      </c>
      <c r="G111" s="60" t="str">
        <f>IFERROR(__xludf.DUMMYFUNCTION("REGEXREPLACE(substitute(substitute(B111,"" "",""""),""..."",""""),""\(.*\)"","""")"),"1.16639e-5")</f>
        <v>1.16639e-5</v>
      </c>
      <c r="H111" s="62">
        <f t="shared" si="2"/>
        <v>0.0000116639</v>
      </c>
      <c r="I111" s="60" t="str">
        <f>IFERROR(__xludf.DUMMYFUNCTION("if(regexmatch($B111,""\(""),CONCATENATE(regexreplace(REGEXREPLACE(substitute(left($B111,find(""("",$B111)-1),"" "",""""),""\d"",""0""),""[-0]*\."",""0.""), REGEXEXTRACT($B111,""\((.*)\)""),TRIM(REGEXEXTRACT($B111,""\)(.*)""))),"""")"),"0.000001e-5")</f>
        <v>0.000001e-5</v>
      </c>
      <c r="J111" s="62">
        <f t="shared" si="3"/>
        <v>0</v>
      </c>
      <c r="K111" s="62" t="b">
        <f t="shared" si="4"/>
        <v>0</v>
      </c>
      <c r="L111" s="62" t="b">
        <f t="shared" si="5"/>
        <v>0</v>
      </c>
      <c r="M111" s="60" t="str">
        <f>IFERROR(__xludf.DUMMYFUNCTION("if(regexmatch(B111,""e(.*)$""),regexextract(B111,""e(.*)$""),"""")"),"-5")</f>
        <v>-5</v>
      </c>
    </row>
    <row r="112">
      <c r="A112" s="80" t="s">
        <v>1966</v>
      </c>
      <c r="B112" s="80" t="s">
        <v>5180</v>
      </c>
      <c r="C112" s="80"/>
      <c r="D112" s="18" t="str">
        <f t="shared" si="1"/>
        <v/>
      </c>
      <c r="E112" s="60" t="str">
        <f>VLOOKUP($A112,nist_names_ids!A:B,2,false)</f>
        <v>alph</v>
      </c>
      <c r="F112" s="61">
        <f>countif(Constants!A:A,E112)</f>
        <v>1</v>
      </c>
      <c r="G112" s="60" t="str">
        <f>IFERROR(__xludf.DUMMYFUNCTION("REGEXREPLACE(substitute(substitute(B112,"" "",""""),""..."",""""),""\(.*\)"","""")"),"7.297352533e-3")</f>
        <v>7.297352533e-3</v>
      </c>
      <c r="H112" s="62">
        <f t="shared" si="2"/>
        <v>0.007297352533</v>
      </c>
      <c r="I112" s="60" t="str">
        <f>IFERROR(__xludf.DUMMYFUNCTION("if(regexmatch($B112,""\(""),CONCATENATE(regexreplace(REGEXREPLACE(substitute(left($B112,find(""("",$B112)-1),"" "",""""),""\d"",""0""),""[-0]*\."",""0.""), REGEXEXTRACT($B112,""\((.*)\)""),TRIM(REGEXEXTRACT($B112,""\)(.*)""))),"""")"),"0.00000000027e-3")</f>
        <v>0.00000000027e-3</v>
      </c>
      <c r="J112" s="62">
        <f t="shared" si="3"/>
        <v>0</v>
      </c>
      <c r="K112" s="62" t="b">
        <f t="shared" si="4"/>
        <v>0</v>
      </c>
      <c r="L112" s="62" t="b">
        <f t="shared" si="5"/>
        <v>0</v>
      </c>
      <c r="M112" s="60" t="str">
        <f>IFERROR(__xludf.DUMMYFUNCTION("if(regexmatch(B112,""e(.*)$""),regexextract(B112,""e(.*)$""),"""")"),"-3")</f>
        <v>-3</v>
      </c>
    </row>
    <row r="113">
      <c r="A113" s="80" t="s">
        <v>1972</v>
      </c>
      <c r="B113" s="80" t="s">
        <v>5186</v>
      </c>
      <c r="C113" s="80" t="s">
        <v>4825</v>
      </c>
      <c r="D113" s="18" t="str">
        <f t="shared" si="1"/>
        <v>W m^2</v>
      </c>
      <c r="E113" s="60" t="str">
        <f>VLOOKUP($A113,nist_names_ids!A:B,2,false)</f>
        <v>c11strc</v>
      </c>
      <c r="F113" s="61">
        <f>countif(Constants!A:A,E113)</f>
        <v>1</v>
      </c>
      <c r="G113" s="60" t="str">
        <f>IFERROR(__xludf.DUMMYFUNCTION("REGEXREPLACE(substitute(substitute(B113,"" "",""""),""..."",""""),""\(.*\)"","""")"),"3.74177107e-16")</f>
        <v>3.74177107e-16</v>
      </c>
      <c r="H113" s="62">
        <f t="shared" si="2"/>
        <v>0</v>
      </c>
      <c r="I113" s="60" t="str">
        <f>IFERROR(__xludf.DUMMYFUNCTION("if(regexmatch($B113,""\(""),CONCATENATE(regexreplace(REGEXREPLACE(substitute(left($B113,find(""("",$B113)-1),"" "",""""),""\d"",""0""),""[-0]*\."",""0.""), REGEXEXTRACT($B113,""\((.*)\)""),TRIM(REGEXEXTRACT($B113,""\)(.*)""))),"""")"),"0.0000000029e-16")</f>
        <v>0.0000000029e-16</v>
      </c>
      <c r="J113" s="62">
        <f t="shared" si="3"/>
        <v>0</v>
      </c>
      <c r="K113" s="62" t="b">
        <f t="shared" si="4"/>
        <v>0</v>
      </c>
      <c r="L113" s="62" t="b">
        <f t="shared" si="5"/>
        <v>0</v>
      </c>
      <c r="M113" s="60" t="str">
        <f>IFERROR(__xludf.DUMMYFUNCTION("if(regexmatch(B113,""e(.*)$""),regexextract(B113,""e(.*)$""),"""")"),"-16")</f>
        <v>-16</v>
      </c>
    </row>
    <row r="114">
      <c r="A114" s="80" t="s">
        <v>1979</v>
      </c>
      <c r="B114" s="80" t="s">
        <v>5189</v>
      </c>
      <c r="C114" s="80" t="s">
        <v>4830</v>
      </c>
      <c r="D114" s="18" t="str">
        <f t="shared" si="1"/>
        <v>W m^2 sr^-1</v>
      </c>
      <c r="E114" s="60" t="str">
        <f>VLOOKUP($A114,nist_names_ids!A:B,2,false)</f>
        <v>c1l</v>
      </c>
      <c r="F114" s="61">
        <f>countif(Constants!A:A,E114)</f>
        <v>1</v>
      </c>
      <c r="G114" s="60" t="str">
        <f>IFERROR(__xludf.DUMMYFUNCTION("REGEXREPLACE(substitute(substitute(B114,"" "",""""),""..."",""""),""\(.*\)"","""")"),"1.191042722e-16")</f>
        <v>1.191042722e-16</v>
      </c>
      <c r="H114" s="62">
        <f t="shared" si="2"/>
        <v>0</v>
      </c>
      <c r="I114" s="60" t="str">
        <f>IFERROR(__xludf.DUMMYFUNCTION("if(regexmatch($B114,""\(""),CONCATENATE(regexreplace(REGEXREPLACE(substitute(left($B114,find(""("",$B114)-1),"" "",""""),""\d"",""0""),""[-0]*\."",""0.""), REGEXEXTRACT($B114,""\((.*)\)""),TRIM(REGEXEXTRACT($B114,""\)(.*)""))),"""")"),"0.00000000093e-16")</f>
        <v>0.00000000093e-16</v>
      </c>
      <c r="J114" s="62">
        <f t="shared" si="3"/>
        <v>0</v>
      </c>
      <c r="K114" s="62" t="b">
        <f t="shared" si="4"/>
        <v>0</v>
      </c>
      <c r="L114" s="62" t="b">
        <f t="shared" si="5"/>
        <v>0</v>
      </c>
      <c r="M114" s="60" t="str">
        <f>IFERROR(__xludf.DUMMYFUNCTION("if(regexmatch(B114,""e(.*)$""),regexextract(B114,""e(.*)$""),"""")"),"-16")</f>
        <v>-16</v>
      </c>
    </row>
    <row r="115">
      <c r="A115" s="80" t="s">
        <v>1993</v>
      </c>
      <c r="B115" s="80" t="s">
        <v>4975</v>
      </c>
      <c r="C115" s="80" t="s">
        <v>181</v>
      </c>
      <c r="D115" s="18" t="str">
        <f t="shared" si="1"/>
        <v>eV</v>
      </c>
      <c r="E115" s="60" t="str">
        <f>VLOOKUP($A115,nist_names_ids!A:B,2,false)</f>
        <v>threv</v>
      </c>
      <c r="F115" s="61">
        <f>countif(Constants!A:A,E115)</f>
        <v>1</v>
      </c>
      <c r="G115" s="60" t="str">
        <f>IFERROR(__xludf.DUMMYFUNCTION("REGEXREPLACE(substitute(substitute(B115,"" "",""""),""..."",""""),""\(.*\)"","""")"),"27.2113834")</f>
        <v>27.2113834</v>
      </c>
      <c r="H115" s="62">
        <f t="shared" si="2"/>
        <v>27.2113834</v>
      </c>
      <c r="I115" s="60" t="str">
        <f>IFERROR(__xludf.DUMMYFUNCTION("if(regexmatch($B115,""\(""),CONCATENATE(regexreplace(REGEXREPLACE(substitute(left($B115,find(""("",$B115)-1),"" "",""""),""\d"",""0""),""[-0]*\."",""0.""), REGEXEXTRACT($B115,""\((.*)\)""),TRIM(REGEXEXTRACT($B115,""\)(.*)""))),"""")"),"0.000000011")</f>
        <v>0.000000011</v>
      </c>
      <c r="J115" s="62">
        <f t="shared" si="3"/>
        <v>0.000000011</v>
      </c>
      <c r="K115" s="62" t="b">
        <f t="shared" si="4"/>
        <v>0</v>
      </c>
      <c r="L115" s="62" t="b">
        <f t="shared" si="5"/>
        <v>0</v>
      </c>
      <c r="M115" s="60" t="str">
        <f>IFERROR(__xludf.DUMMYFUNCTION("if(regexmatch(B115,""e(.*)$""),regexextract(B115,""e(.*)$""),"""")"),"")</f>
        <v/>
      </c>
    </row>
    <row r="116">
      <c r="A116" s="80" t="s">
        <v>2684</v>
      </c>
      <c r="B116" s="80" t="s">
        <v>4978</v>
      </c>
      <c r="C116" s="80" t="s">
        <v>173</v>
      </c>
      <c r="D116" s="18" t="str">
        <f t="shared" si="1"/>
        <v>J</v>
      </c>
      <c r="E116" s="60" t="str">
        <f>VLOOKUP($A116,nist_names_ids!A:B,2,false)</f>
        <v>hr</v>
      </c>
      <c r="F116" s="61">
        <f>countif(Constants!A:A,E116)</f>
        <v>1</v>
      </c>
      <c r="G116" s="60" t="str">
        <f>IFERROR(__xludf.DUMMYFUNCTION("REGEXREPLACE(substitute(substitute(B116,"" "",""""),""..."",""""),""\(.*\)"","""")"),"4.35974381e-18")</f>
        <v>4.35974381e-18</v>
      </c>
      <c r="H116" s="62">
        <f t="shared" si="2"/>
        <v>0</v>
      </c>
      <c r="I116" s="60" t="str">
        <f>IFERROR(__xludf.DUMMYFUNCTION("if(regexmatch($B116,""\(""),CONCATENATE(regexreplace(REGEXREPLACE(substitute(left($B116,find(""("",$B116)-1),"" "",""""),""\d"",""0""),""[-0]*\."",""0.""), REGEXEXTRACT($B116,""\((.*)\)""),TRIM(REGEXEXTRACT($B116,""\)(.*)""))),"""")"),"0.0000000034e-18")</f>
        <v>0.0000000034e-18</v>
      </c>
      <c r="J116" s="62">
        <f t="shared" si="3"/>
        <v>0</v>
      </c>
      <c r="K116" s="62" t="b">
        <f t="shared" si="4"/>
        <v>0</v>
      </c>
      <c r="L116" s="62" t="b">
        <f t="shared" si="5"/>
        <v>0</v>
      </c>
      <c r="M116" s="60" t="str">
        <f>IFERROR(__xludf.DUMMYFUNCTION("if(regexmatch(B116,""e(.*)$""),regexextract(B116,""e(.*)$""),"""")"),"-18")</f>
        <v>-18</v>
      </c>
    </row>
    <row r="117">
      <c r="A117" s="80" t="s">
        <v>1984</v>
      </c>
      <c r="B117" s="80" t="s">
        <v>5199</v>
      </c>
      <c r="C117" s="80" t="s">
        <v>249</v>
      </c>
      <c r="D117" s="18" t="str">
        <f t="shared" si="1"/>
        <v>u</v>
      </c>
      <c r="E117" s="60" t="str">
        <f>VLOOKUP($A117,nist_names_ids!A:B,2,false)</f>
        <v>hru</v>
      </c>
      <c r="F117" s="61">
        <f>countif(Constants!A:A,E117)</f>
        <v>1</v>
      </c>
      <c r="G117" s="60" t="str">
        <f>IFERROR(__xludf.DUMMYFUNCTION("REGEXREPLACE(substitute(substitute(B117,"" "",""""),""..."",""""),""\(.*\)"","""")"),"2.921262304e-8")</f>
        <v>2.921262304e-8</v>
      </c>
      <c r="H117" s="62">
        <f t="shared" si="2"/>
        <v>0.00000002921262304</v>
      </c>
      <c r="I117" s="60" t="str">
        <f>IFERROR(__xludf.DUMMYFUNCTION("if(regexmatch($B117,""\(""),CONCATENATE(regexreplace(REGEXREPLACE(substitute(left($B117,find(""("",$B117)-1),"" "",""""),""\d"",""0""),""[-0]*\."",""0.""), REGEXEXTRACT($B117,""\((.*)\)""),TRIM(REGEXEXTRACT($B117,""\)(.*)""))),"""")"),"0.00000000022e-8")</f>
        <v>0.00000000022e-8</v>
      </c>
      <c r="J117" s="62">
        <f t="shared" si="3"/>
        <v>0</v>
      </c>
      <c r="K117" s="62" t="b">
        <f t="shared" si="4"/>
        <v>0</v>
      </c>
      <c r="L117" s="62" t="b">
        <f t="shared" si="5"/>
        <v>0</v>
      </c>
      <c r="M117" s="60" t="str">
        <f>IFERROR(__xludf.DUMMYFUNCTION("if(regexmatch(B117,""e(.*)$""),regexextract(B117,""e(.*)$""),"""")"),"-8")</f>
        <v>-8</v>
      </c>
    </row>
    <row r="118">
      <c r="A118" s="80" t="s">
        <v>1988</v>
      </c>
      <c r="B118" s="80" t="s">
        <v>4975</v>
      </c>
      <c r="C118" s="80" t="s">
        <v>181</v>
      </c>
      <c r="D118" s="18" t="str">
        <f t="shared" si="1"/>
        <v>eV</v>
      </c>
      <c r="E118" s="60" t="str">
        <f>VLOOKUP($A118,nist_names_ids!A:B,2,false)</f>
        <v>hrev</v>
      </c>
      <c r="F118" s="61">
        <f>countif(Constants!A:A,E118)</f>
        <v>1</v>
      </c>
      <c r="G118" s="60" t="str">
        <f>IFERROR(__xludf.DUMMYFUNCTION("REGEXREPLACE(substitute(substitute(B118,"" "",""""),""..."",""""),""\(.*\)"","""")"),"27.2113834")</f>
        <v>27.2113834</v>
      </c>
      <c r="H118" s="62">
        <f t="shared" si="2"/>
        <v>27.2113834</v>
      </c>
      <c r="I118" s="60" t="str">
        <f>IFERROR(__xludf.DUMMYFUNCTION("if(regexmatch($B118,""\(""),CONCATENATE(regexreplace(REGEXREPLACE(substitute(left($B118,find(""("",$B118)-1),"" "",""""),""\d"",""0""),""[-0]*\."",""0.""), REGEXEXTRACT($B118,""\((.*)\)""),TRIM(REGEXEXTRACT($B118,""\)(.*)""))),"""")"),"0.000000011")</f>
        <v>0.000000011</v>
      </c>
      <c r="J118" s="62">
        <f t="shared" si="3"/>
        <v>0.000000011</v>
      </c>
      <c r="K118" s="62" t="b">
        <f t="shared" si="4"/>
        <v>0</v>
      </c>
      <c r="L118" s="62" t="b">
        <f t="shared" si="5"/>
        <v>0</v>
      </c>
      <c r="M118" s="60" t="str">
        <f>IFERROR(__xludf.DUMMYFUNCTION("if(regexmatch(B118,""e(.*)$""),regexextract(B118,""e(.*)$""),"""")"),"")</f>
        <v/>
      </c>
    </row>
    <row r="119">
      <c r="A119" s="80" t="s">
        <v>1997</v>
      </c>
      <c r="B119" s="80" t="s">
        <v>5209</v>
      </c>
      <c r="C119" s="80" t="s">
        <v>257</v>
      </c>
      <c r="D119" s="18" t="str">
        <f t="shared" si="1"/>
        <v>Hz</v>
      </c>
      <c r="E119" s="60" t="str">
        <f>VLOOKUP($A119,nist_names_ids!A:B,2,false)</f>
        <v>hrhz</v>
      </c>
      <c r="F119" s="61">
        <f>countif(Constants!A:A,E119)</f>
        <v>1</v>
      </c>
      <c r="G119" s="60" t="str">
        <f>IFERROR(__xludf.DUMMYFUNCTION("REGEXREPLACE(substitute(substitute(B119,"" "",""""),""..."",""""),""\(.*\)"","""")"),"6.579683920735e15")</f>
        <v>6.579683920735e15</v>
      </c>
      <c r="H119" s="62">
        <f t="shared" si="2"/>
        <v>6.57968E+15</v>
      </c>
      <c r="I119" s="60" t="str">
        <f>IFERROR(__xludf.DUMMYFUNCTION("if(regexmatch($B119,""\(""),CONCATENATE(regexreplace(REGEXREPLACE(substitute(left($B119,find(""("",$B119)-1),"" "",""""),""\d"",""0""),""[-0]*\."",""0.""), REGEXEXTRACT($B119,""\((.*)\)""),TRIM(REGEXEXTRACT($B119,""\)(.*)""))),"""")"),"0.00000000000050e15")</f>
        <v>0.00000000000050e15</v>
      </c>
      <c r="J119" s="62">
        <f t="shared" si="3"/>
        <v>500</v>
      </c>
      <c r="K119" s="62" t="b">
        <f t="shared" si="4"/>
        <v>0</v>
      </c>
      <c r="L119" s="62" t="b">
        <f t="shared" si="5"/>
        <v>0</v>
      </c>
      <c r="M119" s="60" t="str">
        <f>IFERROR(__xludf.DUMMYFUNCTION("if(regexmatch(B119,""e(.*)$""),regexextract(B119,""e(.*)$""),"""")"),"15")</f>
        <v>15</v>
      </c>
    </row>
    <row r="120">
      <c r="A120" s="80" t="s">
        <v>2000</v>
      </c>
      <c r="B120" s="80" t="s">
        <v>5211</v>
      </c>
      <c r="C120" s="80" t="s">
        <v>4359</v>
      </c>
      <c r="D120" s="18" t="str">
        <f t="shared" si="1"/>
        <v>m^-1</v>
      </c>
      <c r="E120" s="60" t="str">
        <f>VLOOKUP($A120,nist_names_ids!A:B,2,false)</f>
        <v>hrminv</v>
      </c>
      <c r="F120" s="61">
        <f>countif(Constants!A:A,E120)</f>
        <v>1</v>
      </c>
      <c r="G120" s="60" t="str">
        <f>IFERROR(__xludf.DUMMYFUNCTION("REGEXREPLACE(substitute(substitute(B120,"" "",""""),""..."",""""),""\(.*\)"","""")"),"2.194746313710e7")</f>
        <v>2.194746313710e7</v>
      </c>
      <c r="H120" s="62">
        <f t="shared" si="2"/>
        <v>21947463.14</v>
      </c>
      <c r="I120" s="60" t="str">
        <f>IFERROR(__xludf.DUMMYFUNCTION("if(regexmatch($B120,""\(""),CONCATENATE(regexreplace(REGEXREPLACE(substitute(left($B120,find(""("",$B120)-1),"" "",""""),""\d"",""0""),""[-0]*\."",""0.""), REGEXEXTRACT($B120,""\((.*)\)""),TRIM(REGEXEXTRACT($B120,""\)(.*)""))),"""")"),"0.00000000000017e7")</f>
        <v>0.00000000000017e7</v>
      </c>
      <c r="J120" s="62">
        <f t="shared" si="3"/>
        <v>0.0000017</v>
      </c>
      <c r="K120" s="62" t="b">
        <f t="shared" si="4"/>
        <v>0</v>
      </c>
      <c r="L120" s="62" t="b">
        <f t="shared" si="5"/>
        <v>0</v>
      </c>
      <c r="M120" s="60" t="str">
        <f>IFERROR(__xludf.DUMMYFUNCTION("if(regexmatch(B120,""e(.*)$""),regexextract(B120,""e(.*)$""),"""")"),"7")</f>
        <v>7</v>
      </c>
    </row>
    <row r="121">
      <c r="A121" s="80" t="s">
        <v>2004</v>
      </c>
      <c r="B121" s="80" t="s">
        <v>4978</v>
      </c>
      <c r="C121" s="80" t="s">
        <v>173</v>
      </c>
      <c r="D121" s="18" t="str">
        <f t="shared" si="1"/>
        <v>J</v>
      </c>
      <c r="E121" s="60" t="str">
        <f>VLOOKUP($A121,nist_names_ids!A:B,2,false)</f>
        <v>hrj</v>
      </c>
      <c r="F121" s="61">
        <f>countif(Constants!A:A,E121)</f>
        <v>1</v>
      </c>
      <c r="G121" s="60" t="str">
        <f>IFERROR(__xludf.DUMMYFUNCTION("REGEXREPLACE(substitute(substitute(B121,"" "",""""),""..."",""""),""\(.*\)"","""")"),"4.35974381e-18")</f>
        <v>4.35974381e-18</v>
      </c>
      <c r="H121" s="62">
        <f t="shared" si="2"/>
        <v>0</v>
      </c>
      <c r="I121" s="60" t="str">
        <f>IFERROR(__xludf.DUMMYFUNCTION("if(regexmatch($B121,""\(""),CONCATENATE(regexreplace(REGEXREPLACE(substitute(left($B121,find(""("",$B121)-1),"" "",""""),""\d"",""0""),""[-0]*\."",""0.""), REGEXEXTRACT($B121,""\((.*)\)""),TRIM(REGEXEXTRACT($B121,""\)(.*)""))),"""")"),"0.0000000034e-18")</f>
        <v>0.0000000034e-18</v>
      </c>
      <c r="J121" s="62">
        <f t="shared" si="3"/>
        <v>0</v>
      </c>
      <c r="K121" s="62" t="b">
        <f t="shared" si="4"/>
        <v>0</v>
      </c>
      <c r="L121" s="62" t="b">
        <f t="shared" si="5"/>
        <v>0</v>
      </c>
      <c r="M121" s="60" t="str">
        <f>IFERROR(__xludf.DUMMYFUNCTION("if(regexmatch(B121,""e(.*)$""),regexextract(B121,""e(.*)$""),"""")"),"-18")</f>
        <v>-18</v>
      </c>
    </row>
    <row r="122">
      <c r="A122" s="80" t="s">
        <v>2009</v>
      </c>
      <c r="B122" s="80" t="s">
        <v>4858</v>
      </c>
      <c r="C122" s="80" t="s">
        <v>345</v>
      </c>
      <c r="D122" s="18" t="str">
        <f t="shared" si="1"/>
        <v>K</v>
      </c>
      <c r="E122" s="60" t="str">
        <f>VLOOKUP($A122,nist_names_ids!A:B,2,false)</f>
        <v>hrk</v>
      </c>
      <c r="F122" s="61">
        <f>countif(Constants!A:A,E122)</f>
        <v>1</v>
      </c>
      <c r="G122" s="60" t="str">
        <f>IFERROR(__xludf.DUMMYFUNCTION("REGEXREPLACE(substitute(substitute(B122,"" "",""""),""..."",""""),""\(.*\)"","""")"),"3.1577465e5")</f>
        <v>3.1577465e5</v>
      </c>
      <c r="H122" s="62">
        <f t="shared" si="2"/>
        <v>315774.65</v>
      </c>
      <c r="I122" s="60" t="str">
        <f>IFERROR(__xludf.DUMMYFUNCTION("if(regexmatch($B122,""\(""),CONCATENATE(regexreplace(REGEXREPLACE(substitute(left($B122,find(""("",$B122)-1),"" "",""""),""\d"",""0""),""[-0]*\."",""0.""), REGEXEXTRACT($B122,""\((.*)\)""),TRIM(REGEXEXTRACT($B122,""\)(.*)""))),"""")"),"0.000000055e5")</f>
        <v>0.000000055e5</v>
      </c>
      <c r="J122" s="62">
        <f t="shared" si="3"/>
        <v>0.0055</v>
      </c>
      <c r="K122" s="62" t="b">
        <f t="shared" si="4"/>
        <v>0</v>
      </c>
      <c r="L122" s="62" t="b">
        <f t="shared" si="5"/>
        <v>0</v>
      </c>
      <c r="M122" s="60" t="str">
        <f>IFERROR(__xludf.DUMMYFUNCTION("if(regexmatch(B122,""e(.*)$""),regexextract(B122,""e(.*)$""),"""")"),"5")</f>
        <v>5</v>
      </c>
    </row>
    <row r="123">
      <c r="A123" s="80" t="s">
        <v>2013</v>
      </c>
      <c r="B123" s="80" t="s">
        <v>5214</v>
      </c>
      <c r="C123" s="80" t="s">
        <v>98</v>
      </c>
      <c r="D123" s="18" t="str">
        <f t="shared" si="1"/>
        <v>kg</v>
      </c>
      <c r="E123" s="60" t="str">
        <f>VLOOKUP($A123,nist_names_ids!A:B,2,false)</f>
        <v>hrkg</v>
      </c>
      <c r="F123" s="61">
        <f>countif(Constants!A:A,E123)</f>
        <v>1</v>
      </c>
      <c r="G123" s="60" t="str">
        <f>IFERROR(__xludf.DUMMYFUNCTION("REGEXREPLACE(substitute(substitute(B123,"" "",""""),""..."",""""),""\(.*\)"","""")"),"4.85086919e-35")</f>
        <v>4.85086919e-35</v>
      </c>
      <c r="H123" s="62">
        <f t="shared" si="2"/>
        <v>0</v>
      </c>
      <c r="I123" s="60" t="str">
        <f>IFERROR(__xludf.DUMMYFUNCTION("if(regexmatch($B123,""\(""),CONCATENATE(regexreplace(REGEXREPLACE(substitute(left($B123,find(""("",$B123)-1),"" "",""""),""\d"",""0""),""[-0]*\."",""0.""), REGEXEXTRACT($B123,""\((.*)\)""),TRIM(REGEXEXTRACT($B123,""\)(.*)""))),"""")"),"0.0000000038e-35")</f>
        <v>0.0000000038e-35</v>
      </c>
      <c r="J123" s="62">
        <f t="shared" si="3"/>
        <v>0</v>
      </c>
      <c r="K123" s="62" t="b">
        <f t="shared" si="4"/>
        <v>0</v>
      </c>
      <c r="L123" s="62" t="b">
        <f t="shared" si="5"/>
        <v>0</v>
      </c>
      <c r="M123" s="60" t="str">
        <f>IFERROR(__xludf.DUMMYFUNCTION("if(regexmatch(B123,""e(.*)$""),regexextract(B123,""e(.*)$""),"""")"),"-35")</f>
        <v>-35</v>
      </c>
    </row>
    <row r="124">
      <c r="A124" s="80" t="s">
        <v>2052</v>
      </c>
      <c r="B124" s="80" t="s">
        <v>5216</v>
      </c>
      <c r="C124" s="80" t="s">
        <v>98</v>
      </c>
      <c r="D124" s="18" t="str">
        <f t="shared" si="1"/>
        <v>kg</v>
      </c>
      <c r="E124" s="60" t="str">
        <f>VLOOKUP($A124,nist_names_ids!A:B,2,false)</f>
        <v>mh</v>
      </c>
      <c r="F124" s="61">
        <f>countif(Constants!A:A,E124)</f>
        <v>1</v>
      </c>
      <c r="G124" s="60" t="str">
        <f>IFERROR(__xludf.DUMMYFUNCTION("REGEXREPLACE(substitute(substitute(B124,"" "",""""),""..."",""""),""\(.*\)"","""")"),"5.00641174e-27")</f>
        <v>5.00641174e-27</v>
      </c>
      <c r="H124" s="62">
        <f t="shared" si="2"/>
        <v>0</v>
      </c>
      <c r="I124" s="60" t="str">
        <f>IFERROR(__xludf.DUMMYFUNCTION("if(regexmatch($B124,""\(""),CONCATENATE(regexreplace(REGEXREPLACE(substitute(left($B124,find(""("",$B124)-1),"" "",""""),""\d"",""0""),""[-0]*\."",""0.""), REGEXEXTRACT($B124,""\((.*)\)""),TRIM(REGEXEXTRACT($B124,""\)(.*)""))),"""")"),"0.0000000039e-27")</f>
        <v>0.0000000039e-27</v>
      </c>
      <c r="J124" s="62">
        <f t="shared" si="3"/>
        <v>0</v>
      </c>
      <c r="K124" s="62" t="b">
        <f t="shared" si="4"/>
        <v>0</v>
      </c>
      <c r="L124" s="62" t="b">
        <f t="shared" si="5"/>
        <v>0</v>
      </c>
      <c r="M124" s="60" t="str">
        <f>IFERROR(__xludf.DUMMYFUNCTION("if(regexmatch(B124,""e(.*)$""),regexextract(B124,""e(.*)$""),"""")"),"-27")</f>
        <v>-27</v>
      </c>
    </row>
    <row r="125">
      <c r="A125" s="80" t="s">
        <v>2056</v>
      </c>
      <c r="B125" s="80" t="s">
        <v>5218</v>
      </c>
      <c r="C125" s="80" t="s">
        <v>173</v>
      </c>
      <c r="D125" s="18" t="str">
        <f t="shared" si="1"/>
        <v>J</v>
      </c>
      <c r="E125" s="60" t="str">
        <f>VLOOKUP($A125,nist_names_ids!A:B,2,false)</f>
        <v>mhc2</v>
      </c>
      <c r="F125" s="61">
        <f>countif(Constants!A:A,E125)</f>
        <v>1</v>
      </c>
      <c r="G125" s="60" t="str">
        <f>IFERROR(__xludf.DUMMYFUNCTION("REGEXREPLACE(substitute(substitute(B125,"" "",""""),""..."",""""),""\(.*\)"","""")"),"4.49953848e-10")</f>
        <v>4.49953848e-10</v>
      </c>
      <c r="H125" s="62">
        <f t="shared" si="2"/>
        <v>0.000000000449953848</v>
      </c>
      <c r="I125" s="60" t="str">
        <f>IFERROR(__xludf.DUMMYFUNCTION("if(regexmatch($B125,""\(""),CONCATENATE(regexreplace(REGEXREPLACE(substitute(left($B125,find(""("",$B125)-1),"" "",""""),""\d"",""0""),""[-0]*\."",""0.""), REGEXEXTRACT($B125,""\((.*)\)""),TRIM(REGEXEXTRACT($B125,""\)(.*)""))),"""")"),"0.0000000035e-10")</f>
        <v>0.0000000035e-10</v>
      </c>
      <c r="J125" s="62">
        <f t="shared" si="3"/>
        <v>0</v>
      </c>
      <c r="K125" s="62" t="b">
        <f t="shared" si="4"/>
        <v>0</v>
      </c>
      <c r="L125" s="62" t="b">
        <f t="shared" si="5"/>
        <v>0</v>
      </c>
      <c r="M125" s="60" t="str">
        <f>IFERROR(__xludf.DUMMYFUNCTION("if(regexmatch(B125,""e(.*)$""),regexextract(B125,""e(.*)$""),"""")"),"-10")</f>
        <v>-10</v>
      </c>
    </row>
    <row r="126">
      <c r="A126" s="80" t="s">
        <v>2063</v>
      </c>
      <c r="B126" s="80" t="s">
        <v>5220</v>
      </c>
      <c r="C126" s="80" t="s">
        <v>224</v>
      </c>
      <c r="D126" s="18" t="str">
        <f t="shared" si="1"/>
        <v>MeV</v>
      </c>
      <c r="E126" s="60" t="str">
        <f>VLOOKUP($A126,nist_names_ids!A:B,2,false)</f>
        <v>mhc2mev</v>
      </c>
      <c r="F126" s="61">
        <f>countif(Constants!A:A,E126)</f>
        <v>1</v>
      </c>
      <c r="G126" s="60" t="str">
        <f>IFERROR(__xludf.DUMMYFUNCTION("REGEXREPLACE(substitute(substitute(B126,"" "",""""),""..."",""""),""\(.*\)"","""")"),"2808.39132")</f>
        <v>2808.39132</v>
      </c>
      <c r="H126" s="62">
        <f t="shared" si="2"/>
        <v>2808.39132</v>
      </c>
      <c r="I126" s="60" t="str">
        <f>IFERROR(__xludf.DUMMYFUNCTION("if(regexmatch($B126,""\(""),CONCATENATE(regexreplace(REGEXREPLACE(substitute(left($B126,find(""("",$B126)-1),"" "",""""),""\d"",""0""),""[-0]*\."",""0.""), REGEXEXTRACT($B126,""\((.*)\)""),TRIM(REGEXEXTRACT($B126,""\)(.*)""))),"""")"),"0.0000011")</f>
        <v>0.0000011</v>
      </c>
      <c r="J126" s="62">
        <f t="shared" si="3"/>
        <v>0.0000011</v>
      </c>
      <c r="K126" s="62" t="b">
        <f t="shared" si="4"/>
        <v>0</v>
      </c>
      <c r="L126" s="62" t="b">
        <f t="shared" si="5"/>
        <v>0</v>
      </c>
      <c r="M126" s="60" t="str">
        <f>IFERROR(__xludf.DUMMYFUNCTION("if(regexmatch(B126,""e(.*)$""),regexextract(B126,""e(.*)$""),"""")"),"")</f>
        <v/>
      </c>
    </row>
    <row r="127">
      <c r="A127" s="80" t="s">
        <v>2067</v>
      </c>
      <c r="B127" s="80" t="s">
        <v>5222</v>
      </c>
      <c r="C127" s="80" t="s">
        <v>249</v>
      </c>
      <c r="D127" s="18" t="str">
        <f t="shared" si="1"/>
        <v>u</v>
      </c>
      <c r="E127" s="60" t="str">
        <f>VLOOKUP($A127,nist_names_ids!A:B,2,false)</f>
        <v>mhu</v>
      </c>
      <c r="F127" s="61">
        <f>countif(Constants!A:A,E127)</f>
        <v>1</v>
      </c>
      <c r="G127" s="60" t="str">
        <f>IFERROR(__xludf.DUMMYFUNCTION("REGEXREPLACE(substitute(substitute(B127,"" "",""""),""..."",""""),""\(.*\)"","""")"),"3.01493223469")</f>
        <v>3.01493223469</v>
      </c>
      <c r="H127" s="62">
        <f t="shared" si="2"/>
        <v>3.014932235</v>
      </c>
      <c r="I127" s="60" t="str">
        <f>IFERROR(__xludf.DUMMYFUNCTION("if(regexmatch($B127,""\(""),CONCATENATE(regexreplace(REGEXREPLACE(substitute(left($B127,find(""("",$B127)-1),"" "",""""),""\d"",""0""),""[-0]*\."",""0.""), REGEXEXTRACT($B127,""\((.*)\)""),TRIM(REGEXEXTRACT($B127,""\)(.*)""))),"""")"),"0.0000000000086")</f>
        <v>0.0000000000086</v>
      </c>
      <c r="J127" s="62">
        <f t="shared" si="3"/>
        <v>0</v>
      </c>
      <c r="K127" s="62" t="b">
        <f t="shared" si="4"/>
        <v>0</v>
      </c>
      <c r="L127" s="62" t="b">
        <f t="shared" si="5"/>
        <v>0</v>
      </c>
      <c r="M127" s="60" t="str">
        <f>IFERROR(__xludf.DUMMYFUNCTION("if(regexmatch(B127,""e(.*)$""),regexextract(B127,""e(.*)$""),"""")"),"")</f>
        <v/>
      </c>
    </row>
    <row r="128">
      <c r="A128" s="80" t="s">
        <v>2070</v>
      </c>
      <c r="B128" s="80" t="s">
        <v>5225</v>
      </c>
      <c r="C128" s="80" t="s">
        <v>4309</v>
      </c>
      <c r="D128" s="18" t="str">
        <f t="shared" si="1"/>
        <v>kg mol^-1</v>
      </c>
      <c r="E128" s="60" t="str">
        <f>VLOOKUP($A128,nist_names_ids!A:B,2,false)</f>
        <v>mmh</v>
      </c>
      <c r="F128" s="61">
        <f>countif(Constants!A:A,E128)</f>
        <v>1</v>
      </c>
      <c r="G128" s="60" t="str">
        <f>IFERROR(__xludf.DUMMYFUNCTION("REGEXREPLACE(substitute(substitute(B128,"" "",""""),""..."",""""),""\(.*\)"","""")"),"3.01493223469e-3")</f>
        <v>3.01493223469e-3</v>
      </c>
      <c r="H128" s="62">
        <f t="shared" si="2"/>
        <v>0.003014932235</v>
      </c>
      <c r="I128" s="60" t="str">
        <f>IFERROR(__xludf.DUMMYFUNCTION("if(regexmatch($B128,""\(""),CONCATENATE(regexreplace(REGEXREPLACE(substitute(left($B128,find(""("",$B128)-1),"" "",""""),""\d"",""0""),""[-0]*\."",""0.""), REGEXEXTRACT($B128,""\((.*)\)""),TRIM(REGEXEXTRACT($B128,""\)(.*)""))),"""")"),"0.0000000000086e-3")</f>
        <v>0.0000000000086e-3</v>
      </c>
      <c r="J128" s="62">
        <f t="shared" si="3"/>
        <v>0</v>
      </c>
      <c r="K128" s="62" t="b">
        <f t="shared" si="4"/>
        <v>0</v>
      </c>
      <c r="L128" s="62" t="b">
        <f t="shared" si="5"/>
        <v>0</v>
      </c>
      <c r="M128" s="60" t="str">
        <f>IFERROR(__xludf.DUMMYFUNCTION("if(regexmatch(B128,""e(.*)$""),regexextract(B128,""e(.*)$""),"""")"),"-3")</f>
        <v>-3</v>
      </c>
    </row>
    <row r="129">
      <c r="A129" s="80" t="s">
        <v>2018</v>
      </c>
      <c r="B129" s="80" t="s">
        <v>5228</v>
      </c>
      <c r="C129" s="80"/>
      <c r="D129" s="18" t="str">
        <f t="shared" si="1"/>
        <v/>
      </c>
      <c r="E129" s="60" t="str">
        <f>VLOOKUP($A129,nist_names_ids!A:B,2,false)</f>
        <v>mhsme</v>
      </c>
      <c r="F129" s="61">
        <f>countif(Constants!A:A,E129)</f>
        <v>1</v>
      </c>
      <c r="G129" s="60" t="str">
        <f>IFERROR(__xludf.DUMMYFUNCTION("REGEXREPLACE(substitute(substitute(B129,"" "",""""),""..."",""""),""\(.*\)"","""")"),"5495.885238")</f>
        <v>5495.885238</v>
      </c>
      <c r="H129" s="62">
        <f t="shared" si="2"/>
        <v>5495.885238</v>
      </c>
      <c r="I129" s="60" t="str">
        <f>IFERROR(__xludf.DUMMYFUNCTION("if(regexmatch($B129,""\(""),CONCATENATE(regexreplace(REGEXREPLACE(substitute(left($B129,find(""("",$B129)-1),"" "",""""),""\d"",""0""),""[-0]*\."",""0.""), REGEXEXTRACT($B129,""\((.*)\)""),TRIM(REGEXEXTRACT($B129,""\)(.*)""))),"""")"),"0.00000012")</f>
        <v>0.00000012</v>
      </c>
      <c r="J129" s="62">
        <f t="shared" si="3"/>
        <v>0.00000012</v>
      </c>
      <c r="K129" s="62" t="b">
        <f t="shared" si="4"/>
        <v>0</v>
      </c>
      <c r="L129" s="62" t="b">
        <f t="shared" si="5"/>
        <v>0</v>
      </c>
      <c r="M129" s="60" t="str">
        <f>IFERROR(__xludf.DUMMYFUNCTION("if(regexmatch(B129,""e(.*)$""),regexextract(B129,""e(.*)$""),"""")"),"")</f>
        <v/>
      </c>
    </row>
    <row r="130">
      <c r="A130" s="80" t="s">
        <v>2073</v>
      </c>
      <c r="B130" s="80" t="s">
        <v>5231</v>
      </c>
      <c r="C130" s="80"/>
      <c r="D130" s="18" t="str">
        <f t="shared" si="1"/>
        <v/>
      </c>
      <c r="E130" s="60" t="str">
        <f>VLOOKUP($A130,nist_names_ids!A:B,2,false)</f>
        <v>mhsmp</v>
      </c>
      <c r="F130" s="61">
        <f>countif(Constants!A:A,E130)</f>
        <v>1</v>
      </c>
      <c r="G130" s="60" t="str">
        <f>IFERROR(__xludf.DUMMYFUNCTION("REGEXREPLACE(substitute(substitute(B130,"" "",""""),""..."",""""),""\(.*\)"","""")"),"2.99315265850")</f>
        <v>2.99315265850</v>
      </c>
      <c r="H130" s="62">
        <f t="shared" si="2"/>
        <v>2.993152659</v>
      </c>
      <c r="I130" s="60" t="str">
        <f>IFERROR(__xludf.DUMMYFUNCTION("if(regexmatch($B130,""\(""),CONCATENATE(regexreplace(REGEXREPLACE(substitute(left($B130,find(""("",$B130)-1),"" "",""""),""\d"",""0""),""[-0]*\."",""0.""), REGEXEXTRACT($B130,""\((.*)\)""),TRIM(REGEXEXTRACT($B130,""\)(.*)""))),"""")"),"0.0000000000093")</f>
        <v>0.0000000000093</v>
      </c>
      <c r="J130" s="62">
        <f t="shared" si="3"/>
        <v>0</v>
      </c>
      <c r="K130" s="62" t="b">
        <f t="shared" si="4"/>
        <v>0</v>
      </c>
      <c r="L130" s="62" t="b">
        <f t="shared" si="5"/>
        <v>0</v>
      </c>
      <c r="M130" s="60" t="str">
        <f>IFERROR(__xludf.DUMMYFUNCTION("if(regexmatch(B130,""e(.*)$""),regexextract(B130,""e(.*)$""),"""")"),"")</f>
        <v/>
      </c>
    </row>
    <row r="131">
      <c r="A131" s="80" t="s">
        <v>2093</v>
      </c>
      <c r="B131" s="80" t="s">
        <v>5233</v>
      </c>
      <c r="C131" s="80" t="s">
        <v>249</v>
      </c>
      <c r="D131" s="18" t="str">
        <f t="shared" si="1"/>
        <v>u</v>
      </c>
      <c r="E131" s="60" t="str">
        <f>VLOOKUP($A131,nist_names_ids!A:B,2,false)</f>
        <v>hzu</v>
      </c>
      <c r="F131" s="61">
        <f>countif(Constants!A:A,E131)</f>
        <v>1</v>
      </c>
      <c r="G131" s="60" t="str">
        <f>IFERROR(__xludf.DUMMYFUNCTION("REGEXREPLACE(substitute(substitute(B131,"" "",""""),""..."",""""),""\(.*\)"","""")"),"4.439821637e-24")</f>
        <v>4.439821637e-24</v>
      </c>
      <c r="H131" s="62">
        <f t="shared" si="2"/>
        <v>0</v>
      </c>
      <c r="I131" s="60" t="str">
        <f>IFERROR(__xludf.DUMMYFUNCTION("if(regexmatch($B131,""\(""),CONCATENATE(regexreplace(REGEXREPLACE(substitute(left($B131,find(""("",$B131)-1),"" "",""""),""\d"",""0""),""[-0]*\."",""0.""), REGEXEXTRACT($B131,""\((.*)\)""),TRIM(REGEXEXTRACT($B131,""\)(.*)""))),"""")"),"0.00000000034e-24")</f>
        <v>0.00000000034e-24</v>
      </c>
      <c r="J131" s="62">
        <f t="shared" si="3"/>
        <v>0</v>
      </c>
      <c r="K131" s="62" t="b">
        <f t="shared" si="4"/>
        <v>0</v>
      </c>
      <c r="L131" s="62" t="b">
        <f t="shared" si="5"/>
        <v>0</v>
      </c>
      <c r="M131" s="60" t="str">
        <f>IFERROR(__xludf.DUMMYFUNCTION("if(regexmatch(B131,""e(.*)$""),regexextract(B131,""e(.*)$""),"""")"),"-24")</f>
        <v>-24</v>
      </c>
    </row>
    <row r="132">
      <c r="A132" s="80" t="s">
        <v>2099</v>
      </c>
      <c r="B132" s="80" t="s">
        <v>5234</v>
      </c>
      <c r="C132" s="80" t="s">
        <v>181</v>
      </c>
      <c r="D132" s="18" t="str">
        <f t="shared" si="1"/>
        <v>eV</v>
      </c>
      <c r="E132" s="60" t="str">
        <f>VLOOKUP($A132,nist_names_ids!A:B,2,false)</f>
        <v>hzev</v>
      </c>
      <c r="F132" s="61">
        <f>countif(Constants!A:A,E132)</f>
        <v>1</v>
      </c>
      <c r="G132" s="60" t="str">
        <f>IFERROR(__xludf.DUMMYFUNCTION("REGEXREPLACE(substitute(substitute(B132,"" "",""""),""..."",""""),""\(.*\)"","""")"),"4.13566727e-15")</f>
        <v>4.13566727e-15</v>
      </c>
      <c r="H132" s="62">
        <f t="shared" si="2"/>
        <v>0</v>
      </c>
      <c r="I132" s="60" t="str">
        <f>IFERROR(__xludf.DUMMYFUNCTION("if(regexmatch($B132,""\(""),CONCATENATE(regexreplace(REGEXREPLACE(substitute(left($B132,find(""("",$B132)-1),"" "",""""),""\d"",""0""),""[-0]*\."",""0.""), REGEXEXTRACT($B132,""\((.*)\)""),TRIM(REGEXEXTRACT($B132,""\)(.*)""))),"""")"),"0.0000000016e-15")</f>
        <v>0.0000000016e-15</v>
      </c>
      <c r="J132" s="62">
        <f t="shared" si="3"/>
        <v>0</v>
      </c>
      <c r="K132" s="62" t="b">
        <f t="shared" si="4"/>
        <v>0</v>
      </c>
      <c r="L132" s="62" t="b">
        <f t="shared" si="5"/>
        <v>0</v>
      </c>
      <c r="M132" s="60" t="str">
        <f>IFERROR(__xludf.DUMMYFUNCTION("if(regexmatch(B132,""e(.*)$""),regexextract(B132,""e(.*)$""),"""")"),"-15")</f>
        <v>-15</v>
      </c>
    </row>
    <row r="133">
      <c r="A133" s="80" t="s">
        <v>2103</v>
      </c>
      <c r="B133" s="80" t="s">
        <v>5236</v>
      </c>
      <c r="C133" s="80" t="s">
        <v>170</v>
      </c>
      <c r="D133" s="18" t="str">
        <f t="shared" si="1"/>
        <v>E_h</v>
      </c>
      <c r="E133" s="60" t="str">
        <f>VLOOKUP($A133,nist_names_ids!A:B,2,false)</f>
        <v>hzhr</v>
      </c>
      <c r="F133" s="61">
        <f>countif(Constants!A:A,E133)</f>
        <v>1</v>
      </c>
      <c r="G133" s="60" t="str">
        <f>IFERROR(__xludf.DUMMYFUNCTION("REGEXREPLACE(substitute(substitute(B133,"" "",""""),""..."",""""),""\(.*\)"","""")"),"1.519829846003e-16")</f>
        <v>1.519829846003e-16</v>
      </c>
      <c r="H133" s="62">
        <f t="shared" si="2"/>
        <v>0</v>
      </c>
      <c r="I133" s="60" t="str">
        <f>IFERROR(__xludf.DUMMYFUNCTION("if(regexmatch($B133,""\(""),CONCATENATE(regexreplace(REGEXREPLACE(substitute(left($B133,find(""("",$B133)-1),"" "",""""),""\d"",""0""),""[-0]*\."",""0.""), REGEXEXTRACT($B133,""\((.*)\)""),TRIM(REGEXEXTRACT($B133,""\)(.*)""))),"""")"),"0.00000000000012e-16")</f>
        <v>0.00000000000012e-16</v>
      </c>
      <c r="J133" s="62">
        <f t="shared" si="3"/>
        <v>0</v>
      </c>
      <c r="K133" s="62" t="b">
        <f t="shared" si="4"/>
        <v>0</v>
      </c>
      <c r="L133" s="62" t="b">
        <f t="shared" si="5"/>
        <v>0</v>
      </c>
      <c r="M133" s="60" t="str">
        <f>IFERROR(__xludf.DUMMYFUNCTION("if(regexmatch(B133,""e(.*)$""),regexextract(B133,""e(.*)$""),"""")"),"-16")</f>
        <v>-16</v>
      </c>
    </row>
    <row r="134">
      <c r="A134" s="80" t="s">
        <v>2108</v>
      </c>
      <c r="B134" s="80" t="s">
        <v>5238</v>
      </c>
      <c r="C134" s="80" t="s">
        <v>4359</v>
      </c>
      <c r="D134" s="18" t="str">
        <f t="shared" si="1"/>
        <v>m^-1</v>
      </c>
      <c r="E134" s="60" t="str">
        <f>VLOOKUP($A134,nist_names_ids!A:B,2,false)</f>
        <v>hzminv</v>
      </c>
      <c r="F134" s="61">
        <f>countif(Constants!A:A,E134)</f>
        <v>1</v>
      </c>
      <c r="G134" s="60" t="str">
        <f>IFERROR(__xludf.DUMMYFUNCTION("REGEXREPLACE(substitute(substitute(B134,"" "",""""),""..."",""""),""\(.*\)"","""")"),"3.335640952e-9")</f>
        <v>3.335640952e-9</v>
      </c>
      <c r="H134" s="62">
        <f t="shared" si="2"/>
        <v>0.000000003335640952</v>
      </c>
      <c r="I134" s="60" t="str">
        <f>IFERROR(__xludf.DUMMYFUNCTION("if(regexmatch($B134,""\(""),CONCATENATE(regexreplace(REGEXREPLACE(substitute(left($B134,find(""("",$B134)-1),"" "",""""),""\d"",""0""),""[-0]*\."",""0.""), REGEXEXTRACT($B134,""\((.*)\)""),TRIM(REGEXEXTRACT($B134,""\)(.*)""))),"""")"),"")</f>
        <v/>
      </c>
      <c r="J134" s="62" t="str">
        <f t="shared" si="3"/>
        <v/>
      </c>
      <c r="K134" s="62" t="b">
        <f t="shared" si="4"/>
        <v>0</v>
      </c>
      <c r="L134" s="62" t="b">
        <f t="shared" si="5"/>
        <v>0</v>
      </c>
      <c r="M134" s="60" t="str">
        <f>IFERROR(__xludf.DUMMYFUNCTION("if(regexmatch(B134,""e(.*)$""),regexextract(B134,""e(.*)$""),"""")"),"-9")</f>
        <v>-9</v>
      </c>
    </row>
    <row r="135">
      <c r="A135" s="80" t="s">
        <v>2110</v>
      </c>
      <c r="B135" s="80" t="s">
        <v>5242</v>
      </c>
      <c r="C135" s="80" t="s">
        <v>173</v>
      </c>
      <c r="D135" s="18" t="str">
        <f t="shared" si="1"/>
        <v>J</v>
      </c>
      <c r="E135" s="60" t="str">
        <f>VLOOKUP($A135,nist_names_ids!A:B,2,false)</f>
        <v>hzj</v>
      </c>
      <c r="F135" s="61">
        <f>countif(Constants!A:A,E135)</f>
        <v>1</v>
      </c>
      <c r="G135" s="60" t="str">
        <f>IFERROR(__xludf.DUMMYFUNCTION("REGEXREPLACE(substitute(substitute(B135,"" "",""""),""..."",""""),""\(.*\)"","""")"),"6.62606876e-34")</f>
        <v>6.62606876e-34</v>
      </c>
      <c r="H135" s="62">
        <f t="shared" si="2"/>
        <v>0</v>
      </c>
      <c r="I135" s="60" t="str">
        <f>IFERROR(__xludf.DUMMYFUNCTION("if(regexmatch($B135,""\(""),CONCATENATE(regexreplace(REGEXREPLACE(substitute(left($B135,find(""("",$B135)-1),"" "",""""),""\d"",""0""),""[-0]*\."",""0.""), REGEXEXTRACT($B135,""\((.*)\)""),TRIM(REGEXEXTRACT($B135,""\)(.*)""))),"""")"),"0.0000000052e-34")</f>
        <v>0.0000000052e-34</v>
      </c>
      <c r="J135" s="62">
        <f t="shared" si="3"/>
        <v>0</v>
      </c>
      <c r="K135" s="62" t="b">
        <f t="shared" si="4"/>
        <v>0</v>
      </c>
      <c r="L135" s="62" t="b">
        <f t="shared" si="5"/>
        <v>0</v>
      </c>
      <c r="M135" s="60" t="str">
        <f>IFERROR(__xludf.DUMMYFUNCTION("if(regexmatch(B135,""e(.*)$""),regexextract(B135,""e(.*)$""),"""")"),"-34")</f>
        <v>-34</v>
      </c>
    </row>
    <row r="136">
      <c r="A136" s="80" t="s">
        <v>2116</v>
      </c>
      <c r="B136" s="80" t="s">
        <v>4936</v>
      </c>
      <c r="C136" s="80" t="s">
        <v>345</v>
      </c>
      <c r="D136" s="18" t="str">
        <f t="shared" si="1"/>
        <v>K</v>
      </c>
      <c r="E136" s="60" t="str">
        <f>VLOOKUP($A136,nist_names_ids!A:B,2,false)</f>
        <v>hzk</v>
      </c>
      <c r="F136" s="61">
        <f>countif(Constants!A:A,E136)</f>
        <v>1</v>
      </c>
      <c r="G136" s="60" t="str">
        <f>IFERROR(__xludf.DUMMYFUNCTION("REGEXREPLACE(substitute(substitute(B136,"" "",""""),""..."",""""),""\(.*\)"","""")"),"4.7992374e-11")</f>
        <v>4.7992374e-11</v>
      </c>
      <c r="H136" s="62">
        <f t="shared" si="2"/>
        <v>0</v>
      </c>
      <c r="I136" s="60" t="str">
        <f>IFERROR(__xludf.DUMMYFUNCTION("if(regexmatch($B136,""\(""),CONCATENATE(regexreplace(REGEXREPLACE(substitute(left($B136,find(""("",$B136)-1),"" "",""""),""\d"",""0""),""[-0]*\."",""0.""), REGEXEXTRACT($B136,""\((.*)\)""),TRIM(REGEXEXTRACT($B136,""\)(.*)""))),"""")"),"0.000000084e-11")</f>
        <v>0.000000084e-11</v>
      </c>
      <c r="J136" s="62">
        <f t="shared" si="3"/>
        <v>0</v>
      </c>
      <c r="K136" s="62" t="b">
        <f t="shared" si="4"/>
        <v>0</v>
      </c>
      <c r="L136" s="62" t="b">
        <f t="shared" si="5"/>
        <v>0</v>
      </c>
      <c r="M136" s="60" t="str">
        <f>IFERROR(__xludf.DUMMYFUNCTION("if(regexmatch(B136,""e(.*)$""),regexextract(B136,""e(.*)$""),"""")"),"-11")</f>
        <v>-11</v>
      </c>
    </row>
    <row r="137">
      <c r="A137" s="80" t="s">
        <v>2119</v>
      </c>
      <c r="B137" s="80" t="s">
        <v>5246</v>
      </c>
      <c r="C137" s="80" t="s">
        <v>98</v>
      </c>
      <c r="D137" s="18" t="str">
        <f t="shared" si="1"/>
        <v>kg</v>
      </c>
      <c r="E137" s="60" t="str">
        <f>VLOOKUP($A137,nist_names_ids!A:B,2,false)</f>
        <v>hzkg</v>
      </c>
      <c r="F137" s="61">
        <f>countif(Constants!A:A,E137)</f>
        <v>1</v>
      </c>
      <c r="G137" s="60" t="str">
        <f>IFERROR(__xludf.DUMMYFUNCTION("REGEXREPLACE(substitute(substitute(B137,"" "",""""),""..."",""""),""\(.*\)"","""")"),"7.37249578e-51")</f>
        <v>7.37249578e-51</v>
      </c>
      <c r="H137" s="62">
        <f t="shared" si="2"/>
        <v>0</v>
      </c>
      <c r="I137" s="60" t="str">
        <f>IFERROR(__xludf.DUMMYFUNCTION("if(regexmatch($B137,""\(""),CONCATENATE(regexreplace(REGEXREPLACE(substitute(left($B137,find(""("",$B137)-1),"" "",""""),""\d"",""0""),""[-0]*\."",""0.""), REGEXEXTRACT($B137,""\((.*)\)""),TRIM(REGEXEXTRACT($B137,""\)(.*)""))),"""")"),"0.0000000058e-51")</f>
        <v>0.0000000058e-51</v>
      </c>
      <c r="J137" s="62">
        <f t="shared" si="3"/>
        <v>0</v>
      </c>
      <c r="K137" s="62" t="b">
        <f t="shared" si="4"/>
        <v>0</v>
      </c>
      <c r="L137" s="62" t="b">
        <f t="shared" si="5"/>
        <v>0</v>
      </c>
      <c r="M137" s="60" t="str">
        <f>IFERROR(__xludf.DUMMYFUNCTION("if(regexmatch(B137,""e(.*)$""),regexextract(B137,""e(.*)$""),"""")"),"-51")</f>
        <v>-51</v>
      </c>
    </row>
    <row r="138">
      <c r="A138" s="80" t="s">
        <v>2126</v>
      </c>
      <c r="B138" s="80" t="s">
        <v>5248</v>
      </c>
      <c r="C138" s="80"/>
      <c r="D138" s="18" t="str">
        <f t="shared" si="1"/>
        <v/>
      </c>
      <c r="E138" s="60" t="str">
        <f>VLOOKUP($A138,nist_names_ids!A:B,2,false)</f>
        <v>alphinv</v>
      </c>
      <c r="F138" s="61">
        <f>countif(Constants!A:A,E138)</f>
        <v>1</v>
      </c>
      <c r="G138" s="60" t="str">
        <f>IFERROR(__xludf.DUMMYFUNCTION("REGEXREPLACE(substitute(substitute(B138,"" "",""""),""..."",""""),""\(.*\)"","""")"),"137.03599976")</f>
        <v>137.03599976</v>
      </c>
      <c r="H138" s="62">
        <f t="shared" si="2"/>
        <v>137.0359998</v>
      </c>
      <c r="I138" s="60" t="str">
        <f>IFERROR(__xludf.DUMMYFUNCTION("if(regexmatch($B138,""\(""),CONCATENATE(regexreplace(REGEXREPLACE(substitute(left($B138,find(""("",$B138)-1),"" "",""""),""\d"",""0""),""[-0]*\."",""0.""), REGEXEXTRACT($B138,""\((.*)\)""),TRIM(REGEXEXTRACT($B138,""\)(.*)""))),"""")"),"0.0000000050")</f>
        <v>0.0000000050</v>
      </c>
      <c r="J138" s="62">
        <f t="shared" si="3"/>
        <v>0.000000005</v>
      </c>
      <c r="K138" s="62" t="b">
        <f t="shared" si="4"/>
        <v>0</v>
      </c>
      <c r="L138" s="62" t="b">
        <f t="shared" si="5"/>
        <v>0</v>
      </c>
      <c r="M138" s="60" t="str">
        <f>IFERROR(__xludf.DUMMYFUNCTION("if(regexmatch(B138,""e(.*)$""),regexextract(B138,""e(.*)$""),"""")"),"")</f>
        <v/>
      </c>
    </row>
    <row r="139">
      <c r="A139" s="80" t="s">
        <v>2130</v>
      </c>
      <c r="B139" s="80" t="s">
        <v>5250</v>
      </c>
      <c r="C139" s="80" t="s">
        <v>249</v>
      </c>
      <c r="D139" s="18" t="str">
        <f t="shared" si="1"/>
        <v>u</v>
      </c>
      <c r="E139" s="60" t="str">
        <f>VLOOKUP($A139,nist_names_ids!A:B,2,false)</f>
        <v>minvu</v>
      </c>
      <c r="F139" s="61">
        <f>countif(Constants!A:A,E139)</f>
        <v>1</v>
      </c>
      <c r="G139" s="60" t="str">
        <f>IFERROR(__xludf.DUMMYFUNCTION("REGEXREPLACE(substitute(substitute(B139,"" "",""""),""..."",""""),""\(.*\)"","""")"),"1.331025042e-15")</f>
        <v>1.331025042e-15</v>
      </c>
      <c r="H139" s="62">
        <f t="shared" si="2"/>
        <v>0</v>
      </c>
      <c r="I139" s="60" t="str">
        <f>IFERROR(__xludf.DUMMYFUNCTION("if(regexmatch($B139,""\(""),CONCATENATE(regexreplace(REGEXREPLACE(substitute(left($B139,find(""("",$B139)-1),"" "",""""),""\d"",""0""),""[-0]*\."",""0.""), REGEXEXTRACT($B139,""\((.*)\)""),TRIM(REGEXEXTRACT($B139,""\)(.*)""))),"""")"),"0.00000000010e-15")</f>
        <v>0.00000000010e-15</v>
      </c>
      <c r="J139" s="62">
        <f t="shared" si="3"/>
        <v>0</v>
      </c>
      <c r="K139" s="62" t="b">
        <f t="shared" si="4"/>
        <v>0</v>
      </c>
      <c r="L139" s="62" t="b">
        <f t="shared" si="5"/>
        <v>0</v>
      </c>
      <c r="M139" s="60" t="str">
        <f>IFERROR(__xludf.DUMMYFUNCTION("if(regexmatch(B139,""e(.*)$""),regexextract(B139,""e(.*)$""),"""")"),"-15")</f>
        <v>-15</v>
      </c>
    </row>
    <row r="140">
      <c r="A140" s="80" t="s">
        <v>2134</v>
      </c>
      <c r="B140" s="80" t="s">
        <v>5252</v>
      </c>
      <c r="C140" s="80" t="s">
        <v>181</v>
      </c>
      <c r="D140" s="18" t="str">
        <f t="shared" si="1"/>
        <v>eV</v>
      </c>
      <c r="E140" s="60" t="str">
        <f>VLOOKUP($A140,nist_names_ids!A:B,2,false)</f>
        <v>minvev</v>
      </c>
      <c r="F140" s="61">
        <f>countif(Constants!A:A,E140)</f>
        <v>1</v>
      </c>
      <c r="G140" s="60" t="str">
        <f>IFERROR(__xludf.DUMMYFUNCTION("REGEXREPLACE(substitute(substitute(B140,"" "",""""),""..."",""""),""\(.*\)"","""")"),"1.239841857e-6")</f>
        <v>1.239841857e-6</v>
      </c>
      <c r="H140" s="62">
        <f t="shared" si="2"/>
        <v>0.000001239841857</v>
      </c>
      <c r="I140" s="60" t="str">
        <f>IFERROR(__xludf.DUMMYFUNCTION("if(regexmatch($B140,""\(""),CONCATENATE(regexreplace(REGEXREPLACE(substitute(left($B140,find(""("",$B140)-1),"" "",""""),""\d"",""0""),""[-0]*\."",""0.""), REGEXEXTRACT($B140,""\((.*)\)""),TRIM(REGEXEXTRACT($B140,""\)(.*)""))),"""")"),"0.00000000049e-6")</f>
        <v>0.00000000049e-6</v>
      </c>
      <c r="J140" s="62">
        <f t="shared" si="3"/>
        <v>0</v>
      </c>
      <c r="K140" s="62" t="b">
        <f t="shared" si="4"/>
        <v>0</v>
      </c>
      <c r="L140" s="62" t="b">
        <f t="shared" si="5"/>
        <v>0</v>
      </c>
      <c r="M140" s="60" t="str">
        <f>IFERROR(__xludf.DUMMYFUNCTION("if(regexmatch(B140,""e(.*)$""),regexextract(B140,""e(.*)$""),"""")"),"-6")</f>
        <v>-6</v>
      </c>
    </row>
    <row r="141">
      <c r="A141" s="80" t="s">
        <v>2137</v>
      </c>
      <c r="B141" s="80" t="s">
        <v>5256</v>
      </c>
      <c r="C141" s="80" t="s">
        <v>170</v>
      </c>
      <c r="D141" s="18" t="str">
        <f t="shared" si="1"/>
        <v>E_h</v>
      </c>
      <c r="E141" s="60" t="str">
        <f>VLOOKUP($A141,nist_names_ids!A:B,2,false)</f>
        <v>minvhr</v>
      </c>
      <c r="F141" s="61">
        <f>countif(Constants!A:A,E141)</f>
        <v>1</v>
      </c>
      <c r="G141" s="60" t="str">
        <f>IFERROR(__xludf.DUMMYFUNCTION("REGEXREPLACE(substitute(substitute(B141,"" "",""""),""..."",""""),""\(.*\)"","""")"),"4.556335252750e-8")</f>
        <v>4.556335252750e-8</v>
      </c>
      <c r="H141" s="62">
        <f t="shared" si="2"/>
        <v>0.00000004556335253</v>
      </c>
      <c r="I141" s="60" t="str">
        <f>IFERROR(__xludf.DUMMYFUNCTION("if(regexmatch($B141,""\(""),CONCATENATE(regexreplace(REGEXREPLACE(substitute(left($B141,find(""("",$B141)-1),"" "",""""),""\d"",""0""),""[-0]*\."",""0.""), REGEXEXTRACT($B141,""\((.*)\)""),TRIM(REGEXEXTRACT($B141,""\)(.*)""))),"""")"),"0.00000000000035e-8")</f>
        <v>0.00000000000035e-8</v>
      </c>
      <c r="J141" s="62">
        <f t="shared" si="3"/>
        <v>0</v>
      </c>
      <c r="K141" s="62" t="b">
        <f t="shared" si="4"/>
        <v>0</v>
      </c>
      <c r="L141" s="62" t="b">
        <f t="shared" si="5"/>
        <v>0</v>
      </c>
      <c r="M141" s="60" t="str">
        <f>IFERROR(__xludf.DUMMYFUNCTION("if(regexmatch(B141,""e(.*)$""),regexextract(B141,""e(.*)$""),"""")"),"-8")</f>
        <v>-8</v>
      </c>
    </row>
    <row r="142">
      <c r="A142" s="80" t="s">
        <v>2144</v>
      </c>
      <c r="B142" s="80" t="s">
        <v>2145</v>
      </c>
      <c r="C142" s="80" t="s">
        <v>257</v>
      </c>
      <c r="D142" s="18" t="str">
        <f t="shared" si="1"/>
        <v>Hz</v>
      </c>
      <c r="E142" s="60" t="str">
        <f>VLOOKUP($A142,nist_names_ids!A:B,2,false)</f>
        <v>minvhz</v>
      </c>
      <c r="F142" s="61">
        <f>countif(Constants!A:A,E142)</f>
        <v>1</v>
      </c>
      <c r="G142" s="60" t="str">
        <f>IFERROR(__xludf.DUMMYFUNCTION("REGEXREPLACE(substitute(substitute(B142,"" "",""""),""..."",""""),""\(.*\)"","""")"),"299792458")</f>
        <v>299792458</v>
      </c>
      <c r="H142" s="62">
        <f t="shared" si="2"/>
        <v>299792458</v>
      </c>
      <c r="I142" s="60" t="str">
        <f>IFERROR(__xludf.DUMMYFUNCTION("if(regexmatch($B142,""\(""),CONCATENATE(regexreplace(REGEXREPLACE(substitute(left($B142,find(""("",$B142)-1),"" "",""""),""\d"",""0""),""[-0]*\."",""0.""), REGEXEXTRACT($B142,""\((.*)\)""),TRIM(REGEXEXTRACT($B142,""\)(.*)""))),"""")"),"")</f>
        <v/>
      </c>
      <c r="J142" s="62" t="str">
        <f t="shared" si="3"/>
        <v/>
      </c>
      <c r="K142" s="62" t="b">
        <f t="shared" si="4"/>
        <v>0</v>
      </c>
      <c r="L142" s="62" t="b">
        <f t="shared" si="5"/>
        <v>0</v>
      </c>
      <c r="M142" s="60" t="str">
        <f>IFERROR(__xludf.DUMMYFUNCTION("if(regexmatch(B142,""e(.*)$""),regexextract(B142,""e(.*)$""),"""")"),"")</f>
        <v/>
      </c>
    </row>
    <row r="143">
      <c r="A143" s="80" t="s">
        <v>2147</v>
      </c>
      <c r="B143" s="80" t="s">
        <v>5263</v>
      </c>
      <c r="C143" s="80" t="s">
        <v>173</v>
      </c>
      <c r="D143" s="18" t="str">
        <f t="shared" si="1"/>
        <v>J</v>
      </c>
      <c r="E143" s="60" t="str">
        <f>VLOOKUP($A143,nist_names_ids!A:B,2,false)</f>
        <v>minvj</v>
      </c>
      <c r="F143" s="61">
        <f>countif(Constants!A:A,E143)</f>
        <v>1</v>
      </c>
      <c r="G143" s="60" t="str">
        <f>IFERROR(__xludf.DUMMYFUNCTION("REGEXREPLACE(substitute(substitute(B143,"" "",""""),""..."",""""),""\(.*\)"","""")"),"1.98644544e-25")</f>
        <v>1.98644544e-25</v>
      </c>
      <c r="H143" s="62">
        <f t="shared" si="2"/>
        <v>0</v>
      </c>
      <c r="I143" s="60" t="str">
        <f>IFERROR(__xludf.DUMMYFUNCTION("if(regexmatch($B143,""\(""),CONCATENATE(regexreplace(REGEXREPLACE(substitute(left($B143,find(""("",$B143)-1),"" "",""""),""\d"",""0""),""[-0]*\."",""0.""), REGEXEXTRACT($B143,""\((.*)\)""),TRIM(REGEXEXTRACT($B143,""\)(.*)""))),"""")"),"0.0000000016e-25")</f>
        <v>0.0000000016e-25</v>
      </c>
      <c r="J143" s="62">
        <f t="shared" si="3"/>
        <v>0</v>
      </c>
      <c r="K143" s="62" t="b">
        <f t="shared" si="4"/>
        <v>0</v>
      </c>
      <c r="L143" s="62" t="b">
        <f t="shared" si="5"/>
        <v>0</v>
      </c>
      <c r="M143" s="60" t="str">
        <f>IFERROR(__xludf.DUMMYFUNCTION("if(regexmatch(B143,""e(.*)$""),regexextract(B143,""e(.*)$""),"""")"),"-25")</f>
        <v>-25</v>
      </c>
    </row>
    <row r="144">
      <c r="A144" s="80" t="s">
        <v>2150</v>
      </c>
      <c r="B144" s="80" t="s">
        <v>4972</v>
      </c>
      <c r="C144" s="80" t="s">
        <v>345</v>
      </c>
      <c r="D144" s="18" t="str">
        <f t="shared" si="1"/>
        <v>K</v>
      </c>
      <c r="E144" s="60" t="str">
        <f>VLOOKUP($A144,nist_names_ids!A:B,2,false)</f>
        <v>minvk</v>
      </c>
      <c r="F144" s="61">
        <f>countif(Constants!A:A,E144)</f>
        <v>1</v>
      </c>
      <c r="G144" s="60" t="str">
        <f>IFERROR(__xludf.DUMMYFUNCTION("REGEXREPLACE(substitute(substitute(B144,"" "",""""),""..."",""""),""\(.*\)"","""")"),"1.4387752e-2")</f>
        <v>1.4387752e-2</v>
      </c>
      <c r="H144" s="62">
        <f t="shared" si="2"/>
        <v>0.014387752</v>
      </c>
      <c r="I144" s="60" t="str">
        <f>IFERROR(__xludf.DUMMYFUNCTION("if(regexmatch($B144,""\(""),CONCATENATE(regexreplace(REGEXREPLACE(substitute(left($B144,find(""("",$B144)-1),"" "",""""),""\d"",""0""),""[-0]*\."",""0.""), REGEXEXTRACT($B144,""\((.*)\)""),TRIM(REGEXEXTRACT($B144,""\)(.*)""))),"""")"),"0.000000025e-2")</f>
        <v>0.000000025e-2</v>
      </c>
      <c r="J144" s="62">
        <f t="shared" si="3"/>
        <v>0.00000000025</v>
      </c>
      <c r="K144" s="62" t="b">
        <f t="shared" si="4"/>
        <v>0</v>
      </c>
      <c r="L144" s="62" t="b">
        <f t="shared" si="5"/>
        <v>0</v>
      </c>
      <c r="M144" s="60" t="str">
        <f>IFERROR(__xludf.DUMMYFUNCTION("if(regexmatch(B144,""e(.*)$""),regexextract(B144,""e(.*)$""),"""")"),"-2")</f>
        <v>-2</v>
      </c>
    </row>
    <row r="145">
      <c r="A145" s="80" t="s">
        <v>2153</v>
      </c>
      <c r="B145" s="80" t="s">
        <v>5268</v>
      </c>
      <c r="C145" s="80" t="s">
        <v>98</v>
      </c>
      <c r="D145" s="18" t="str">
        <f t="shared" si="1"/>
        <v>kg</v>
      </c>
      <c r="E145" s="60" t="str">
        <f>VLOOKUP($A145,nist_names_ids!A:B,2,false)</f>
        <v>minvkg</v>
      </c>
      <c r="F145" s="61">
        <f>countif(Constants!A:A,E145)</f>
        <v>1</v>
      </c>
      <c r="G145" s="60" t="str">
        <f>IFERROR(__xludf.DUMMYFUNCTION("REGEXREPLACE(substitute(substitute(B145,"" "",""""),""..."",""""),""\(.*\)"","""")"),"2.21021863e-42")</f>
        <v>2.21021863e-42</v>
      </c>
      <c r="H145" s="62">
        <f t="shared" si="2"/>
        <v>0</v>
      </c>
      <c r="I145" s="60" t="str">
        <f>IFERROR(__xludf.DUMMYFUNCTION("if(regexmatch($B145,""\(""),CONCATENATE(regexreplace(REGEXREPLACE(substitute(left($B145,find(""("",$B145)-1),"" "",""""),""\d"",""0""),""[-0]*\."",""0.""), REGEXEXTRACT($B145,""\((.*)\)""),TRIM(REGEXEXTRACT($B145,""\)(.*)""))),"""")"),"0.0000000017e-42")</f>
        <v>0.0000000017e-42</v>
      </c>
      <c r="J145" s="62">
        <f t="shared" si="3"/>
        <v>0</v>
      </c>
      <c r="K145" s="62" t="b">
        <f t="shared" si="4"/>
        <v>0</v>
      </c>
      <c r="L145" s="62" t="b">
        <f t="shared" si="5"/>
        <v>0</v>
      </c>
      <c r="M145" s="60" t="str">
        <f>IFERROR(__xludf.DUMMYFUNCTION("if(regexmatch(B145,""e(.*)$""),regexextract(B145,""e(.*)$""),"""")"),"-42")</f>
        <v>-42</v>
      </c>
    </row>
    <row r="146">
      <c r="A146" s="80" t="s">
        <v>2159</v>
      </c>
      <c r="B146" s="80" t="s">
        <v>5273</v>
      </c>
      <c r="C146" s="80" t="s">
        <v>506</v>
      </c>
      <c r="D146" s="18" t="str">
        <f t="shared" si="1"/>
        <v>Ohm</v>
      </c>
      <c r="E146" s="60" t="str">
        <f>VLOOKUP($A146,nist_names_ids!A:B,2,false)</f>
        <v>invconqu</v>
      </c>
      <c r="F146" s="61">
        <f>countif(Constants!A:A,E146)</f>
        <v>1</v>
      </c>
      <c r="G146" s="60" t="str">
        <f>IFERROR(__xludf.DUMMYFUNCTION("REGEXREPLACE(substitute(substitute(B146,"" "",""""),""..."",""""),""\(.*\)"","""")"),"12906.403786")</f>
        <v>12906.403786</v>
      </c>
      <c r="H146" s="62">
        <f t="shared" si="2"/>
        <v>12906.40379</v>
      </c>
      <c r="I146" s="60" t="str">
        <f>IFERROR(__xludf.DUMMYFUNCTION("if(regexmatch($B146,""\(""),CONCATENATE(regexreplace(REGEXREPLACE(substitute(left($B146,find(""("",$B146)-1),"" "",""""),""\d"",""0""),""[-0]*\."",""0.""), REGEXEXTRACT($B146,""\((.*)\)""),TRIM(REGEXEXTRACT($B146,""\)(.*)""))),"""")"),"0.00000047")</f>
        <v>0.00000047</v>
      </c>
      <c r="J146" s="62">
        <f t="shared" si="3"/>
        <v>0.00000047</v>
      </c>
      <c r="K146" s="62" t="b">
        <f t="shared" si="4"/>
        <v>0</v>
      </c>
      <c r="L146" s="62" t="b">
        <f t="shared" si="5"/>
        <v>0</v>
      </c>
      <c r="M146" s="60" t="str">
        <f>IFERROR(__xludf.DUMMYFUNCTION("if(regexmatch(B146,""e(.*)$""),regexextract(B146,""e(.*)$""),"""")"),"")</f>
        <v/>
      </c>
    </row>
    <row r="147">
      <c r="A147" s="80" t="s">
        <v>2162</v>
      </c>
      <c r="B147" s="80" t="s">
        <v>5274</v>
      </c>
      <c r="C147" s="80" t="s">
        <v>4534</v>
      </c>
      <c r="D147" s="18" t="str">
        <f t="shared" si="1"/>
        <v>Hz V^-1</v>
      </c>
      <c r="E147" s="60" t="str">
        <f>VLOOKUP($A147,nist_names_ids!A:B,2,false)</f>
        <v>kjos</v>
      </c>
      <c r="F147" s="61">
        <f>countif(Constants!A:A,E147)</f>
        <v>1</v>
      </c>
      <c r="G147" s="60" t="str">
        <f>IFERROR(__xludf.DUMMYFUNCTION("REGEXREPLACE(substitute(substitute(B147,"" "",""""),""..."",""""),""\(.*\)"","""")"),"483597.898e9")</f>
        <v>483597.898e9</v>
      </c>
      <c r="H147" s="62">
        <f t="shared" si="2"/>
        <v>483597898000000</v>
      </c>
      <c r="I147" s="60" t="str">
        <f>IFERROR(__xludf.DUMMYFUNCTION("if(regexmatch($B147,""\(""),CONCATENATE(regexreplace(REGEXREPLACE(substitute(left($B147,find(""("",$B147)-1),"" "",""""),""\d"",""0""),""[-0]*\."",""0.""), REGEXEXTRACT($B147,""\((.*)\)""),TRIM(REGEXEXTRACT($B147,""\)(.*)""))),"""")"),"0.00019e9")</f>
        <v>0.00019e9</v>
      </c>
      <c r="J147" s="62">
        <f t="shared" si="3"/>
        <v>190000</v>
      </c>
      <c r="K147" s="62" t="b">
        <f t="shared" si="4"/>
        <v>0</v>
      </c>
      <c r="L147" s="62" t="b">
        <f t="shared" si="5"/>
        <v>0</v>
      </c>
      <c r="M147" s="60" t="str">
        <f>IFERROR(__xludf.DUMMYFUNCTION("if(regexmatch(B147,""e(.*)$""),regexextract(B147,""e(.*)$""),"""")"),"9")</f>
        <v>9</v>
      </c>
    </row>
    <row r="148">
      <c r="A148" s="80" t="s">
        <v>2166</v>
      </c>
      <c r="B148" s="80" t="s">
        <v>5276</v>
      </c>
      <c r="C148" s="80" t="s">
        <v>249</v>
      </c>
      <c r="D148" s="18" t="str">
        <f t="shared" si="1"/>
        <v>u</v>
      </c>
      <c r="E148" s="60" t="str">
        <f>VLOOKUP($A148,nist_names_ids!A:B,2,false)</f>
        <v>ju</v>
      </c>
      <c r="F148" s="61">
        <f>countif(Constants!A:A,E148)</f>
        <v>1</v>
      </c>
      <c r="G148" s="60" t="str">
        <f>IFERROR(__xludf.DUMMYFUNCTION("REGEXREPLACE(substitute(substitute(B148,"" "",""""),""..."",""""),""\(.*\)"","""")"),"6.70053662e9")</f>
        <v>6.70053662e9</v>
      </c>
      <c r="H148" s="62">
        <f t="shared" si="2"/>
        <v>6700536620</v>
      </c>
      <c r="I148" s="60" t="str">
        <f>IFERROR(__xludf.DUMMYFUNCTION("if(regexmatch($B148,""\(""),CONCATENATE(regexreplace(REGEXREPLACE(substitute(left($B148,find(""("",$B148)-1),"" "",""""),""\d"",""0""),""[-0]*\."",""0.""), REGEXEXTRACT($B148,""\((.*)\)""),TRIM(REGEXEXTRACT($B148,""\)(.*)""))),"""")"),"0.0000000053e9")</f>
        <v>0.0000000053e9</v>
      </c>
      <c r="J148" s="62">
        <f t="shared" si="3"/>
        <v>5.3</v>
      </c>
      <c r="K148" s="62" t="b">
        <f t="shared" si="4"/>
        <v>0</v>
      </c>
      <c r="L148" s="62" t="b">
        <f t="shared" si="5"/>
        <v>0</v>
      </c>
      <c r="M148" s="60" t="str">
        <f>IFERROR(__xludf.DUMMYFUNCTION("if(regexmatch(B148,""e(.*)$""),regexextract(B148,""e(.*)$""),"""")"),"9")</f>
        <v>9</v>
      </c>
    </row>
    <row r="149">
      <c r="A149" s="80" t="s">
        <v>2172</v>
      </c>
      <c r="B149" s="80" t="s">
        <v>5277</v>
      </c>
      <c r="C149" s="80" t="s">
        <v>181</v>
      </c>
      <c r="D149" s="18" t="str">
        <f t="shared" si="1"/>
        <v>eV</v>
      </c>
      <c r="E149" s="60" t="str">
        <f>VLOOKUP($A149,nist_names_ids!A:B,2,false)</f>
        <v>jev</v>
      </c>
      <c r="F149" s="61">
        <f>countif(Constants!A:A,E149)</f>
        <v>1</v>
      </c>
      <c r="G149" s="60" t="str">
        <f>IFERROR(__xludf.DUMMYFUNCTION("REGEXREPLACE(substitute(substitute(B149,"" "",""""),""..."",""""),""\(.*\)"","""")"),"6.24150974e18")</f>
        <v>6.24150974e18</v>
      </c>
      <c r="H149" s="62">
        <f t="shared" si="2"/>
        <v>6.24151E+18</v>
      </c>
      <c r="I149" s="60" t="str">
        <f>IFERROR(__xludf.DUMMYFUNCTION("if(regexmatch($B149,""\(""),CONCATENATE(regexreplace(REGEXREPLACE(substitute(left($B149,find(""("",$B149)-1),"" "",""""),""\d"",""0""),""[-0]*\."",""0.""), REGEXEXTRACT($B149,""\((.*)\)""),TRIM(REGEXEXTRACT($B149,""\)(.*)""))),"""")"),"0.0000000024e18")</f>
        <v>0.0000000024e18</v>
      </c>
      <c r="J149" s="62">
        <f t="shared" si="3"/>
        <v>2400000000</v>
      </c>
      <c r="K149" s="62" t="b">
        <f t="shared" si="4"/>
        <v>0</v>
      </c>
      <c r="L149" s="62" t="b">
        <f t="shared" si="5"/>
        <v>0</v>
      </c>
      <c r="M149" s="60" t="str">
        <f>IFERROR(__xludf.DUMMYFUNCTION("if(regexmatch(B149,""e(.*)$""),regexextract(B149,""e(.*)$""),"""")"),"18")</f>
        <v>18</v>
      </c>
    </row>
    <row r="150">
      <c r="A150" s="80" t="s">
        <v>2176</v>
      </c>
      <c r="B150" s="80" t="s">
        <v>5278</v>
      </c>
      <c r="C150" s="80" t="s">
        <v>170</v>
      </c>
      <c r="D150" s="18" t="str">
        <f t="shared" si="1"/>
        <v>E_h</v>
      </c>
      <c r="E150" s="60" t="str">
        <f>VLOOKUP($A150,nist_names_ids!A:B,2,false)</f>
        <v>jhr</v>
      </c>
      <c r="F150" s="61">
        <f>countif(Constants!A:A,E150)</f>
        <v>1</v>
      </c>
      <c r="G150" s="60" t="str">
        <f>IFERROR(__xludf.DUMMYFUNCTION("REGEXREPLACE(substitute(substitute(B150,"" "",""""),""..."",""""),""\(.*\)"","""")"),"2.29371276e17")</f>
        <v>2.29371276e17</v>
      </c>
      <c r="H150" s="62">
        <f t="shared" si="2"/>
        <v>2.29371E+17</v>
      </c>
      <c r="I150" s="60" t="str">
        <f>IFERROR(__xludf.DUMMYFUNCTION("if(regexmatch($B150,""\(""),CONCATENATE(regexreplace(REGEXREPLACE(substitute(left($B150,find(""("",$B150)-1),"" "",""""),""\d"",""0""),""[-0]*\."",""0.""), REGEXEXTRACT($B150,""\((.*)\)""),TRIM(REGEXEXTRACT($B150,""\)(.*)""))),"""")"),"0.0000000018e17")</f>
        <v>0.0000000018e17</v>
      </c>
      <c r="J150" s="62">
        <f t="shared" si="3"/>
        <v>180000000</v>
      </c>
      <c r="K150" s="62" t="b">
        <f t="shared" si="4"/>
        <v>0</v>
      </c>
      <c r="L150" s="62" t="b">
        <f t="shared" si="5"/>
        <v>0</v>
      </c>
      <c r="M150" s="60" t="str">
        <f>IFERROR(__xludf.DUMMYFUNCTION("if(regexmatch(B150,""e(.*)$""),regexextract(B150,""e(.*)$""),"""")"),"17")</f>
        <v>17</v>
      </c>
    </row>
    <row r="151">
      <c r="A151" s="80" t="s">
        <v>2180</v>
      </c>
      <c r="B151" s="80" t="s">
        <v>5279</v>
      </c>
      <c r="C151" s="80" t="s">
        <v>257</v>
      </c>
      <c r="D151" s="18" t="str">
        <f t="shared" si="1"/>
        <v>Hz</v>
      </c>
      <c r="E151" s="60" t="str">
        <f>VLOOKUP($A151,nist_names_ids!A:B,2,false)</f>
        <v>jhz</v>
      </c>
      <c r="F151" s="61">
        <f>countif(Constants!A:A,E151)</f>
        <v>1</v>
      </c>
      <c r="G151" s="60" t="str">
        <f>IFERROR(__xludf.DUMMYFUNCTION("REGEXREPLACE(substitute(substitute(B151,"" "",""""),""..."",""""),""\(.*\)"","""")"),"1.50919050e33")</f>
        <v>1.50919050e33</v>
      </c>
      <c r="H151" s="62">
        <f t="shared" si="2"/>
        <v>1.50919E+33</v>
      </c>
      <c r="I151" s="60" t="str">
        <f>IFERROR(__xludf.DUMMYFUNCTION("if(regexmatch($B151,""\(""),CONCATENATE(regexreplace(REGEXREPLACE(substitute(left($B151,find(""("",$B151)-1),"" "",""""),""\d"",""0""),""[-0]*\."",""0.""), REGEXEXTRACT($B151,""\((.*)\)""),TRIM(REGEXEXTRACT($B151,""\)(.*)""))),"""")"),"0.0000000012e33")</f>
        <v>0.0000000012e33</v>
      </c>
      <c r="J151" s="62">
        <f t="shared" si="3"/>
        <v>1.2E+24</v>
      </c>
      <c r="K151" s="62" t="b">
        <f t="shared" si="4"/>
        <v>0</v>
      </c>
      <c r="L151" s="62" t="b">
        <f t="shared" si="5"/>
        <v>0</v>
      </c>
      <c r="M151" s="60" t="str">
        <f>IFERROR(__xludf.DUMMYFUNCTION("if(regexmatch(B151,""e(.*)$""),regexextract(B151,""e(.*)$""),"""")"),"33")</f>
        <v>33</v>
      </c>
    </row>
    <row r="152">
      <c r="A152" s="80" t="s">
        <v>2184</v>
      </c>
      <c r="B152" s="80" t="s">
        <v>5283</v>
      </c>
      <c r="C152" s="80" t="s">
        <v>4359</v>
      </c>
      <c r="D152" s="18" t="str">
        <f t="shared" si="1"/>
        <v>m^-1</v>
      </c>
      <c r="E152" s="60" t="str">
        <f>VLOOKUP($A152,nist_names_ids!A:B,2,false)</f>
        <v>jminv</v>
      </c>
      <c r="F152" s="61">
        <f>countif(Constants!A:A,E152)</f>
        <v>1</v>
      </c>
      <c r="G152" s="60" t="str">
        <f>IFERROR(__xludf.DUMMYFUNCTION("REGEXREPLACE(substitute(substitute(B152,"" "",""""),""..."",""""),""\(.*\)"","""")"),"5.03411762e24")</f>
        <v>5.03411762e24</v>
      </c>
      <c r="H152" s="62">
        <f t="shared" si="2"/>
        <v>5.03412E+24</v>
      </c>
      <c r="I152" s="60" t="str">
        <f>IFERROR(__xludf.DUMMYFUNCTION("if(regexmatch($B152,""\(""),CONCATENATE(regexreplace(REGEXREPLACE(substitute(left($B152,find(""("",$B152)-1),"" "",""""),""\d"",""0""),""[-0]*\."",""0.""), REGEXEXTRACT($B152,""\((.*)\)""),TRIM(REGEXEXTRACT($B152,""\)(.*)""))),"""")"),"0.0000000039e24")</f>
        <v>0.0000000039e24</v>
      </c>
      <c r="J152" s="62">
        <f t="shared" si="3"/>
        <v>3.9E+15</v>
      </c>
      <c r="K152" s="62" t="b">
        <f t="shared" si="4"/>
        <v>0</v>
      </c>
      <c r="L152" s="62" t="b">
        <f t="shared" si="5"/>
        <v>0</v>
      </c>
      <c r="M152" s="60" t="str">
        <f>IFERROR(__xludf.DUMMYFUNCTION("if(regexmatch(B152,""e(.*)$""),regexextract(B152,""e(.*)$""),"""")"),"24")</f>
        <v>24</v>
      </c>
    </row>
    <row r="153">
      <c r="A153" s="80" t="s">
        <v>2190</v>
      </c>
      <c r="B153" s="80" t="s">
        <v>5286</v>
      </c>
      <c r="C153" s="80" t="s">
        <v>345</v>
      </c>
      <c r="D153" s="18" t="str">
        <f t="shared" si="1"/>
        <v>K</v>
      </c>
      <c r="E153" s="60" t="str">
        <f>VLOOKUP($A153,nist_names_ids!A:B,2,false)</f>
        <v>jk</v>
      </c>
      <c r="F153" s="61">
        <f>countif(Constants!A:A,E153)</f>
        <v>1</v>
      </c>
      <c r="G153" s="60" t="str">
        <f>IFERROR(__xludf.DUMMYFUNCTION("REGEXREPLACE(substitute(substitute(B153,"" "",""""),""..."",""""),""\(.*\)"","""")"),"7.242964e22")</f>
        <v>7.242964e22</v>
      </c>
      <c r="H153" s="62">
        <f t="shared" si="2"/>
        <v>7.24296E+22</v>
      </c>
      <c r="I153" s="60" t="str">
        <f>IFERROR(__xludf.DUMMYFUNCTION("if(regexmatch($B153,""\(""),CONCATENATE(regexreplace(REGEXREPLACE(substitute(left($B153,find(""("",$B153)-1),"" "",""""),""\d"",""0""),""[-0]*\."",""0.""), REGEXEXTRACT($B153,""\((.*)\)""),TRIM(REGEXEXTRACT($B153,""\)(.*)""))),"""")"),"0.00000013e22")</f>
        <v>0.00000013e22</v>
      </c>
      <c r="J153" s="62">
        <f t="shared" si="3"/>
        <v>1.3E+15</v>
      </c>
      <c r="K153" s="62" t="b">
        <f t="shared" si="4"/>
        <v>0</v>
      </c>
      <c r="L153" s="62" t="b">
        <f t="shared" si="5"/>
        <v>0</v>
      </c>
      <c r="M153" s="60" t="str">
        <f>IFERROR(__xludf.DUMMYFUNCTION("if(regexmatch(B153,""e(.*)$""),regexextract(B153,""e(.*)$""),"""")"),"22")</f>
        <v>22</v>
      </c>
    </row>
    <row r="154">
      <c r="A154" s="80" t="s">
        <v>2193</v>
      </c>
      <c r="B154" s="80" t="s">
        <v>2194</v>
      </c>
      <c r="C154" s="80" t="s">
        <v>98</v>
      </c>
      <c r="D154" s="18" t="str">
        <f t="shared" si="1"/>
        <v>kg</v>
      </c>
      <c r="E154" s="60" t="str">
        <f>VLOOKUP($A154,nist_names_ids!A:B,2,false)</f>
        <v>jkg</v>
      </c>
      <c r="F154" s="61">
        <f>countif(Constants!A:A,E154)</f>
        <v>1</v>
      </c>
      <c r="G154" s="60" t="str">
        <f>IFERROR(__xludf.DUMMYFUNCTION("REGEXREPLACE(substitute(substitute(B154,"" "",""""),""..."",""""),""\(.*\)"","""")"),"1.112650056e-17")</f>
        <v>1.112650056e-17</v>
      </c>
      <c r="H154" s="62">
        <f t="shared" si="2"/>
        <v>0</v>
      </c>
      <c r="I154" s="60" t="str">
        <f>IFERROR(__xludf.DUMMYFUNCTION("if(regexmatch($B154,""\(""),CONCATENATE(regexreplace(REGEXREPLACE(substitute(left($B154,find(""("",$B154)-1),"" "",""""),""\d"",""0""),""[-0]*\."",""0.""), REGEXEXTRACT($B154,""\((.*)\)""),TRIM(REGEXEXTRACT($B154,""\)(.*)""))),"""")"),"")</f>
        <v/>
      </c>
      <c r="J154" s="62" t="str">
        <f t="shared" si="3"/>
        <v/>
      </c>
      <c r="K154" s="62" t="b">
        <f t="shared" si="4"/>
        <v>0</v>
      </c>
      <c r="L154" s="62" t="b">
        <f t="shared" si="5"/>
        <v>0</v>
      </c>
      <c r="M154" s="60" t="str">
        <f>IFERROR(__xludf.DUMMYFUNCTION("if(regexmatch(B154,""e(.*)$""),regexextract(B154,""e(.*)$""),"""")"),"-17")</f>
        <v>-17</v>
      </c>
    </row>
    <row r="155">
      <c r="A155" s="80" t="s">
        <v>2196</v>
      </c>
      <c r="B155" s="80" t="s">
        <v>5059</v>
      </c>
      <c r="C155" s="80" t="s">
        <v>249</v>
      </c>
      <c r="D155" s="18" t="str">
        <f t="shared" si="1"/>
        <v>u</v>
      </c>
      <c r="E155" s="60" t="str">
        <f>VLOOKUP($A155,nist_names_ids!A:B,2,false)</f>
        <v>ku</v>
      </c>
      <c r="F155" s="61">
        <f>countif(Constants!A:A,E155)</f>
        <v>1</v>
      </c>
      <c r="G155" s="60" t="str">
        <f>IFERROR(__xludf.DUMMYFUNCTION("REGEXREPLACE(substitute(substitute(B155,"" "",""""),""..."",""""),""\(.*\)"","""")"),"9.251098e-14")</f>
        <v>9.251098e-14</v>
      </c>
      <c r="H155" s="62">
        <f t="shared" si="2"/>
        <v>0</v>
      </c>
      <c r="I155" s="60" t="str">
        <f>IFERROR(__xludf.DUMMYFUNCTION("if(regexmatch($B155,""\(""),CONCATENATE(regexreplace(REGEXREPLACE(substitute(left($B155,find(""("",$B155)-1),"" "",""""),""\d"",""0""),""[-0]*\."",""0.""), REGEXEXTRACT($B155,""\((.*)\)""),TRIM(REGEXEXTRACT($B155,""\)(.*)""))),"""")"),"0.00000016e-14")</f>
        <v>0.00000016e-14</v>
      </c>
      <c r="J155" s="62">
        <f t="shared" si="3"/>
        <v>0</v>
      </c>
      <c r="K155" s="62" t="b">
        <f t="shared" si="4"/>
        <v>0</v>
      </c>
      <c r="L155" s="62" t="b">
        <f t="shared" si="5"/>
        <v>0</v>
      </c>
      <c r="M155" s="60" t="str">
        <f>IFERROR(__xludf.DUMMYFUNCTION("if(regexmatch(B155,""e(.*)$""),regexextract(B155,""e(.*)$""),"""")"),"-14")</f>
        <v>-14</v>
      </c>
    </row>
    <row r="156">
      <c r="A156" s="80" t="s">
        <v>2200</v>
      </c>
      <c r="B156" s="80" t="s">
        <v>5006</v>
      </c>
      <c r="C156" s="80" t="s">
        <v>181</v>
      </c>
      <c r="D156" s="18" t="str">
        <f t="shared" si="1"/>
        <v>eV</v>
      </c>
      <c r="E156" s="60" t="str">
        <f>VLOOKUP($A156,nist_names_ids!A:B,2,false)</f>
        <v>kev</v>
      </c>
      <c r="F156" s="61">
        <f>countif(Constants!A:A,E156)</f>
        <v>1</v>
      </c>
      <c r="G156" s="60" t="str">
        <f>IFERROR(__xludf.DUMMYFUNCTION("REGEXREPLACE(substitute(substitute(B156,"" "",""""),""..."",""""),""\(.*\)"","""")"),"8.617342e-5")</f>
        <v>8.617342e-5</v>
      </c>
      <c r="H156" s="62">
        <f t="shared" si="2"/>
        <v>0.00008617342</v>
      </c>
      <c r="I156" s="60" t="str">
        <f>IFERROR(__xludf.DUMMYFUNCTION("if(regexmatch($B156,""\(""),CONCATENATE(regexreplace(REGEXREPLACE(substitute(left($B156,find(""("",$B156)-1),"" "",""""),""\d"",""0""),""[-0]*\."",""0.""), REGEXEXTRACT($B156,""\((.*)\)""),TRIM(REGEXEXTRACT($B156,""\)(.*)""))),"""")"),"0.00000015e-5")</f>
        <v>0.00000015e-5</v>
      </c>
      <c r="J156" s="62">
        <f t="shared" si="3"/>
        <v>0</v>
      </c>
      <c r="K156" s="62" t="b">
        <f t="shared" si="4"/>
        <v>0</v>
      </c>
      <c r="L156" s="62" t="b">
        <f t="shared" si="5"/>
        <v>0</v>
      </c>
      <c r="M156" s="60" t="str">
        <f>IFERROR(__xludf.DUMMYFUNCTION("if(regexmatch(B156,""e(.*)$""),regexextract(B156,""e(.*)$""),"""")"),"-5")</f>
        <v>-5</v>
      </c>
    </row>
    <row r="157">
      <c r="A157" s="80" t="s">
        <v>2204</v>
      </c>
      <c r="B157" s="80" t="s">
        <v>5067</v>
      </c>
      <c r="C157" s="80" t="s">
        <v>170</v>
      </c>
      <c r="D157" s="18" t="str">
        <f t="shared" si="1"/>
        <v>E_h</v>
      </c>
      <c r="E157" s="60" t="str">
        <f>VLOOKUP($A157,nist_names_ids!A:B,2,false)</f>
        <v>khr</v>
      </c>
      <c r="F157" s="61">
        <f>countif(Constants!A:A,E157)</f>
        <v>1</v>
      </c>
      <c r="G157" s="60" t="str">
        <f>IFERROR(__xludf.DUMMYFUNCTION("REGEXREPLACE(substitute(substitute(B157,"" "",""""),""..."",""""),""\(.*\)"","""")"),"3.1668153e-6")</f>
        <v>3.1668153e-6</v>
      </c>
      <c r="H157" s="62">
        <f t="shared" si="2"/>
        <v>0.0000031668153</v>
      </c>
      <c r="I157" s="60" t="str">
        <f>IFERROR(__xludf.DUMMYFUNCTION("if(regexmatch($B157,""\(""),CONCATENATE(regexreplace(REGEXREPLACE(substitute(left($B157,find(""("",$B157)-1),"" "",""""),""\d"",""0""),""[-0]*\."",""0.""), REGEXEXTRACT($B157,""\((.*)\)""),TRIM(REGEXEXTRACT($B157,""\)(.*)""))),"""")"),"0.000000055e-6")</f>
        <v>0.000000055e-6</v>
      </c>
      <c r="J157" s="62">
        <f t="shared" si="3"/>
        <v>0</v>
      </c>
      <c r="K157" s="62" t="b">
        <f t="shared" si="4"/>
        <v>0</v>
      </c>
      <c r="L157" s="62" t="b">
        <f t="shared" si="5"/>
        <v>0</v>
      </c>
      <c r="M157" s="60" t="str">
        <f>IFERROR(__xludf.DUMMYFUNCTION("if(regexmatch(B157,""e(.*)$""),regexextract(B157,""e(.*)$""),"""")"),"-6")</f>
        <v>-6</v>
      </c>
    </row>
    <row r="158">
      <c r="A158" s="80" t="s">
        <v>2208</v>
      </c>
      <c r="B158" s="80" t="s">
        <v>4485</v>
      </c>
      <c r="C158" s="80" t="s">
        <v>257</v>
      </c>
      <c r="D158" s="18" t="str">
        <f t="shared" si="1"/>
        <v>Hz</v>
      </c>
      <c r="E158" s="60" t="str">
        <f>VLOOKUP($A158,nist_names_ids!A:B,2,false)</f>
        <v>khz</v>
      </c>
      <c r="F158" s="61">
        <f>countif(Constants!A:A,E158)</f>
        <v>1</v>
      </c>
      <c r="G158" s="60" t="str">
        <f>IFERROR(__xludf.DUMMYFUNCTION("REGEXREPLACE(substitute(substitute(B158,"" "",""""),""..."",""""),""\(.*\)"","""")"),"2.0836644e10")</f>
        <v>2.0836644e10</v>
      </c>
      <c r="H158" s="62">
        <f t="shared" si="2"/>
        <v>20836644000</v>
      </c>
      <c r="I158" s="60" t="str">
        <f>IFERROR(__xludf.DUMMYFUNCTION("if(regexmatch($B158,""\(""),CONCATENATE(regexreplace(REGEXREPLACE(substitute(left($B158,find(""("",$B158)-1),"" "",""""),""\d"",""0""),""[-0]*\."",""0.""), REGEXEXTRACT($B158,""\((.*)\)""),TRIM(REGEXEXTRACT($B158,""\)(.*)""))),"""")"),"0.000000036e10")</f>
        <v>0.000000036e10</v>
      </c>
      <c r="J158" s="62">
        <f t="shared" si="3"/>
        <v>360</v>
      </c>
      <c r="K158" s="62" t="b">
        <f t="shared" si="4"/>
        <v>0</v>
      </c>
      <c r="L158" s="62" t="b">
        <f t="shared" si="5"/>
        <v>0</v>
      </c>
      <c r="M158" s="60" t="str">
        <f>IFERROR(__xludf.DUMMYFUNCTION("if(regexmatch(B158,""e(.*)$""),regexextract(B158,""e(.*)$""),"""")"),"10")</f>
        <v>10</v>
      </c>
    </row>
    <row r="159">
      <c r="A159" s="80" t="s">
        <v>2217</v>
      </c>
      <c r="B159" s="80" t="s">
        <v>4517</v>
      </c>
      <c r="C159" s="80" t="s">
        <v>4359</v>
      </c>
      <c r="D159" s="18" t="str">
        <f t="shared" si="1"/>
        <v>m^-1</v>
      </c>
      <c r="E159" s="60" t="str">
        <f>VLOOKUP($A159,nist_names_ids!A:B,2,false)</f>
        <v>kminv</v>
      </c>
      <c r="F159" s="61">
        <f>countif(Constants!A:A,E159)</f>
        <v>1</v>
      </c>
      <c r="G159" s="60" t="str">
        <f>IFERROR(__xludf.DUMMYFUNCTION("REGEXREPLACE(substitute(substitute(B159,"" "",""""),""..."",""""),""\(.*\)"","""")"),"69.50356")</f>
        <v>69.50356</v>
      </c>
      <c r="H159" s="62">
        <f t="shared" si="2"/>
        <v>69.50356</v>
      </c>
      <c r="I159" s="60" t="str">
        <f>IFERROR(__xludf.DUMMYFUNCTION("if(regexmatch($B159,""\(""),CONCATENATE(regexreplace(REGEXREPLACE(substitute(left($B159,find(""("",$B159)-1),"" "",""""),""\d"",""0""),""[-0]*\."",""0.""), REGEXEXTRACT($B159,""\((.*)\)""),TRIM(REGEXEXTRACT($B159,""\)(.*)""))),"""")"),"0.0000012")</f>
        <v>0.0000012</v>
      </c>
      <c r="J159" s="62">
        <f t="shared" si="3"/>
        <v>0.0000012</v>
      </c>
      <c r="K159" s="62" t="b">
        <f t="shared" si="4"/>
        <v>0</v>
      </c>
      <c r="L159" s="62" t="b">
        <f t="shared" si="5"/>
        <v>0</v>
      </c>
      <c r="M159" s="60" t="str">
        <f>IFERROR(__xludf.DUMMYFUNCTION("if(regexmatch(B159,""e(.*)$""),regexextract(B159,""e(.*)$""),"""")"),"")</f>
        <v/>
      </c>
    </row>
    <row r="160">
      <c r="A160" s="80" t="s">
        <v>2219</v>
      </c>
      <c r="B160" s="80" t="s">
        <v>5005</v>
      </c>
      <c r="C160" s="80" t="s">
        <v>173</v>
      </c>
      <c r="D160" s="18" t="str">
        <f t="shared" si="1"/>
        <v>J</v>
      </c>
      <c r="E160" s="60" t="str">
        <f>VLOOKUP($A160,nist_names_ids!A:B,2,false)</f>
        <v>kj</v>
      </c>
      <c r="F160" s="61">
        <f>countif(Constants!A:A,E160)</f>
        <v>1</v>
      </c>
      <c r="G160" s="60" t="str">
        <f>IFERROR(__xludf.DUMMYFUNCTION("REGEXREPLACE(substitute(substitute(B160,"" "",""""),""..."",""""),""\(.*\)"","""")"),"1.3806503e-23")</f>
        <v>1.3806503e-23</v>
      </c>
      <c r="H160" s="62">
        <f t="shared" si="2"/>
        <v>0</v>
      </c>
      <c r="I160" s="60" t="str">
        <f>IFERROR(__xludf.DUMMYFUNCTION("if(regexmatch($B160,""\(""),CONCATENATE(regexreplace(REGEXREPLACE(substitute(left($B160,find(""("",$B160)-1),"" "",""""),""\d"",""0""),""[-0]*\."",""0.""), REGEXEXTRACT($B160,""\((.*)\)""),TRIM(REGEXEXTRACT($B160,""\)(.*)""))),"""")"),"0.000000024e-23")</f>
        <v>0.000000024e-23</v>
      </c>
      <c r="J160" s="62">
        <f t="shared" si="3"/>
        <v>0</v>
      </c>
      <c r="K160" s="62" t="b">
        <f t="shared" si="4"/>
        <v>0</v>
      </c>
      <c r="L160" s="62" t="b">
        <f t="shared" si="5"/>
        <v>0</v>
      </c>
      <c r="M160" s="60" t="str">
        <f>IFERROR(__xludf.DUMMYFUNCTION("if(regexmatch(B160,""e(.*)$""),regexextract(B160,""e(.*)$""),"""")"),"-23")</f>
        <v>-23</v>
      </c>
    </row>
    <row r="161">
      <c r="A161" s="80" t="s">
        <v>2222</v>
      </c>
      <c r="B161" s="80" t="s">
        <v>5077</v>
      </c>
      <c r="C161" s="80" t="s">
        <v>98</v>
      </c>
      <c r="D161" s="18" t="str">
        <f t="shared" si="1"/>
        <v>kg</v>
      </c>
      <c r="E161" s="60" t="str">
        <f>VLOOKUP($A161,nist_names_ids!A:B,2,false)</f>
        <v>kkg</v>
      </c>
      <c r="F161" s="61">
        <f>countif(Constants!A:A,E161)</f>
        <v>1</v>
      </c>
      <c r="G161" s="60" t="str">
        <f>IFERROR(__xludf.DUMMYFUNCTION("REGEXREPLACE(substitute(substitute(B161,"" "",""""),""..."",""""),""\(.*\)"","""")"),"1.5361807e-40")</f>
        <v>1.5361807e-40</v>
      </c>
      <c r="H161" s="62">
        <f t="shared" si="2"/>
        <v>0</v>
      </c>
      <c r="I161" s="60" t="str">
        <f>IFERROR(__xludf.DUMMYFUNCTION("if(regexmatch($B161,""\(""),CONCATENATE(regexreplace(REGEXREPLACE(substitute(left($B161,find(""("",$B161)-1),"" "",""""),""\d"",""0""),""[-0]*\."",""0.""), REGEXEXTRACT($B161,""\((.*)\)""),TRIM(REGEXEXTRACT($B161,""\)(.*)""))),"""")"),"0.000000027e-40")</f>
        <v>0.000000027e-40</v>
      </c>
      <c r="J161" s="62">
        <f t="shared" si="3"/>
        <v>0</v>
      </c>
      <c r="K161" s="62" t="b">
        <f t="shared" si="4"/>
        <v>0</v>
      </c>
      <c r="L161" s="62" t="b">
        <f t="shared" si="5"/>
        <v>0</v>
      </c>
      <c r="M161" s="60" t="str">
        <f>IFERROR(__xludf.DUMMYFUNCTION("if(regexmatch(B161,""e(.*)$""),regexextract(B161,""e(.*)$""),"""")"),"-40")</f>
        <v>-40</v>
      </c>
    </row>
    <row r="162">
      <c r="A162" s="80" t="s">
        <v>2226</v>
      </c>
      <c r="B162" s="80" t="s">
        <v>5311</v>
      </c>
      <c r="C162" s="80" t="s">
        <v>249</v>
      </c>
      <c r="D162" s="18" t="str">
        <f t="shared" si="1"/>
        <v>u</v>
      </c>
      <c r="E162" s="60" t="str">
        <f>VLOOKUP($A162,nist_names_ids!A:B,2,false)</f>
        <v>kgu</v>
      </c>
      <c r="F162" s="61">
        <f>countif(Constants!A:A,E162)</f>
        <v>1</v>
      </c>
      <c r="G162" s="60" t="str">
        <f>IFERROR(__xludf.DUMMYFUNCTION("REGEXREPLACE(substitute(substitute(B162,"" "",""""),""..."",""""),""\(.*\)"","""")"),"6.02214199e26")</f>
        <v>6.02214199e26</v>
      </c>
      <c r="H162" s="62">
        <f t="shared" si="2"/>
        <v>6.02214E+26</v>
      </c>
      <c r="I162" s="60" t="str">
        <f>IFERROR(__xludf.DUMMYFUNCTION("if(regexmatch($B162,""\(""),CONCATENATE(regexreplace(REGEXREPLACE(substitute(left($B162,find(""("",$B162)-1),"" "",""""),""\d"",""0""),""[-0]*\."",""0.""), REGEXEXTRACT($B162,""\((.*)\)""),TRIM(REGEXEXTRACT($B162,""\)(.*)""))),"""")"),"0.0000000047e26")</f>
        <v>0.0000000047e26</v>
      </c>
      <c r="J162" s="62">
        <f t="shared" si="3"/>
        <v>4.7E+17</v>
      </c>
      <c r="K162" s="62" t="b">
        <f t="shared" si="4"/>
        <v>0</v>
      </c>
      <c r="L162" s="62" t="b">
        <f t="shared" si="5"/>
        <v>0</v>
      </c>
      <c r="M162" s="60" t="str">
        <f>IFERROR(__xludf.DUMMYFUNCTION("if(regexmatch(B162,""e(.*)$""),regexextract(B162,""e(.*)$""),"""")"),"26")</f>
        <v>26</v>
      </c>
    </row>
    <row r="163">
      <c r="A163" s="80" t="s">
        <v>2232</v>
      </c>
      <c r="B163" s="80" t="s">
        <v>5314</v>
      </c>
      <c r="C163" s="80" t="s">
        <v>181</v>
      </c>
      <c r="D163" s="18" t="str">
        <f t="shared" si="1"/>
        <v>eV</v>
      </c>
      <c r="E163" s="60" t="str">
        <f>VLOOKUP($A163,nist_names_ids!A:B,2,false)</f>
        <v>kgev</v>
      </c>
      <c r="F163" s="61">
        <f>countif(Constants!A:A,E163)</f>
        <v>1</v>
      </c>
      <c r="G163" s="60" t="str">
        <f>IFERROR(__xludf.DUMMYFUNCTION("REGEXREPLACE(substitute(substitute(B163,"" "",""""),""..."",""""),""\(.*\)"","""")"),"5.60958921e35")</f>
        <v>5.60958921e35</v>
      </c>
      <c r="H163" s="62">
        <f t="shared" si="2"/>
        <v>5.60959E+35</v>
      </c>
      <c r="I163" s="60" t="str">
        <f>IFERROR(__xludf.DUMMYFUNCTION("if(regexmatch($B163,""\(""),CONCATENATE(regexreplace(REGEXREPLACE(substitute(left($B163,find(""("",$B163)-1),"" "",""""),""\d"",""0""),""[-0]*\."",""0.""), REGEXEXTRACT($B163,""\((.*)\)""),TRIM(REGEXEXTRACT($B163,""\)(.*)""))),"""")"),"0.0000000022e35")</f>
        <v>0.0000000022e35</v>
      </c>
      <c r="J163" s="62">
        <f t="shared" si="3"/>
        <v>2.2E+26</v>
      </c>
      <c r="K163" s="62" t="b">
        <f t="shared" si="4"/>
        <v>0</v>
      </c>
      <c r="L163" s="62" t="b">
        <f t="shared" si="5"/>
        <v>0</v>
      </c>
      <c r="M163" s="60" t="str">
        <f>IFERROR(__xludf.DUMMYFUNCTION("if(regexmatch(B163,""e(.*)$""),regexextract(B163,""e(.*)$""),"""")"),"35")</f>
        <v>35</v>
      </c>
    </row>
    <row r="164">
      <c r="A164" s="80" t="s">
        <v>2236</v>
      </c>
      <c r="B164" s="80" t="s">
        <v>5319</v>
      </c>
      <c r="C164" s="80" t="s">
        <v>170</v>
      </c>
      <c r="D164" s="18" t="str">
        <f t="shared" si="1"/>
        <v>E_h</v>
      </c>
      <c r="E164" s="60" t="str">
        <f>VLOOKUP($A164,nist_names_ids!A:B,2,false)</f>
        <v>kghr</v>
      </c>
      <c r="F164" s="61">
        <f>countif(Constants!A:A,E164)</f>
        <v>1</v>
      </c>
      <c r="G164" s="60" t="str">
        <f>IFERROR(__xludf.DUMMYFUNCTION("REGEXREPLACE(substitute(substitute(B164,"" "",""""),""..."",""""),""\(.*\)"","""")"),"2.06148622e34")</f>
        <v>2.06148622e34</v>
      </c>
      <c r="H164" s="62">
        <f t="shared" si="2"/>
        <v>2.06149E+34</v>
      </c>
      <c r="I164" s="60" t="str">
        <f>IFERROR(__xludf.DUMMYFUNCTION("if(regexmatch($B164,""\(""),CONCATENATE(regexreplace(REGEXREPLACE(substitute(left($B164,find(""("",$B164)-1),"" "",""""),""\d"",""0""),""[-0]*\."",""0.""), REGEXEXTRACT($B164,""\((.*)\)""),TRIM(REGEXEXTRACT($B164,""\)(.*)""))),"""")"),"0.0000000016e34")</f>
        <v>0.0000000016e34</v>
      </c>
      <c r="J164" s="62">
        <f t="shared" si="3"/>
        <v>1.6E+25</v>
      </c>
      <c r="K164" s="62" t="b">
        <f t="shared" si="4"/>
        <v>0</v>
      </c>
      <c r="L164" s="62" t="b">
        <f t="shared" si="5"/>
        <v>0</v>
      </c>
      <c r="M164" s="60" t="str">
        <f>IFERROR(__xludf.DUMMYFUNCTION("if(regexmatch(B164,""e(.*)$""),regexextract(B164,""e(.*)$""),"""")"),"34")</f>
        <v>34</v>
      </c>
    </row>
    <row r="165">
      <c r="A165" s="80" t="s">
        <v>2243</v>
      </c>
      <c r="B165" s="80" t="s">
        <v>5322</v>
      </c>
      <c r="C165" s="80" t="s">
        <v>257</v>
      </c>
      <c r="D165" s="18" t="str">
        <f t="shared" si="1"/>
        <v>Hz</v>
      </c>
      <c r="E165" s="60" t="str">
        <f>VLOOKUP($A165,nist_names_ids!A:B,2,false)</f>
        <v>kghz</v>
      </c>
      <c r="F165" s="61">
        <f>countif(Constants!A:A,E165)</f>
        <v>1</v>
      </c>
      <c r="G165" s="60" t="str">
        <f>IFERROR(__xludf.DUMMYFUNCTION("REGEXREPLACE(substitute(substitute(B165,"" "",""""),""..."",""""),""\(.*\)"","""")"),"1.35639277e50")</f>
        <v>1.35639277e50</v>
      </c>
      <c r="H165" s="62">
        <f t="shared" si="2"/>
        <v>1.35639E+50</v>
      </c>
      <c r="I165" s="60" t="str">
        <f>IFERROR(__xludf.DUMMYFUNCTION("if(regexmatch($B165,""\(""),CONCATENATE(regexreplace(REGEXREPLACE(substitute(left($B165,find(""("",$B165)-1),"" "",""""),""\d"",""0""),""[-0]*\."",""0.""), REGEXEXTRACT($B165,""\((.*)\)""),TRIM(REGEXEXTRACT($B165,""\)(.*)""))),"""")"),"0.0000000011e50")</f>
        <v>0.0000000011e50</v>
      </c>
      <c r="J165" s="62">
        <f t="shared" si="3"/>
        <v>1.1E+41</v>
      </c>
      <c r="K165" s="62" t="b">
        <f t="shared" si="4"/>
        <v>0</v>
      </c>
      <c r="L165" s="62" t="b">
        <f t="shared" si="5"/>
        <v>0</v>
      </c>
      <c r="M165" s="60" t="str">
        <f>IFERROR(__xludf.DUMMYFUNCTION("if(regexmatch(B165,""e(.*)$""),regexextract(B165,""e(.*)$""),"""")"),"50")</f>
        <v>50</v>
      </c>
    </row>
    <row r="166">
      <c r="A166" s="80" t="s">
        <v>2247</v>
      </c>
      <c r="B166" s="80" t="s">
        <v>5326</v>
      </c>
      <c r="C166" s="80" t="s">
        <v>4359</v>
      </c>
      <c r="D166" s="18" t="str">
        <f t="shared" si="1"/>
        <v>m^-1</v>
      </c>
      <c r="E166" s="60" t="str">
        <f>VLOOKUP($A166,nist_names_ids!A:B,2,false)</f>
        <v>kgminv</v>
      </c>
      <c r="F166" s="61">
        <f>countif(Constants!A:A,E166)</f>
        <v>1</v>
      </c>
      <c r="G166" s="60" t="str">
        <f>IFERROR(__xludf.DUMMYFUNCTION("REGEXREPLACE(substitute(substitute(B166,"" "",""""),""..."",""""),""\(.*\)"","""")"),"4.52443929e41")</f>
        <v>4.52443929e41</v>
      </c>
      <c r="H166" s="62">
        <f t="shared" si="2"/>
        <v>4.52444E+41</v>
      </c>
      <c r="I166" s="60" t="str">
        <f>IFERROR(__xludf.DUMMYFUNCTION("if(regexmatch($B166,""\(""),CONCATENATE(regexreplace(REGEXREPLACE(substitute(left($B166,find(""("",$B166)-1),"" "",""""),""\d"",""0""),""[-0]*\."",""0.""), REGEXEXTRACT($B166,""\((.*)\)""),TRIM(REGEXEXTRACT($B166,""\)(.*)""))),"""")"),"0.0000000035e41")</f>
        <v>0.0000000035e41</v>
      </c>
      <c r="J166" s="62">
        <f t="shared" si="3"/>
        <v>3.5E+32</v>
      </c>
      <c r="K166" s="62" t="b">
        <f t="shared" si="4"/>
        <v>0</v>
      </c>
      <c r="L166" s="62" t="b">
        <f t="shared" si="5"/>
        <v>0</v>
      </c>
      <c r="M166" s="60" t="str">
        <f>IFERROR(__xludf.DUMMYFUNCTION("if(regexmatch(B166,""e(.*)$""),regexextract(B166,""e(.*)$""),"""")"),"41")</f>
        <v>41</v>
      </c>
    </row>
    <row r="167">
      <c r="A167" s="80" t="s">
        <v>2253</v>
      </c>
      <c r="B167" s="80" t="s">
        <v>2254</v>
      </c>
      <c r="C167" s="80" t="s">
        <v>173</v>
      </c>
      <c r="D167" s="18" t="str">
        <f t="shared" si="1"/>
        <v>J</v>
      </c>
      <c r="E167" s="60" t="str">
        <f>VLOOKUP($A167,nist_names_ids!A:B,2,false)</f>
        <v>kgj</v>
      </c>
      <c r="F167" s="61">
        <f>countif(Constants!A:A,E167)</f>
        <v>1</v>
      </c>
      <c r="G167" s="60" t="str">
        <f>IFERROR(__xludf.DUMMYFUNCTION("REGEXREPLACE(substitute(substitute(B167,"" "",""""),""..."",""""),""\(.*\)"","""")"),"8.987551787e16")</f>
        <v>8.987551787e16</v>
      </c>
      <c r="H167" s="62">
        <f t="shared" si="2"/>
        <v>8.98755E+16</v>
      </c>
      <c r="I167" s="60" t="str">
        <f>IFERROR(__xludf.DUMMYFUNCTION("if(regexmatch($B167,""\(""),CONCATENATE(regexreplace(REGEXREPLACE(substitute(left($B167,find(""("",$B167)-1),"" "",""""),""\d"",""0""),""[-0]*\."",""0.""), REGEXEXTRACT($B167,""\((.*)\)""),TRIM(REGEXEXTRACT($B167,""\)(.*)""))),"""")"),"")</f>
        <v/>
      </c>
      <c r="J167" s="62" t="str">
        <f t="shared" si="3"/>
        <v/>
      </c>
      <c r="K167" s="62" t="b">
        <f t="shared" si="4"/>
        <v>0</v>
      </c>
      <c r="L167" s="62" t="b">
        <f t="shared" si="5"/>
        <v>0</v>
      </c>
      <c r="M167" s="60" t="str">
        <f>IFERROR(__xludf.DUMMYFUNCTION("if(regexmatch(B167,""e(.*)$""),regexextract(B167,""e(.*)$""),"""")"),"16")</f>
        <v>16</v>
      </c>
    </row>
    <row r="168">
      <c r="A168" s="80" t="s">
        <v>2257</v>
      </c>
      <c r="B168" s="80" t="s">
        <v>5097</v>
      </c>
      <c r="C168" s="80" t="s">
        <v>345</v>
      </c>
      <c r="D168" s="18" t="str">
        <f t="shared" si="1"/>
        <v>K</v>
      </c>
      <c r="E168" s="60" t="str">
        <f>VLOOKUP($A168,nist_names_ids!A:B,2,false)</f>
        <v>kgk</v>
      </c>
      <c r="F168" s="61">
        <f>countif(Constants!A:A,E168)</f>
        <v>1</v>
      </c>
      <c r="G168" s="60" t="str">
        <f>IFERROR(__xludf.DUMMYFUNCTION("REGEXREPLACE(substitute(substitute(B168,"" "",""""),""..."",""""),""\(.*\)"","""")"),"6.509651e39")</f>
        <v>6.509651e39</v>
      </c>
      <c r="H168" s="62">
        <f t="shared" si="2"/>
        <v>6.50965E+39</v>
      </c>
      <c r="I168" s="60" t="str">
        <f>IFERROR(__xludf.DUMMYFUNCTION("if(regexmatch($B168,""\(""),CONCATENATE(regexreplace(REGEXREPLACE(substitute(left($B168,find(""("",$B168)-1),"" "",""""),""\d"",""0""),""[-0]*\."",""0.""), REGEXEXTRACT($B168,""\((.*)\)""),TRIM(REGEXEXTRACT($B168,""\)(.*)""))),"""")"),"0.00000011e39")</f>
        <v>0.00000011e39</v>
      </c>
      <c r="J168" s="62">
        <f t="shared" si="3"/>
        <v>1.1E+32</v>
      </c>
      <c r="K168" s="62" t="b">
        <f t="shared" si="4"/>
        <v>0</v>
      </c>
      <c r="L168" s="62" t="b">
        <f t="shared" si="5"/>
        <v>0</v>
      </c>
      <c r="M168" s="60" t="str">
        <f>IFERROR(__xludf.DUMMYFUNCTION("if(regexmatch(B168,""e(.*)$""),regexextract(B168,""e(.*)$""),"""")"),"39")</f>
        <v>39</v>
      </c>
    </row>
    <row r="169">
      <c r="A169" s="80" t="s">
        <v>2260</v>
      </c>
      <c r="B169" s="80" t="s">
        <v>5331</v>
      </c>
      <c r="C169" s="80" t="s">
        <v>381</v>
      </c>
      <c r="D169" s="18" t="str">
        <f t="shared" si="1"/>
        <v>m</v>
      </c>
      <c r="E169" s="60" t="str">
        <f>VLOOKUP($A169,nist_names_ids!A:B,2,false)</f>
        <v>asil</v>
      </c>
      <c r="F169" s="61">
        <f>countif(Constants!A:A,E169)</f>
        <v>1</v>
      </c>
      <c r="G169" s="60" t="str">
        <f>IFERROR(__xludf.DUMMYFUNCTION("REGEXREPLACE(substitute(substitute(B169,"" "",""""),""..."",""""),""\(.*\)"","""")"),"543.102088e-12")</f>
        <v>543.102088e-12</v>
      </c>
      <c r="H169" s="62">
        <f t="shared" si="2"/>
        <v>0.000000000543102088</v>
      </c>
      <c r="I169" s="60" t="str">
        <f>IFERROR(__xludf.DUMMYFUNCTION("if(regexmatch($B169,""\(""),CONCATENATE(regexreplace(REGEXREPLACE(substitute(left($B169,find(""("",$B169)-1),"" "",""""),""\d"",""0""),""[-0]*\."",""0.""), REGEXEXTRACT($B169,""\((.*)\)""),TRIM(REGEXEXTRACT($B169,""\)(.*)""))),"""")"),"0.00000016e-12")</f>
        <v>0.00000016e-12</v>
      </c>
      <c r="J169" s="62">
        <f t="shared" si="3"/>
        <v>0</v>
      </c>
      <c r="K169" s="62" t="b">
        <f t="shared" si="4"/>
        <v>0</v>
      </c>
      <c r="L169" s="62" t="b">
        <f t="shared" si="5"/>
        <v>0</v>
      </c>
      <c r="M169" s="60" t="str">
        <f>IFERROR(__xludf.DUMMYFUNCTION("if(regexmatch(B169,""e(.*)$""),regexextract(B169,""e(.*)$""),"""")"),"-12")</f>
        <v>-12</v>
      </c>
    </row>
    <row r="170">
      <c r="A170" s="80" t="s">
        <v>3275</v>
      </c>
      <c r="B170" s="80" t="s">
        <v>5333</v>
      </c>
      <c r="C170" s="80" t="s">
        <v>381</v>
      </c>
      <c r="D170" s="18" t="str">
        <f t="shared" si="1"/>
        <v>m</v>
      </c>
      <c r="E170" s="60" t="str">
        <f>VLOOKUP($A170,nist_names_ids!A:B,2,false)</f>
        <v>d220sil</v>
      </c>
      <c r="F170" s="61">
        <f>countif(Constants!A:A,E170)</f>
        <v>1</v>
      </c>
      <c r="G170" s="60" t="str">
        <f>IFERROR(__xludf.DUMMYFUNCTION("REGEXREPLACE(substitute(substitute(B170,"" "",""""),""..."",""""),""\(.*\)"","""")"),"192.0155845e-12")</f>
        <v>192.0155845e-12</v>
      </c>
      <c r="H170" s="62">
        <f t="shared" si="2"/>
        <v>0.0000000001920155845</v>
      </c>
      <c r="I170" s="60" t="str">
        <f>IFERROR(__xludf.DUMMYFUNCTION("if(regexmatch($B170,""\(""),CONCATENATE(regexreplace(REGEXREPLACE(substitute(left($B170,find(""("",$B170)-1),"" "",""""),""\d"",""0""),""[-0]*\."",""0.""), REGEXEXTRACT($B170,""\((.*)\)""),TRIM(REGEXEXTRACT($B170,""\)(.*)""))),"""")"),"0.000000056e-12")</f>
        <v>0.000000056e-12</v>
      </c>
      <c r="J170" s="62">
        <f t="shared" si="3"/>
        <v>0</v>
      </c>
      <c r="K170" s="62" t="b">
        <f t="shared" si="4"/>
        <v>0</v>
      </c>
      <c r="L170" s="62" t="b">
        <f t="shared" si="5"/>
        <v>0</v>
      </c>
      <c r="M170" s="60" t="str">
        <f>IFERROR(__xludf.DUMMYFUNCTION("if(regexmatch(B170,""e(.*)$""),regexextract(B170,""e(.*)$""),"""")"),"-12")</f>
        <v>-12</v>
      </c>
    </row>
    <row r="171">
      <c r="A171" s="80" t="s">
        <v>2273</v>
      </c>
      <c r="B171" s="80" t="s">
        <v>5336</v>
      </c>
      <c r="C171" s="80" t="s">
        <v>5107</v>
      </c>
      <c r="D171" s="18" t="str">
        <f t="shared" si="1"/>
        <v>m^-3</v>
      </c>
      <c r="E171" s="60" t="str">
        <f>VLOOKUP($A171,nist_names_ids!A:B,2,false)</f>
        <v>n0std</v>
      </c>
      <c r="F171" s="61">
        <f>countif(Constants!A:A,E171)</f>
        <v>1</v>
      </c>
      <c r="G171" s="60" t="str">
        <f>IFERROR(__xludf.DUMMYFUNCTION("REGEXREPLACE(substitute(substitute(B171,"" "",""""),""..."",""""),""\(.*\)"","""")"),"2.6867775e25")</f>
        <v>2.6867775e25</v>
      </c>
      <c r="H171" s="62">
        <f t="shared" si="2"/>
        <v>2.68678E+25</v>
      </c>
      <c r="I171" s="60" t="str">
        <f>IFERROR(__xludf.DUMMYFUNCTION("if(regexmatch($B171,""\(""),CONCATENATE(regexreplace(REGEXREPLACE(substitute(left($B171,find(""("",$B171)-1),"" "",""""),""\d"",""0""),""[-0]*\."",""0.""), REGEXEXTRACT($B171,""\((.*)\)""),TRIM(REGEXEXTRACT($B171,""\)(.*)""))),"""")"),"0.000000047e25")</f>
        <v>0.000000047e25</v>
      </c>
      <c r="J171" s="62">
        <f t="shared" si="3"/>
        <v>4.7E+17</v>
      </c>
      <c r="K171" s="62" t="b">
        <f t="shared" si="4"/>
        <v>0</v>
      </c>
      <c r="L171" s="62" t="b">
        <f t="shared" si="5"/>
        <v>0</v>
      </c>
      <c r="M171" s="60" t="str">
        <f>IFERROR(__xludf.DUMMYFUNCTION("if(regexmatch(B171,""e(.*)$""),regexextract(B171,""e(.*)$""),"""")"),"25")</f>
        <v>25</v>
      </c>
    </row>
    <row r="172">
      <c r="A172" s="80" t="s">
        <v>3305</v>
      </c>
      <c r="B172" s="80" t="s">
        <v>5339</v>
      </c>
      <c r="C172" s="80" t="s">
        <v>5111</v>
      </c>
      <c r="D172" s="18" t="str">
        <f t="shared" si="1"/>
        <v>N A^-2</v>
      </c>
      <c r="E172" s="60" t="str">
        <f>VLOOKUP($A172,nist_names_ids!A:B,2,false)</f>
        <v>mu0</v>
      </c>
      <c r="F172" s="61">
        <f>countif(Constants!A:A,E172)</f>
        <v>1</v>
      </c>
      <c r="G172" s="60" t="str">
        <f>IFERROR(__xludf.DUMMYFUNCTION("REGEXREPLACE(substitute(substitute(B172,"" "",""""),""..."",""""),""\(.*\)"","""")"),"1256637.061435917")</f>
        <v>1256637.061435917</v>
      </c>
      <c r="H172" s="62">
        <f t="shared" si="2"/>
        <v>1256637.061</v>
      </c>
      <c r="I172" s="60" t="str">
        <f>IFERROR(__xludf.DUMMYFUNCTION("if(regexmatch($B172,""\(""),CONCATENATE(regexreplace(REGEXREPLACE(substitute(left($B172,find(""("",$B172)-1),"" "",""""),""\d"",""0""),""[-0]*\."",""0.""), REGEXEXTRACT($B172,""\((.*)\)""),TRIM(REGEXEXTRACT($B172,""\)(.*)""))),"""")"),"")</f>
        <v/>
      </c>
      <c r="J172" s="62" t="str">
        <f t="shared" si="3"/>
        <v/>
      </c>
      <c r="K172" s="62" t="b">
        <f t="shared" si="4"/>
        <v>0</v>
      </c>
      <c r="L172" s="62" t="b">
        <f t="shared" si="5"/>
        <v>1</v>
      </c>
      <c r="M172" s="60" t="str">
        <f>IFERROR(__xludf.DUMMYFUNCTION("if(regexmatch(B172,""e(.*)$""),regexextract(B172,""e(.*)$""),"""")"),"")</f>
        <v/>
      </c>
    </row>
    <row r="173">
      <c r="A173" s="80" t="s">
        <v>3252</v>
      </c>
      <c r="B173" s="80" t="s">
        <v>5342</v>
      </c>
      <c r="C173" s="80" t="s">
        <v>622</v>
      </c>
      <c r="D173" s="18" t="str">
        <f t="shared" si="1"/>
        <v>Wb</v>
      </c>
      <c r="E173" s="60" t="str">
        <f>VLOOKUP($A173,nist_names_ids!A:B,2,false)</f>
        <v>flxquhs2e</v>
      </c>
      <c r="F173" s="61">
        <f>countif(Constants!A:A,E173)</f>
        <v>1</v>
      </c>
      <c r="G173" s="60" t="str">
        <f>IFERROR(__xludf.DUMMYFUNCTION("REGEXREPLACE(substitute(substitute(B173,"" "",""""),""..."",""""),""\(.*\)"","""")"),"2.067833636e-15")</f>
        <v>2.067833636e-15</v>
      </c>
      <c r="H173" s="62">
        <f t="shared" si="2"/>
        <v>0</v>
      </c>
      <c r="I173" s="60" t="str">
        <f>IFERROR(__xludf.DUMMYFUNCTION("if(regexmatch($B173,""\(""),CONCATENATE(regexreplace(REGEXREPLACE(substitute(left($B173,find(""("",$B173)-1),"" "",""""),""\d"",""0""),""[-0]*\."",""0.""), REGEXEXTRACT($B173,""\((.*)\)""),TRIM(REGEXEXTRACT($B173,""\)(.*)""))),"""")"),"0.00000000081e-15")</f>
        <v>0.00000000081e-15</v>
      </c>
      <c r="J173" s="62">
        <f t="shared" si="3"/>
        <v>0</v>
      </c>
      <c r="K173" s="62" t="b">
        <f t="shared" si="4"/>
        <v>0</v>
      </c>
      <c r="L173" s="62" t="b">
        <f t="shared" si="5"/>
        <v>0</v>
      </c>
      <c r="M173" s="60" t="str">
        <f>IFERROR(__xludf.DUMMYFUNCTION("if(regexmatch(B173,""e(.*)$""),regexextract(B173,""e(.*)$""),"""")"),"-15")</f>
        <v>-15</v>
      </c>
    </row>
    <row r="174">
      <c r="A174" s="80" t="s">
        <v>3323</v>
      </c>
      <c r="B174" s="80" t="s">
        <v>5344</v>
      </c>
      <c r="C174" s="80" t="s">
        <v>381</v>
      </c>
      <c r="D174" s="18" t="str">
        <f t="shared" si="1"/>
        <v>m</v>
      </c>
      <c r="E174" s="60" t="str">
        <f>VLOOKUP($A174,nist_names_ids!A:B,2,false)</f>
        <v>xumokalph1</v>
      </c>
      <c r="F174" s="61">
        <f>countif(Constants!A:A,E174)</f>
        <v>1</v>
      </c>
      <c r="G174" s="60" t="str">
        <f>IFERROR(__xludf.DUMMYFUNCTION("REGEXREPLACE(substitute(substitute(B174,"" "",""""),""..."",""""),""\(.*\)"","""")"),"1.00209959e-13")</f>
        <v>1.00209959e-13</v>
      </c>
      <c r="H174" s="62">
        <f t="shared" si="2"/>
        <v>0</v>
      </c>
      <c r="I174" s="60" t="str">
        <f>IFERROR(__xludf.DUMMYFUNCTION("if(regexmatch($B174,""\(""),CONCATENATE(regexreplace(REGEXREPLACE(substitute(left($B174,find(""("",$B174)-1),"" "",""""),""\d"",""0""),""[-0]*\."",""0.""), REGEXEXTRACT($B174,""\((.*)\)""),TRIM(REGEXEXTRACT($B174,""\)(.*)""))),"""")"),"0.0000000053e-13")</f>
        <v>0.0000000053e-13</v>
      </c>
      <c r="J174" s="62">
        <f t="shared" si="3"/>
        <v>0</v>
      </c>
      <c r="K174" s="62" t="b">
        <f t="shared" si="4"/>
        <v>0</v>
      </c>
      <c r="L174" s="62" t="b">
        <f t="shared" si="5"/>
        <v>0</v>
      </c>
      <c r="M174" s="60" t="str">
        <f>IFERROR(__xludf.DUMMYFUNCTION("if(regexmatch(B174,""e(.*)$""),regexextract(B174,""e(.*)$""),"""")"),"-13")</f>
        <v>-13</v>
      </c>
    </row>
    <row r="175">
      <c r="A175" s="80" t="s">
        <v>2295</v>
      </c>
      <c r="B175" s="80" t="s">
        <v>5347</v>
      </c>
      <c r="C175" s="80" t="s">
        <v>5118</v>
      </c>
      <c r="D175" s="18" t="str">
        <f t="shared" si="1"/>
        <v>J s mol^-1</v>
      </c>
      <c r="E175" s="60" t="str">
        <f>VLOOKUP($A175,nist_names_ids!A:B,2,false)</f>
        <v>nah</v>
      </c>
      <c r="F175" s="61">
        <f>countif(Constants!A:A,E175)</f>
        <v>1</v>
      </c>
      <c r="G175" s="60" t="str">
        <f>IFERROR(__xludf.DUMMYFUNCTION("REGEXREPLACE(substitute(substitute(B175,"" "",""""),""..."",""""),""\(.*\)"","""")"),"3.990312689e-10")</f>
        <v>3.990312689e-10</v>
      </c>
      <c r="H175" s="62">
        <f t="shared" si="2"/>
        <v>0.0000000003990312689</v>
      </c>
      <c r="I175" s="60" t="str">
        <f>IFERROR(__xludf.DUMMYFUNCTION("if(regexmatch($B175,""\(""),CONCATENATE(regexreplace(REGEXREPLACE(substitute(left($B175,find(""("",$B175)-1),"" "",""""),""\d"",""0""),""[-0]*\."",""0.""), REGEXEXTRACT($B175,""\((.*)\)""),TRIM(REGEXEXTRACT($B175,""\)(.*)""))),"""")"),"0.00000000030e-10")</f>
        <v>0.00000000030e-10</v>
      </c>
      <c r="J175" s="62">
        <f t="shared" si="3"/>
        <v>0</v>
      </c>
      <c r="K175" s="62" t="b">
        <f t="shared" si="4"/>
        <v>0</v>
      </c>
      <c r="L175" s="62" t="b">
        <f t="shared" si="5"/>
        <v>0</v>
      </c>
      <c r="M175" s="60" t="str">
        <f>IFERROR(__xludf.DUMMYFUNCTION("if(regexmatch(B175,""e(.*)$""),regexextract(B175,""e(.*)$""),"""")"),"-10")</f>
        <v>-10</v>
      </c>
    </row>
    <row r="176">
      <c r="A176" s="80" t="s">
        <v>3311</v>
      </c>
      <c r="B176" s="80" t="s">
        <v>5352</v>
      </c>
      <c r="C176" s="80" t="s">
        <v>5122</v>
      </c>
      <c r="D176" s="18" t="str">
        <f t="shared" si="1"/>
        <v>J m mol^-1</v>
      </c>
      <c r="E176" s="60" t="str">
        <f>VLOOKUP($A176,nist_names_ids!A:B,2,false)</f>
        <v>nahc</v>
      </c>
      <c r="F176" s="61">
        <f>countif(Constants!A:A,E176)</f>
        <v>1</v>
      </c>
      <c r="G176" s="60" t="str">
        <f>IFERROR(__xludf.DUMMYFUNCTION("REGEXREPLACE(substitute(substitute(B176,"" "",""""),""..."",""""),""\(.*\)"","""")"),"0.11962656492")</f>
        <v>0.11962656492</v>
      </c>
      <c r="H176" s="62">
        <f t="shared" si="2"/>
        <v>0.1196265649</v>
      </c>
      <c r="I176" s="60" t="str">
        <f>IFERROR(__xludf.DUMMYFUNCTION("if(regexmatch($B176,""\(""),CONCATENATE(regexreplace(REGEXREPLACE(substitute(left($B176,find(""("",$B176)-1),"" "",""""),""\d"",""0""),""[-0]*\."",""0.""), REGEXEXTRACT($B176,""\((.*)\)""),TRIM(REGEXEXTRACT($B176,""\)(.*)""))),"""")"),"0.0000000000091")</f>
        <v>0.0000000000091</v>
      </c>
      <c r="J176" s="62">
        <f t="shared" si="3"/>
        <v>0</v>
      </c>
      <c r="K176" s="62" t="b">
        <f t="shared" si="4"/>
        <v>0</v>
      </c>
      <c r="L176" s="62" t="b">
        <f t="shared" si="5"/>
        <v>0</v>
      </c>
      <c r="M176" s="60" t="str">
        <f>IFERROR(__xludf.DUMMYFUNCTION("if(regexmatch(B176,""e(.*)$""),regexextract(B176,""e(.*)$""),"""")"),"")</f>
        <v/>
      </c>
    </row>
    <row r="177">
      <c r="A177" s="80" t="s">
        <v>2284</v>
      </c>
      <c r="B177" s="80" t="s">
        <v>5126</v>
      </c>
      <c r="C177" s="80" t="s">
        <v>5127</v>
      </c>
      <c r="D177" s="18" t="str">
        <f t="shared" si="1"/>
        <v>J mol^-1 K^-1</v>
      </c>
      <c r="E177" s="60" t="str">
        <f>VLOOKUP($A177,nist_names_ids!A:B,2,false)</f>
        <v>r</v>
      </c>
      <c r="F177" s="61">
        <f>countif(Constants!A:A,E177)</f>
        <v>1</v>
      </c>
      <c r="G177" s="60" t="str">
        <f>IFERROR(__xludf.DUMMYFUNCTION("REGEXREPLACE(substitute(substitute(B177,"" "",""""),""..."",""""),""\(.*\)"","""")"),"8.314472")</f>
        <v>8.314472</v>
      </c>
      <c r="H177" s="62">
        <f t="shared" si="2"/>
        <v>8.314472</v>
      </c>
      <c r="I177" s="60" t="str">
        <f>IFERROR(__xludf.DUMMYFUNCTION("if(regexmatch($B177,""\(""),CONCATENATE(regexreplace(REGEXREPLACE(substitute(left($B177,find(""("",$B177)-1),"" "",""""),""\d"",""0""),""[-0]*\."",""0.""), REGEXEXTRACT($B177,""\((.*)\)""),TRIM(REGEXEXTRACT($B177,""\)(.*)""))),"""")"),"0.00000015")</f>
        <v>0.00000015</v>
      </c>
      <c r="J177" s="62">
        <f t="shared" si="3"/>
        <v>0.00000015</v>
      </c>
      <c r="K177" s="62" t="b">
        <f t="shared" si="4"/>
        <v>0</v>
      </c>
      <c r="L177" s="62" t="b">
        <f t="shared" si="5"/>
        <v>0</v>
      </c>
      <c r="M177" s="60" t="str">
        <f>IFERROR(__xludf.DUMMYFUNCTION("if(regexmatch(B177,""e(.*)$""),regexextract(B177,""e(.*)$""),"""")"),"")</f>
        <v/>
      </c>
    </row>
    <row r="178">
      <c r="A178" s="80" t="s">
        <v>2287</v>
      </c>
      <c r="B178" s="80" t="s">
        <v>5129</v>
      </c>
      <c r="C178" s="80" t="s">
        <v>4309</v>
      </c>
      <c r="D178" s="18" t="str">
        <f t="shared" si="1"/>
        <v>kg mol^-1</v>
      </c>
      <c r="E178" s="60" t="str">
        <f>VLOOKUP($A178,nist_names_ids!A:B,2,false)</f>
        <v>mu</v>
      </c>
      <c r="F178" s="61">
        <f>countif(Constants!A:A,E178)</f>
        <v>1</v>
      </c>
      <c r="G178" s="60" t="str">
        <f>IFERROR(__xludf.DUMMYFUNCTION("REGEXREPLACE(substitute(substitute(B178,"" "",""""),""..."",""""),""\(.*\)"","""")"),"1e-3")</f>
        <v>1e-3</v>
      </c>
      <c r="H178" s="62">
        <f t="shared" si="2"/>
        <v>0.001</v>
      </c>
      <c r="I178" s="60" t="str">
        <f>IFERROR(__xludf.DUMMYFUNCTION("if(regexmatch($B178,""\(""),CONCATENATE(regexreplace(REGEXREPLACE(substitute(left($B178,find(""("",$B178)-1),"" "",""""),""\d"",""0""),""[-0]*\."",""0.""), REGEXEXTRACT($B178,""\((.*)\)""),TRIM(REGEXEXTRACT($B178,""\)(.*)""))),"""")"),"")</f>
        <v/>
      </c>
      <c r="J178" s="62" t="str">
        <f t="shared" si="3"/>
        <v/>
      </c>
      <c r="K178" s="62" t="b">
        <f t="shared" si="4"/>
        <v>0</v>
      </c>
      <c r="L178" s="62" t="b">
        <f t="shared" si="5"/>
        <v>0</v>
      </c>
      <c r="M178" s="60" t="str">
        <f>IFERROR(__xludf.DUMMYFUNCTION("if(regexmatch(B178,""e(.*)$""),regexextract(B178,""e(.*)$""),"""")"),"-3")</f>
        <v>-3</v>
      </c>
    </row>
    <row r="179">
      <c r="A179" s="80" t="s">
        <v>2290</v>
      </c>
      <c r="B179" s="80" t="s">
        <v>5131</v>
      </c>
      <c r="C179" s="80" t="s">
        <v>4309</v>
      </c>
      <c r="D179" s="18" t="str">
        <f t="shared" si="1"/>
        <v>kg mol^-1</v>
      </c>
      <c r="E179" s="60" t="str">
        <f>VLOOKUP($A179,nist_names_ids!A:B,2,false)</f>
        <v>mm12c</v>
      </c>
      <c r="F179" s="61">
        <f>countif(Constants!A:A,E179)</f>
        <v>1</v>
      </c>
      <c r="G179" s="60" t="str">
        <f>IFERROR(__xludf.DUMMYFUNCTION("REGEXREPLACE(substitute(substitute(B179,"" "",""""),""..."",""""),""\(.*\)"","""")"),"12e-3")</f>
        <v>12e-3</v>
      </c>
      <c r="H179" s="62">
        <f t="shared" si="2"/>
        <v>0.012</v>
      </c>
      <c r="I179" s="60" t="str">
        <f>IFERROR(__xludf.DUMMYFUNCTION("if(regexmatch($B179,""\(""),CONCATENATE(regexreplace(REGEXREPLACE(substitute(left($B179,find(""("",$B179)-1),"" "",""""),""\d"",""0""),""[-0]*\."",""0.""), REGEXEXTRACT($B179,""\((.*)\)""),TRIM(REGEXEXTRACT($B179,""\)(.*)""))),"""")"),"")</f>
        <v/>
      </c>
      <c r="J179" s="62" t="str">
        <f t="shared" si="3"/>
        <v/>
      </c>
      <c r="K179" s="62" t="b">
        <f t="shared" si="4"/>
        <v>0</v>
      </c>
      <c r="L179" s="62" t="b">
        <f t="shared" si="5"/>
        <v>0</v>
      </c>
      <c r="M179" s="60" t="str">
        <f>IFERROR(__xludf.DUMMYFUNCTION("if(regexmatch(B179,""e(.*)$""),regexextract(B179,""e(.*)$""),"""")"),"-3")</f>
        <v>-3</v>
      </c>
    </row>
    <row r="180">
      <c r="A180" s="80" t="s">
        <v>2300</v>
      </c>
      <c r="B180" s="80" t="s">
        <v>5132</v>
      </c>
      <c r="C180" s="80" t="s">
        <v>5133</v>
      </c>
      <c r="D180" s="18" t="str">
        <f t="shared" si="1"/>
        <v>m^3 mol^-1</v>
      </c>
      <c r="E180" s="60" t="str">
        <f>VLOOKUP($A180,nist_names_ids!A:B,2,false)</f>
        <v>mvol</v>
      </c>
      <c r="F180" s="61">
        <f>countif(Constants!A:A,E180)</f>
        <v>1</v>
      </c>
      <c r="G180" s="60" t="str">
        <f>IFERROR(__xludf.DUMMYFUNCTION("REGEXREPLACE(substitute(substitute(B180,"" "",""""),""..."",""""),""\(.*\)"","""")"),"22.710981e-3")</f>
        <v>22.710981e-3</v>
      </c>
      <c r="H180" s="62">
        <f t="shared" si="2"/>
        <v>0.022710981</v>
      </c>
      <c r="I180" s="60" t="str">
        <f>IFERROR(__xludf.DUMMYFUNCTION("if(regexmatch($B180,""\(""),CONCATENATE(regexreplace(REGEXREPLACE(substitute(left($B180,find(""("",$B180)-1),"" "",""""),""\d"",""0""),""[-0]*\."",""0.""), REGEXEXTRACT($B180,""\((.*)\)""),TRIM(REGEXEXTRACT($B180,""\)(.*)""))),"""")"),"0.00000040e-3")</f>
        <v>0.00000040e-3</v>
      </c>
      <c r="J180" s="62">
        <f t="shared" si="3"/>
        <v>0.0000000004</v>
      </c>
      <c r="K180" s="62" t="b">
        <f t="shared" si="4"/>
        <v>0</v>
      </c>
      <c r="L180" s="62" t="b">
        <f t="shared" si="5"/>
        <v>0</v>
      </c>
      <c r="M180" s="60" t="str">
        <f>IFERROR(__xludf.DUMMYFUNCTION("if(regexmatch(B180,""e(.*)$""),regexextract(B180,""e(.*)$""),"""")"),"-3")</f>
        <v>-3</v>
      </c>
    </row>
    <row r="181">
      <c r="A181" s="80" t="s">
        <v>2303</v>
      </c>
      <c r="B181" s="80" t="s">
        <v>5135</v>
      </c>
      <c r="C181" s="80" t="s">
        <v>5133</v>
      </c>
      <c r="D181" s="18" t="str">
        <f t="shared" si="1"/>
        <v>m^3 mol^-1</v>
      </c>
      <c r="E181" s="60" t="str">
        <f>VLOOKUP($A181,nist_names_ids!A:B,2,false)</f>
        <v>mvolstd</v>
      </c>
      <c r="F181" s="61">
        <f>countif(Constants!A:A,E181)</f>
        <v>1</v>
      </c>
      <c r="G181" s="60" t="str">
        <f>IFERROR(__xludf.DUMMYFUNCTION("REGEXREPLACE(substitute(substitute(B181,"" "",""""),""..."",""""),""\(.*\)"","""")"),"22.413996e-3")</f>
        <v>22.413996e-3</v>
      </c>
      <c r="H181" s="62">
        <f t="shared" si="2"/>
        <v>0.022413996</v>
      </c>
      <c r="I181" s="60" t="str">
        <f>IFERROR(__xludf.DUMMYFUNCTION("if(regexmatch($B181,""\(""),CONCATENATE(regexreplace(REGEXREPLACE(substitute(left($B181,find(""("",$B181)-1),"" "",""""),""\d"",""0""),""[-0]*\."",""0.""), REGEXEXTRACT($B181,""\((.*)\)""),TRIM(REGEXEXTRACT($B181,""\)(.*)""))),"""")"),"0.00000039e-3")</f>
        <v>0.00000039e-3</v>
      </c>
      <c r="J181" s="62">
        <f t="shared" si="3"/>
        <v>0.00000000039</v>
      </c>
      <c r="K181" s="62" t="b">
        <f t="shared" si="4"/>
        <v>0</v>
      </c>
      <c r="L181" s="62" t="b">
        <f t="shared" si="5"/>
        <v>0</v>
      </c>
      <c r="M181" s="60" t="str">
        <f>IFERROR(__xludf.DUMMYFUNCTION("if(regexmatch(B181,""e(.*)$""),regexextract(B181,""e(.*)$""),"""")"),"-3")</f>
        <v>-3</v>
      </c>
    </row>
    <row r="182">
      <c r="A182" s="80" t="s">
        <v>2308</v>
      </c>
      <c r="B182" s="80" t="s">
        <v>5363</v>
      </c>
      <c r="C182" s="80" t="s">
        <v>5364</v>
      </c>
      <c r="D182" s="18" t="str">
        <f t="shared" si="1"/>
        <v>m^3mol^-1</v>
      </c>
      <c r="E182" s="60" t="str">
        <f>VLOOKUP($A182,nist_names_ids!A:B,2,false)</f>
        <v>mvolsil</v>
      </c>
      <c r="F182" s="61">
        <f>countif(Constants!A:A,E182)</f>
        <v>1</v>
      </c>
      <c r="G182" s="60" t="str">
        <f>IFERROR(__xludf.DUMMYFUNCTION("REGEXREPLACE(substitute(substitute(B182,"" "",""""),""..."",""""),""\(.*\)"","""")"),"12.0588369e-6")</f>
        <v>12.0588369e-6</v>
      </c>
      <c r="H182" s="62">
        <f t="shared" si="2"/>
        <v>0.0000120588369</v>
      </c>
      <c r="I182" s="60" t="str">
        <f>IFERROR(__xludf.DUMMYFUNCTION("if(regexmatch($B182,""\(""),CONCATENATE(regexreplace(REGEXREPLACE(substitute(left($B182,find(""("",$B182)-1),"" "",""""),""\d"",""0""),""[-0]*\."",""0.""), REGEXEXTRACT($B182,""\((.*)\)""),TRIM(REGEXEXTRACT($B182,""\)(.*)""))),"""")"),"0.000000014e-6")</f>
        <v>0.000000014e-6</v>
      </c>
      <c r="J182" s="62">
        <f t="shared" si="3"/>
        <v>0</v>
      </c>
      <c r="K182" s="62" t="b">
        <f t="shared" si="4"/>
        <v>0</v>
      </c>
      <c r="L182" s="62" t="b">
        <f t="shared" si="5"/>
        <v>0</v>
      </c>
      <c r="M182" s="60" t="str">
        <f>IFERROR(__xludf.DUMMYFUNCTION("if(regexmatch(B182,""e(.*)$""),regexextract(B182,""e(.*)$""),"""")"),"-6")</f>
        <v>-6</v>
      </c>
    </row>
    <row r="183">
      <c r="A183" s="80" t="s">
        <v>2318</v>
      </c>
      <c r="B183" s="80" t="s">
        <v>5366</v>
      </c>
      <c r="C183" s="80" t="s">
        <v>381</v>
      </c>
      <c r="D183" s="18" t="str">
        <f t="shared" si="1"/>
        <v>m</v>
      </c>
      <c r="E183" s="60" t="str">
        <f>VLOOKUP($A183,nist_names_ids!A:B,2,false)</f>
        <v>mcomwl</v>
      </c>
      <c r="F183" s="61">
        <f>countif(Constants!A:A,E183)</f>
        <v>1</v>
      </c>
      <c r="G183" s="60" t="str">
        <f>IFERROR(__xludf.DUMMYFUNCTION("REGEXREPLACE(substitute(substitute(B183,"" "",""""),""..."",""""),""\(.*\)"","""")"),"11.73444197e-15")</f>
        <v>11.73444197e-15</v>
      </c>
      <c r="H183" s="62">
        <f t="shared" si="2"/>
        <v>0</v>
      </c>
      <c r="I183" s="60" t="str">
        <f>IFERROR(__xludf.DUMMYFUNCTION("if(regexmatch($B183,""\(""),CONCATENATE(regexreplace(REGEXREPLACE(substitute(left($B183,find(""("",$B183)-1),"" "",""""),""\d"",""0""),""[-0]*\."",""0.""), REGEXEXTRACT($B183,""\((.*)\)""),TRIM(REGEXEXTRACT($B183,""\)(.*)""))),"""")"),"0.0000000035e-15")</f>
        <v>0.0000000035e-15</v>
      </c>
      <c r="J183" s="62">
        <f t="shared" si="3"/>
        <v>0</v>
      </c>
      <c r="K183" s="62" t="b">
        <f t="shared" si="4"/>
        <v>0</v>
      </c>
      <c r="L183" s="62" t="b">
        <f t="shared" si="5"/>
        <v>0</v>
      </c>
      <c r="M183" s="60" t="str">
        <f>IFERROR(__xludf.DUMMYFUNCTION("if(regexmatch(B183,""e(.*)$""),regexextract(B183,""e(.*)$""),"""")"),"-15")</f>
        <v>-15</v>
      </c>
    </row>
    <row r="184">
      <c r="A184" s="80" t="s">
        <v>3398</v>
      </c>
      <c r="B184" s="80" t="s">
        <v>5369</v>
      </c>
      <c r="C184" s="80" t="s">
        <v>381</v>
      </c>
      <c r="D184" s="18" t="str">
        <f t="shared" si="1"/>
        <v>m</v>
      </c>
      <c r="E184" s="60" t="str">
        <f>VLOOKUP($A184,nist_names_ids!A:B,2,false)</f>
        <v>mcomwlbar</v>
      </c>
      <c r="F184" s="61">
        <f>countif(Constants!A:A,E184)</f>
        <v>1</v>
      </c>
      <c r="G184" s="60" t="str">
        <f>IFERROR(__xludf.DUMMYFUNCTION("REGEXREPLACE(substitute(substitute(B184,"" "",""""),""..."",""""),""\(.*\)"","""")"),"1.867594444e-15")</f>
        <v>1.867594444e-15</v>
      </c>
      <c r="H184" s="62">
        <f t="shared" si="2"/>
        <v>0</v>
      </c>
      <c r="I184" s="60" t="str">
        <f>IFERROR(__xludf.DUMMYFUNCTION("if(regexmatch($B184,""\(""),CONCATENATE(regexreplace(REGEXREPLACE(substitute(left($B184,find(""("",$B184)-1),"" "",""""),""\d"",""0""),""[-0]*\."",""0.""), REGEXEXTRACT($B184,""\((.*)\)""),TRIM(REGEXEXTRACT($B184,""\)(.*)""))),"""")"),"0.00000000055e-15")</f>
        <v>0.00000000055e-15</v>
      </c>
      <c r="J184" s="62">
        <f t="shared" si="3"/>
        <v>0</v>
      </c>
      <c r="K184" s="62" t="b">
        <f t="shared" si="4"/>
        <v>0</v>
      </c>
      <c r="L184" s="62" t="b">
        <f t="shared" si="5"/>
        <v>0</v>
      </c>
      <c r="M184" s="60" t="str">
        <f>IFERROR(__xludf.DUMMYFUNCTION("if(regexmatch(B184,""e(.*)$""),regexextract(B184,""e(.*)$""),"""")"),"-15")</f>
        <v>-15</v>
      </c>
    </row>
    <row r="185">
      <c r="A185" s="80" t="s">
        <v>2330</v>
      </c>
      <c r="B185" s="80" t="s">
        <v>5372</v>
      </c>
      <c r="C185" s="80"/>
      <c r="D185" s="18" t="str">
        <f t="shared" si="1"/>
        <v/>
      </c>
      <c r="E185" s="60" t="str">
        <f>VLOOKUP($A185,nist_names_ids!A:B,2,false)</f>
        <v>gmum</v>
      </c>
      <c r="F185" s="61">
        <f>countif(Constants!A:A,E185)</f>
        <v>1</v>
      </c>
      <c r="G185" s="60" t="str">
        <f>IFERROR(__xludf.DUMMYFUNCTION("REGEXREPLACE(substitute(substitute(B185,"" "",""""),""..."",""""),""\(.*\)"","""")"),"-2.0023318320")</f>
        <v>-2.0023318320</v>
      </c>
      <c r="H185" s="62">
        <f t="shared" si="2"/>
        <v>-2.002331832</v>
      </c>
      <c r="I185" s="60" t="str">
        <f>IFERROR(__xludf.DUMMYFUNCTION("if(regexmatch($B185,""\(""),CONCATENATE(regexreplace(REGEXREPLACE(substitute(left($B185,find(""("",$B185)-1),"" "",""""),""\d"",""0""),""[-0]*\."",""0.""), REGEXEXTRACT($B185,""\((.*)\)""),TRIM(REGEXEXTRACT($B185,""\)(.*)""))),"""")"),"0.000000000013")</f>
        <v>0.000000000013</v>
      </c>
      <c r="J185" s="62">
        <f t="shared" si="3"/>
        <v>0</v>
      </c>
      <c r="K185" s="62" t="b">
        <f t="shared" si="4"/>
        <v>0</v>
      </c>
      <c r="L185" s="62" t="b">
        <f t="shared" si="5"/>
        <v>0</v>
      </c>
      <c r="M185" s="60" t="str">
        <f>IFERROR(__xludf.DUMMYFUNCTION("if(regexmatch(B185,""e(.*)$""),regexextract(B185,""e(.*)$""),"""")"),"")</f>
        <v/>
      </c>
    </row>
    <row r="186">
      <c r="A186" s="80" t="s">
        <v>3416</v>
      </c>
      <c r="B186" s="80" t="s">
        <v>5375</v>
      </c>
      <c r="C186" s="80" t="s">
        <v>4421</v>
      </c>
      <c r="D186" s="18" t="str">
        <f t="shared" si="1"/>
        <v>J T^-1</v>
      </c>
      <c r="E186" s="60" t="str">
        <f>VLOOKUP($A186,nist_names_ids!A:B,2,false)</f>
        <v>mumum</v>
      </c>
      <c r="F186" s="61">
        <f>countif(Constants!A:A,E186)</f>
        <v>1</v>
      </c>
      <c r="G186" s="60" t="str">
        <f>IFERROR(__xludf.DUMMYFUNCTION("REGEXREPLACE(substitute(substitute(B186,"" "",""""),""..."",""""),""\(.*\)"","""")"),"-4.49044813e-26")</f>
        <v>-4.49044813e-26</v>
      </c>
      <c r="H186" s="62">
        <f t="shared" si="2"/>
        <v>0</v>
      </c>
      <c r="I186" s="60" t="str">
        <f>IFERROR(__xludf.DUMMYFUNCTION("if(regexmatch($B186,""\(""),CONCATENATE(regexreplace(REGEXREPLACE(substitute(left($B186,find(""("",$B186)-1),"" "",""""),""\d"",""0""),""[-0]*\."",""0.""), REGEXEXTRACT($B186,""\((.*)\)""),TRIM(REGEXEXTRACT($B186,""\)(.*)""))),"""")"),"0.0000000022e-26")</f>
        <v>0.0000000022e-26</v>
      </c>
      <c r="J186" s="62">
        <f t="shared" si="3"/>
        <v>0</v>
      </c>
      <c r="K186" s="62" t="b">
        <f t="shared" si="4"/>
        <v>0</v>
      </c>
      <c r="L186" s="62" t="b">
        <f t="shared" si="5"/>
        <v>0</v>
      </c>
      <c r="M186" s="60" t="str">
        <f>IFERROR(__xludf.DUMMYFUNCTION("if(regexmatch(B186,""e(.*)$""),regexextract(B186,""e(.*)$""),"""")"),"-26")</f>
        <v>-26</v>
      </c>
    </row>
    <row r="187">
      <c r="A187" s="80" t="s">
        <v>3426</v>
      </c>
      <c r="B187" s="80" t="s">
        <v>5378</v>
      </c>
      <c r="C187" s="80"/>
      <c r="D187" s="18" t="str">
        <f t="shared" si="1"/>
        <v/>
      </c>
      <c r="E187" s="60" t="str">
        <f>VLOOKUP($A187,nist_names_ids!A:B,2,false)</f>
        <v>amu</v>
      </c>
      <c r="F187" s="61">
        <f>countif(Constants!A:A,E187)</f>
        <v>1</v>
      </c>
      <c r="G187" s="60" t="str">
        <f>IFERROR(__xludf.DUMMYFUNCTION("REGEXREPLACE(substitute(substitute(B187,"" "",""""),""..."",""""),""\(.*\)"","""")"),"1.16591602e-3")</f>
        <v>1.16591602e-3</v>
      </c>
      <c r="H187" s="62">
        <f t="shared" si="2"/>
        <v>0.00116591602</v>
      </c>
      <c r="I187" s="60" t="str">
        <f>IFERROR(__xludf.DUMMYFUNCTION("if(regexmatch($B187,""\(""),CONCATENATE(regexreplace(REGEXREPLACE(substitute(left($B187,find(""("",$B187)-1),"" "",""""),""\d"",""0""),""[-0]*\."",""0.""), REGEXEXTRACT($B187,""\((.*)\)""),TRIM(REGEXEXTRACT($B187,""\)(.*)""))),"""")"),"0.0000000064e-3")</f>
        <v>0.0000000064e-3</v>
      </c>
      <c r="J187" s="62">
        <f t="shared" si="3"/>
        <v>0</v>
      </c>
      <c r="K187" s="62" t="b">
        <f t="shared" si="4"/>
        <v>0</v>
      </c>
      <c r="L187" s="62" t="b">
        <f t="shared" si="5"/>
        <v>0</v>
      </c>
      <c r="M187" s="60" t="str">
        <f>IFERROR(__xludf.DUMMYFUNCTION("if(regexmatch(B187,""e(.*)$""),regexextract(B187,""e(.*)$""),"""")"),"-3")</f>
        <v>-3</v>
      </c>
    </row>
    <row r="188">
      <c r="A188" s="80" t="s">
        <v>3435</v>
      </c>
      <c r="B188" s="80" t="s">
        <v>5380</v>
      </c>
      <c r="C188" s="80"/>
      <c r="D188" s="18" t="str">
        <f t="shared" si="1"/>
        <v/>
      </c>
      <c r="E188" s="60" t="str">
        <f>VLOOKUP($A188,nist_names_ids!A:B,2,false)</f>
        <v>mumumsmub</v>
      </c>
      <c r="F188" s="61">
        <f>countif(Constants!A:A,E188)</f>
        <v>1</v>
      </c>
      <c r="G188" s="60" t="str">
        <f>IFERROR(__xludf.DUMMYFUNCTION("REGEXREPLACE(substitute(substitute(B188,"" "",""""),""..."",""""),""\(.*\)"","""")"),"-4.84197085e-3")</f>
        <v>-4.84197085e-3</v>
      </c>
      <c r="H188" s="62">
        <f t="shared" si="2"/>
        <v>-0.00484197085</v>
      </c>
      <c r="I188" s="60" t="str">
        <f>IFERROR(__xludf.DUMMYFUNCTION("if(regexmatch($B188,""\(""),CONCATENATE(regexreplace(REGEXREPLACE(substitute(left($B188,find(""("",$B188)-1),"" "",""""),""\d"",""0""),""[-0]*\."",""0.""), REGEXEXTRACT($B188,""\((.*)\)""),TRIM(REGEXEXTRACT($B188,""\)(.*)""))),"""")"),"0.0000000015e-3")</f>
        <v>0.0000000015e-3</v>
      </c>
      <c r="J188" s="62">
        <f t="shared" si="3"/>
        <v>0</v>
      </c>
      <c r="K188" s="62" t="b">
        <f t="shared" si="4"/>
        <v>0</v>
      </c>
      <c r="L188" s="62" t="b">
        <f t="shared" si="5"/>
        <v>0</v>
      </c>
      <c r="M188" s="60" t="str">
        <f>IFERROR(__xludf.DUMMYFUNCTION("if(regexmatch(B188,""e(.*)$""),regexextract(B188,""e(.*)$""),"""")"),"-3")</f>
        <v>-3</v>
      </c>
    </row>
    <row r="189">
      <c r="A189" s="80" t="s">
        <v>3446</v>
      </c>
      <c r="B189" s="80" t="s">
        <v>5381</v>
      </c>
      <c r="C189" s="80"/>
      <c r="D189" s="18" t="str">
        <f t="shared" si="1"/>
        <v/>
      </c>
      <c r="E189" s="60" t="str">
        <f>VLOOKUP($A189,nist_names_ids!A:B,2,false)</f>
        <v>mumumsmun</v>
      </c>
      <c r="F189" s="61">
        <f>countif(Constants!A:A,E189)</f>
        <v>1</v>
      </c>
      <c r="G189" s="60" t="str">
        <f>IFERROR(__xludf.DUMMYFUNCTION("REGEXREPLACE(substitute(substitute(B189,"" "",""""),""..."",""""),""\(.*\)"","""")"),"-8.89059770")</f>
        <v>-8.89059770</v>
      </c>
      <c r="H189" s="62">
        <f t="shared" si="2"/>
        <v>-8.8905977</v>
      </c>
      <c r="I189" s="60" t="str">
        <f>IFERROR(__xludf.DUMMYFUNCTION("if(regexmatch($B189,""\(""),CONCATENATE(regexreplace(REGEXREPLACE(substitute(left($B189,find(""("",$B189)-1),"" "",""""),""\d"",""0""),""[-0]*\."",""0.""), REGEXEXTRACT($B189,""\((.*)\)""),TRIM(REGEXEXTRACT($B189,""\)(.*)""))),"""")"),"0.0000000027")</f>
        <v>0.0000000027</v>
      </c>
      <c r="J189" s="62">
        <f t="shared" si="3"/>
        <v>0.0000000027</v>
      </c>
      <c r="K189" s="62" t="b">
        <f t="shared" si="4"/>
        <v>0</v>
      </c>
      <c r="L189" s="62" t="b">
        <f t="shared" si="5"/>
        <v>0</v>
      </c>
      <c r="M189" s="60" t="str">
        <f>IFERROR(__xludf.DUMMYFUNCTION("if(regexmatch(B189,""e(.*)$""),regexextract(B189,""e(.*)$""),"""")"),"")</f>
        <v/>
      </c>
    </row>
    <row r="190">
      <c r="A190" s="80" t="s">
        <v>2349</v>
      </c>
      <c r="B190" s="80" t="s">
        <v>5384</v>
      </c>
      <c r="C190" s="80" t="s">
        <v>98</v>
      </c>
      <c r="D190" s="18" t="str">
        <f t="shared" si="1"/>
        <v>kg</v>
      </c>
      <c r="E190" s="60" t="str">
        <f>VLOOKUP($A190,nist_names_ids!A:B,2,false)</f>
        <v>mmu</v>
      </c>
      <c r="F190" s="61">
        <f>countif(Constants!A:A,E190)</f>
        <v>1</v>
      </c>
      <c r="G190" s="60" t="str">
        <f>IFERROR(__xludf.DUMMYFUNCTION("REGEXREPLACE(substitute(substitute(B190,"" "",""""),""..."",""""),""\(.*\)"","""")"),"1.88353109e-28")</f>
        <v>1.88353109e-28</v>
      </c>
      <c r="H190" s="62">
        <f t="shared" si="2"/>
        <v>0</v>
      </c>
      <c r="I190" s="60" t="str">
        <f>IFERROR(__xludf.DUMMYFUNCTION("if(regexmatch($B190,""\(""),CONCATENATE(regexreplace(REGEXREPLACE(substitute(left($B190,find(""("",$B190)-1),"" "",""""),""\d"",""0""),""[-0]*\."",""0.""), REGEXEXTRACT($B190,""\((.*)\)""),TRIM(REGEXEXTRACT($B190,""\)(.*)""))),"""")"),"0.0000000016e-28")</f>
        <v>0.0000000016e-28</v>
      </c>
      <c r="J190" s="62">
        <f t="shared" si="3"/>
        <v>0</v>
      </c>
      <c r="K190" s="62" t="b">
        <f t="shared" si="4"/>
        <v>0</v>
      </c>
      <c r="L190" s="62" t="b">
        <f t="shared" si="5"/>
        <v>0</v>
      </c>
      <c r="M190" s="60" t="str">
        <f>IFERROR(__xludf.DUMMYFUNCTION("if(regexmatch(B190,""e(.*)$""),regexextract(B190,""e(.*)$""),"""")"),"-28")</f>
        <v>-28</v>
      </c>
    </row>
    <row r="191">
      <c r="A191" s="80" t="s">
        <v>2357</v>
      </c>
      <c r="B191" s="80" t="s">
        <v>5386</v>
      </c>
      <c r="C191" s="80" t="s">
        <v>173</v>
      </c>
      <c r="D191" s="18" t="str">
        <f t="shared" si="1"/>
        <v>J</v>
      </c>
      <c r="E191" s="60" t="str">
        <f>VLOOKUP($A191,nist_names_ids!A:B,2,false)</f>
        <v>mmuc2</v>
      </c>
      <c r="F191" s="61">
        <f>countif(Constants!A:A,E191)</f>
        <v>1</v>
      </c>
      <c r="G191" s="60" t="str">
        <f>IFERROR(__xludf.DUMMYFUNCTION("REGEXREPLACE(substitute(substitute(B191,"" "",""""),""..."",""""),""\(.*\)"","""")"),"1.69283332e-11")</f>
        <v>1.69283332e-11</v>
      </c>
      <c r="H191" s="62">
        <f t="shared" si="2"/>
        <v>0</v>
      </c>
      <c r="I191" s="60" t="str">
        <f>IFERROR(__xludf.DUMMYFUNCTION("if(regexmatch($B191,""\(""),CONCATENATE(regexreplace(REGEXREPLACE(substitute(left($B191,find(""("",$B191)-1),"" "",""""),""\d"",""0""),""[-0]*\."",""0.""), REGEXEXTRACT($B191,""\((.*)\)""),TRIM(REGEXEXTRACT($B191,""\)(.*)""))),"""")"),"0.0000000014e-11")</f>
        <v>0.0000000014e-11</v>
      </c>
      <c r="J191" s="62">
        <f t="shared" si="3"/>
        <v>0</v>
      </c>
      <c r="K191" s="62" t="b">
        <f t="shared" si="4"/>
        <v>0</v>
      </c>
      <c r="L191" s="62" t="b">
        <f t="shared" si="5"/>
        <v>0</v>
      </c>
      <c r="M191" s="60" t="str">
        <f>IFERROR(__xludf.DUMMYFUNCTION("if(regexmatch(B191,""e(.*)$""),regexextract(B191,""e(.*)$""),"""")"),"-11")</f>
        <v>-11</v>
      </c>
    </row>
    <row r="192">
      <c r="A192" s="80" t="s">
        <v>2362</v>
      </c>
      <c r="B192" s="80" t="s">
        <v>5388</v>
      </c>
      <c r="C192" s="80" t="s">
        <v>224</v>
      </c>
      <c r="D192" s="18" t="str">
        <f t="shared" si="1"/>
        <v>MeV</v>
      </c>
      <c r="E192" s="60" t="str">
        <f>VLOOKUP($A192,nist_names_ids!A:B,2,false)</f>
        <v>mmuc2mev</v>
      </c>
      <c r="F192" s="61">
        <f>countif(Constants!A:A,E192)</f>
        <v>1</v>
      </c>
      <c r="G192" s="60" t="str">
        <f>IFERROR(__xludf.DUMMYFUNCTION("REGEXREPLACE(substitute(substitute(B192,"" "",""""),""..."",""""),""\(.*\)"","""")"),"105.6583568")</f>
        <v>105.6583568</v>
      </c>
      <c r="H192" s="62">
        <f t="shared" si="2"/>
        <v>105.6583568</v>
      </c>
      <c r="I192" s="60" t="str">
        <f>IFERROR(__xludf.DUMMYFUNCTION("if(regexmatch($B192,""\(""),CONCATENATE(regexreplace(REGEXREPLACE(substitute(left($B192,find(""("",$B192)-1),"" "",""""),""\d"",""0""),""[-0]*\."",""0.""), REGEXEXTRACT($B192,""\((.*)\)""),TRIM(REGEXEXTRACT($B192,""\)(.*)""))),"""")"),"0.000000052")</f>
        <v>0.000000052</v>
      </c>
      <c r="J192" s="62">
        <f t="shared" si="3"/>
        <v>0.000000052</v>
      </c>
      <c r="K192" s="62" t="b">
        <f t="shared" si="4"/>
        <v>0</v>
      </c>
      <c r="L192" s="62" t="b">
        <f t="shared" si="5"/>
        <v>0</v>
      </c>
      <c r="M192" s="60" t="str">
        <f>IFERROR(__xludf.DUMMYFUNCTION("if(regexmatch(B192,""e(.*)$""),regexextract(B192,""e(.*)$""),"""")"),"")</f>
        <v/>
      </c>
    </row>
    <row r="193">
      <c r="A193" s="80" t="s">
        <v>2367</v>
      </c>
      <c r="B193" s="80" t="s">
        <v>5391</v>
      </c>
      <c r="C193" s="80" t="s">
        <v>249</v>
      </c>
      <c r="D193" s="18" t="str">
        <f t="shared" si="1"/>
        <v>u</v>
      </c>
      <c r="E193" s="60" t="str">
        <f>VLOOKUP($A193,nist_names_ids!A:B,2,false)</f>
        <v>mmuu</v>
      </c>
      <c r="F193" s="61">
        <f>countif(Constants!A:A,E193)</f>
        <v>1</v>
      </c>
      <c r="G193" s="60" t="str">
        <f>IFERROR(__xludf.DUMMYFUNCTION("REGEXREPLACE(substitute(substitute(B193,"" "",""""),""..."",""""),""\(.*\)"","""")"),"0.1134289168")</f>
        <v>0.1134289168</v>
      </c>
      <c r="H193" s="62">
        <f t="shared" si="2"/>
        <v>0.1134289168</v>
      </c>
      <c r="I193" s="60" t="str">
        <f>IFERROR(__xludf.DUMMYFUNCTION("if(regexmatch($B193,""\(""),CONCATENATE(regexreplace(REGEXREPLACE(substitute(left($B193,find(""("",$B193)-1),"" "",""""),""\d"",""0""),""[-0]*\."",""0.""), REGEXEXTRACT($B193,""\((.*)\)""),TRIM(REGEXEXTRACT($B193,""\)(.*)""))),"""")"),"0.000000000034")</f>
        <v>0.000000000034</v>
      </c>
      <c r="J193" s="62">
        <f t="shared" si="3"/>
        <v>0</v>
      </c>
      <c r="K193" s="62" t="b">
        <f t="shared" si="4"/>
        <v>0</v>
      </c>
      <c r="L193" s="62" t="b">
        <f t="shared" si="5"/>
        <v>0</v>
      </c>
      <c r="M193" s="60" t="str">
        <f>IFERROR(__xludf.DUMMYFUNCTION("if(regexmatch(B193,""e(.*)$""),regexextract(B193,""e(.*)$""),"""")"),"")</f>
        <v/>
      </c>
    </row>
    <row r="194">
      <c r="A194" s="80" t="s">
        <v>2372</v>
      </c>
      <c r="B194" s="80" t="s">
        <v>5397</v>
      </c>
      <c r="C194" s="80" t="s">
        <v>4309</v>
      </c>
      <c r="D194" s="18" t="str">
        <f t="shared" si="1"/>
        <v>kg mol^-1</v>
      </c>
      <c r="E194" s="60" t="str">
        <f>VLOOKUP($A194,nist_names_ids!A:B,2,false)</f>
        <v>mmmu</v>
      </c>
      <c r="F194" s="61">
        <f>countif(Constants!A:A,E194)</f>
        <v>1</v>
      </c>
      <c r="G194" s="60" t="str">
        <f>IFERROR(__xludf.DUMMYFUNCTION("REGEXREPLACE(substitute(substitute(B194,"" "",""""),""..."",""""),""\(.*\)"","""")"),"0.1134289168e-3")</f>
        <v>0.1134289168e-3</v>
      </c>
      <c r="H194" s="62">
        <f t="shared" si="2"/>
        <v>0.0001134289168</v>
      </c>
      <c r="I194" s="60" t="str">
        <f>IFERROR(__xludf.DUMMYFUNCTION("if(regexmatch($B194,""\(""),CONCATENATE(regexreplace(REGEXREPLACE(substitute(left($B194,find(""("",$B194)-1),"" "",""""),""\d"",""0""),""[-0]*\."",""0.""), REGEXEXTRACT($B194,""\((.*)\)""),TRIM(REGEXEXTRACT($B194,""\)(.*)""))),"""")"),"0.000000000034e-3")</f>
        <v>0.000000000034e-3</v>
      </c>
      <c r="J194" s="62">
        <f t="shared" si="3"/>
        <v>0</v>
      </c>
      <c r="K194" s="62" t="b">
        <f t="shared" si="4"/>
        <v>0</v>
      </c>
      <c r="L194" s="62" t="b">
        <f t="shared" si="5"/>
        <v>0</v>
      </c>
      <c r="M194" s="60" t="str">
        <f>IFERROR(__xludf.DUMMYFUNCTION("if(regexmatch(B194,""e(.*)$""),regexextract(B194,""e(.*)$""),"""")"),"-3")</f>
        <v>-3</v>
      </c>
    </row>
    <row r="195">
      <c r="A195" s="80" t="s">
        <v>2326</v>
      </c>
      <c r="B195" s="80" t="s">
        <v>5401</v>
      </c>
      <c r="C195" s="80"/>
      <c r="D195" s="18" t="str">
        <f t="shared" si="1"/>
        <v/>
      </c>
      <c r="E195" s="60" t="str">
        <f>VLOOKUP($A195,nist_names_ids!A:B,2,false)</f>
        <v>mmusme</v>
      </c>
      <c r="F195" s="61">
        <f>countif(Constants!A:A,E195)</f>
        <v>1</v>
      </c>
      <c r="G195" s="60" t="str">
        <f>IFERROR(__xludf.DUMMYFUNCTION("REGEXREPLACE(substitute(substitute(B195,"" "",""""),""..."",""""),""\(.*\)"","""")"),"206.7682657")</f>
        <v>206.7682657</v>
      </c>
      <c r="H195" s="62">
        <f t="shared" si="2"/>
        <v>206.7682657</v>
      </c>
      <c r="I195" s="60" t="str">
        <f>IFERROR(__xludf.DUMMYFUNCTION("if(regexmatch($B195,""\(""),CONCATENATE(regexreplace(REGEXREPLACE(substitute(left($B195,find(""("",$B195)-1),"" "",""""),""\d"",""0""),""[-0]*\."",""0.""), REGEXEXTRACT($B195,""\((.*)\)""),TRIM(REGEXEXTRACT($B195,""\)(.*)""))),"""")"),"0.000000063")</f>
        <v>0.000000063</v>
      </c>
      <c r="J195" s="62">
        <f t="shared" si="3"/>
        <v>0.000000063</v>
      </c>
      <c r="K195" s="62" t="b">
        <f t="shared" si="4"/>
        <v>0</v>
      </c>
      <c r="L195" s="62" t="b">
        <f t="shared" si="5"/>
        <v>0</v>
      </c>
      <c r="M195" s="60" t="str">
        <f>IFERROR(__xludf.DUMMYFUNCTION("if(regexmatch(B195,""e(.*)$""),regexextract(B195,""e(.*)$""),"""")"),"")</f>
        <v/>
      </c>
    </row>
    <row r="196">
      <c r="A196" s="80" t="s">
        <v>2381</v>
      </c>
      <c r="B196" s="80" t="s">
        <v>5403</v>
      </c>
      <c r="C196" s="80"/>
      <c r="D196" s="18" t="str">
        <f t="shared" si="1"/>
        <v/>
      </c>
      <c r="E196" s="60" t="str">
        <f>VLOOKUP($A196,nist_names_ids!A:B,2,false)</f>
        <v>mmusmn</v>
      </c>
      <c r="F196" s="61">
        <f>countif(Constants!A:A,E196)</f>
        <v>1</v>
      </c>
      <c r="G196" s="60" t="str">
        <f>IFERROR(__xludf.DUMMYFUNCTION("REGEXREPLACE(substitute(substitute(B196,"" "",""""),""..."",""""),""\(.*\)"","""")"),"0.1124545079")</f>
        <v>0.1124545079</v>
      </c>
      <c r="H196" s="62">
        <f t="shared" si="2"/>
        <v>0.1124545079</v>
      </c>
      <c r="I196" s="60" t="str">
        <f>IFERROR(__xludf.DUMMYFUNCTION("if(regexmatch($B196,""\(""),CONCATENATE(regexreplace(REGEXREPLACE(substitute(left($B196,find(""("",$B196)-1),"" "",""""),""\d"",""0""),""[-0]*\."",""0.""), REGEXEXTRACT($B196,""\((.*)\)""),TRIM(REGEXEXTRACT($B196,""\)(.*)""))),"""")"),"0.000000000034")</f>
        <v>0.000000000034</v>
      </c>
      <c r="J196" s="62">
        <f t="shared" si="3"/>
        <v>0</v>
      </c>
      <c r="K196" s="62" t="b">
        <f t="shared" si="4"/>
        <v>0</v>
      </c>
      <c r="L196" s="62" t="b">
        <f t="shared" si="5"/>
        <v>0</v>
      </c>
      <c r="M196" s="60" t="str">
        <f>IFERROR(__xludf.DUMMYFUNCTION("if(regexmatch(B196,""e(.*)$""),regexextract(B196,""e(.*)$""),"""")"),"")</f>
        <v/>
      </c>
    </row>
    <row r="197">
      <c r="A197" s="80" t="s">
        <v>3533</v>
      </c>
      <c r="B197" s="80" t="s">
        <v>5406</v>
      </c>
      <c r="C197" s="80"/>
      <c r="D197" s="18" t="str">
        <f t="shared" si="1"/>
        <v/>
      </c>
      <c r="E197" s="60" t="str">
        <f>VLOOKUP($A197,nist_names_ids!A:B,2,false)</f>
        <v>mumumsmup</v>
      </c>
      <c r="F197" s="61">
        <f>countif(Constants!A:A,E197)</f>
        <v>1</v>
      </c>
      <c r="G197" s="60" t="str">
        <f>IFERROR(__xludf.DUMMYFUNCTION("REGEXREPLACE(substitute(substitute(B197,"" "",""""),""..."",""""),""\(.*\)"","""")"),"-3.18334539")</f>
        <v>-3.18334539</v>
      </c>
      <c r="H197" s="62">
        <f t="shared" si="2"/>
        <v>-3.18334539</v>
      </c>
      <c r="I197" s="60" t="str">
        <f>IFERROR(__xludf.DUMMYFUNCTION("if(regexmatch($B197,""\(""),CONCATENATE(regexreplace(REGEXREPLACE(substitute(left($B197,find(""("",$B197)-1),"" "",""""),""\d"",""0""),""[-0]*\."",""0.""), REGEXEXTRACT($B197,""\((.*)\)""),TRIM(REGEXEXTRACT($B197,""\)(.*)""))),"""")"),"0.0000000010")</f>
        <v>0.0000000010</v>
      </c>
      <c r="J197" s="62">
        <f t="shared" si="3"/>
        <v>0.000000001</v>
      </c>
      <c r="K197" s="62" t="b">
        <f t="shared" si="4"/>
        <v>0</v>
      </c>
      <c r="L197" s="62" t="b">
        <f t="shared" si="5"/>
        <v>0</v>
      </c>
      <c r="M197" s="60" t="str">
        <f>IFERROR(__xludf.DUMMYFUNCTION("if(regexmatch(B197,""e(.*)$""),regexextract(B197,""e(.*)$""),"""")"),"")</f>
        <v/>
      </c>
    </row>
    <row r="198">
      <c r="A198" s="80" t="s">
        <v>2388</v>
      </c>
      <c r="B198" s="80" t="s">
        <v>5409</v>
      </c>
      <c r="C198" s="80"/>
      <c r="D198" s="18" t="str">
        <f t="shared" si="1"/>
        <v/>
      </c>
      <c r="E198" s="60" t="str">
        <f>VLOOKUP($A198,nist_names_ids!A:B,2,false)</f>
        <v>mmusmp</v>
      </c>
      <c r="F198" s="61">
        <f>countif(Constants!A:A,E198)</f>
        <v>1</v>
      </c>
      <c r="G198" s="60" t="str">
        <f>IFERROR(__xludf.DUMMYFUNCTION("REGEXREPLACE(substitute(substitute(B198,"" "",""""),""..."",""""),""\(.*\)"","""")"),"0.1126095173")</f>
        <v>0.1126095173</v>
      </c>
      <c r="H198" s="62">
        <f t="shared" si="2"/>
        <v>0.1126095173</v>
      </c>
      <c r="I198" s="60" t="str">
        <f>IFERROR(__xludf.DUMMYFUNCTION("if(regexmatch($B198,""\(""),CONCATENATE(regexreplace(REGEXREPLACE(substitute(left($B198,find(""("",$B198)-1),"" "",""""),""\d"",""0""),""[-0]*\."",""0.""), REGEXEXTRACT($B198,""\((.*)\)""),TRIM(REGEXEXTRACT($B198,""\)(.*)""))),"""")"),"0.000000000034")</f>
        <v>0.000000000034</v>
      </c>
      <c r="J198" s="62">
        <f t="shared" si="3"/>
        <v>0</v>
      </c>
      <c r="K198" s="62" t="b">
        <f t="shared" si="4"/>
        <v>0</v>
      </c>
      <c r="L198" s="62" t="b">
        <f t="shared" si="5"/>
        <v>0</v>
      </c>
      <c r="M198" s="60" t="str">
        <f>IFERROR(__xludf.DUMMYFUNCTION("if(regexmatch(B198,""e(.*)$""),regexextract(B198,""e(.*)$""),"""")"),"")</f>
        <v/>
      </c>
    </row>
    <row r="199">
      <c r="A199" s="80" t="s">
        <v>2392</v>
      </c>
      <c r="B199" s="80" t="s">
        <v>5411</v>
      </c>
      <c r="C199" s="80"/>
      <c r="D199" s="18" t="str">
        <f t="shared" si="1"/>
        <v/>
      </c>
      <c r="E199" s="60" t="str">
        <f>VLOOKUP($A199,nist_names_ids!A:B,2,false)</f>
        <v>mmusmtau</v>
      </c>
      <c r="F199" s="61">
        <f>countif(Constants!A:A,E199)</f>
        <v>1</v>
      </c>
      <c r="G199" s="60" t="str">
        <f>IFERROR(__xludf.DUMMYFUNCTION("REGEXREPLACE(substitute(substitute(B199,"" "",""""),""..."",""""),""\(.*\)"","""")"),"5.94572e-2")</f>
        <v>5.94572e-2</v>
      </c>
      <c r="H199" s="62">
        <f t="shared" si="2"/>
        <v>0.0594572</v>
      </c>
      <c r="I199" s="60" t="str">
        <f>IFERROR(__xludf.DUMMYFUNCTION("if(regexmatch($B199,""\(""),CONCATENATE(regexreplace(REGEXREPLACE(substitute(left($B199,find(""("",$B199)-1),"" "",""""),""\d"",""0""),""[-0]*\."",""0.""), REGEXEXTRACT($B199,""\((.*)\)""),TRIM(REGEXEXTRACT($B199,""\)(.*)""))),"""")"),"0.0000097e-2")</f>
        <v>0.0000097e-2</v>
      </c>
      <c r="J199" s="62">
        <f t="shared" si="3"/>
        <v>0.000000097</v>
      </c>
      <c r="K199" s="62" t="b">
        <f t="shared" si="4"/>
        <v>0</v>
      </c>
      <c r="L199" s="62" t="b">
        <f t="shared" si="5"/>
        <v>0</v>
      </c>
      <c r="M199" s="60" t="str">
        <f>IFERROR(__xludf.DUMMYFUNCTION("if(regexmatch(B199,""e(.*)$""),regexextract(B199,""e(.*)$""),"""")"),"-2")</f>
        <v>-2</v>
      </c>
    </row>
    <row r="200">
      <c r="A200" s="80" t="s">
        <v>2399</v>
      </c>
      <c r="B200" s="80" t="s">
        <v>4951</v>
      </c>
      <c r="C200" s="80" t="s">
        <v>714</v>
      </c>
      <c r="D200" s="18" t="str">
        <f t="shared" si="1"/>
        <v>J s</v>
      </c>
      <c r="E200" s="60" t="str">
        <f>VLOOKUP($A200,nist_names_ids!A:B,2,false)</f>
        <v>thbar</v>
      </c>
      <c r="F200" s="61">
        <f>countif(Constants!A:A,E200)</f>
        <v>1</v>
      </c>
      <c r="G200" s="60" t="str">
        <f>IFERROR(__xludf.DUMMYFUNCTION("REGEXREPLACE(substitute(substitute(B200,"" "",""""),""..."",""""),""\(.*\)"","""")"),"1.054571596e-34")</f>
        <v>1.054571596e-34</v>
      </c>
      <c r="H200" s="62">
        <f t="shared" si="2"/>
        <v>0</v>
      </c>
      <c r="I200" s="60" t="str">
        <f>IFERROR(__xludf.DUMMYFUNCTION("if(regexmatch($B200,""\(""),CONCATENATE(regexreplace(REGEXREPLACE(substitute(left($B200,find(""("",$B200)-1),"" "",""""),""\d"",""0""),""[-0]*\."",""0.""), REGEXEXTRACT($B200,""\((.*)\)""),TRIM(REGEXEXTRACT($B200,""\)(.*)""))),"""")"),"0.00000000082e-34")</f>
        <v>0.00000000082e-34</v>
      </c>
      <c r="J200" s="62">
        <f t="shared" si="3"/>
        <v>0</v>
      </c>
      <c r="K200" s="62" t="b">
        <f t="shared" si="4"/>
        <v>0</v>
      </c>
      <c r="L200" s="62" t="b">
        <f t="shared" si="5"/>
        <v>0</v>
      </c>
      <c r="M200" s="60" t="str">
        <f>IFERROR(__xludf.DUMMYFUNCTION("if(regexmatch(B200,""e(.*)$""),regexextract(B200,""e(.*)$""),"""")"),"-34")</f>
        <v>-34</v>
      </c>
    </row>
    <row r="201">
      <c r="A201" s="80" t="s">
        <v>2400</v>
      </c>
      <c r="B201" s="80" t="s">
        <v>5415</v>
      </c>
      <c r="C201" s="80" t="s">
        <v>2402</v>
      </c>
      <c r="D201" s="18" t="str">
        <f t="shared" si="1"/>
        <v>eV s</v>
      </c>
      <c r="E201" s="60" t="str">
        <f>VLOOKUP($A201,nist_names_ids!A:B,2,false)</f>
        <v>thbarev</v>
      </c>
      <c r="F201" s="61">
        <f>countif(Constants!A:A,E201)</f>
        <v>1</v>
      </c>
      <c r="G201" s="60" t="str">
        <f>IFERROR(__xludf.DUMMYFUNCTION("REGEXREPLACE(substitute(substitute(B201,"" "",""""),""..."",""""),""\(.*\)"","""")"),"6.58211889e-16")</f>
        <v>6.58211889e-16</v>
      </c>
      <c r="H201" s="62">
        <f t="shared" si="2"/>
        <v>0</v>
      </c>
      <c r="I201" s="60" t="str">
        <f>IFERROR(__xludf.DUMMYFUNCTION("if(regexmatch($B201,""\(""),CONCATENATE(regexreplace(REGEXREPLACE(substitute(left($B201,find(""("",$B201)-1),"" "",""""),""\d"",""0""),""[-0]*\."",""0.""), REGEXEXTRACT($B201,""\((.*)\)""),TRIM(REGEXEXTRACT($B201,""\)(.*)""))),"""")"),"0.0000000026e-16")</f>
        <v>0.0000000026e-16</v>
      </c>
      <c r="J201" s="62">
        <f t="shared" si="3"/>
        <v>0</v>
      </c>
      <c r="K201" s="62" t="b">
        <f t="shared" si="4"/>
        <v>0</v>
      </c>
      <c r="L201" s="62" t="b">
        <f t="shared" si="5"/>
        <v>0</v>
      </c>
      <c r="M201" s="60" t="str">
        <f>IFERROR(__xludf.DUMMYFUNCTION("if(regexmatch(B201,""e(.*)$""),regexextract(B201,""e(.*)$""),"""")"),"-16")</f>
        <v>-16</v>
      </c>
    </row>
    <row r="202">
      <c r="A202" s="80" t="s">
        <v>2405</v>
      </c>
      <c r="B202" s="80" t="s">
        <v>5073</v>
      </c>
      <c r="C202" s="80" t="s">
        <v>173</v>
      </c>
      <c r="D202" s="18" t="str">
        <f t="shared" si="1"/>
        <v>J</v>
      </c>
      <c r="E202" s="60" t="str">
        <f>VLOOKUP($A202,nist_names_ids!A:B,2,false)</f>
        <v>tmec2</v>
      </c>
      <c r="F202" s="61">
        <f>countif(Constants!A:A,E202)</f>
        <v>1</v>
      </c>
      <c r="G202" s="60" t="str">
        <f>IFERROR(__xludf.DUMMYFUNCTION("REGEXREPLACE(substitute(substitute(B202,"" "",""""),""..."",""""),""\(.*\)"","""")"),"8.18710414e-14")</f>
        <v>8.18710414e-14</v>
      </c>
      <c r="H202" s="62">
        <f t="shared" si="2"/>
        <v>0</v>
      </c>
      <c r="I202" s="60" t="str">
        <f>IFERROR(__xludf.DUMMYFUNCTION("if(regexmatch($B202,""\(""),CONCATENATE(regexreplace(REGEXREPLACE(substitute(left($B202,find(""("",$B202)-1),"" "",""""),""\d"",""0""),""[-0]*\."",""0.""), REGEXEXTRACT($B202,""\((.*)\)""),TRIM(REGEXEXTRACT($B202,""\)(.*)""))),"""")"),"0.0000000064e-14")</f>
        <v>0.0000000064e-14</v>
      </c>
      <c r="J202" s="62">
        <f t="shared" si="3"/>
        <v>0</v>
      </c>
      <c r="K202" s="62" t="b">
        <f t="shared" si="4"/>
        <v>0</v>
      </c>
      <c r="L202" s="62" t="b">
        <f t="shared" si="5"/>
        <v>0</v>
      </c>
      <c r="M202" s="60" t="str">
        <f>IFERROR(__xludf.DUMMYFUNCTION("if(regexmatch(B202,""e(.*)$""),regexextract(B202,""e(.*)$""),"""")"),"-14")</f>
        <v>-14</v>
      </c>
    </row>
    <row r="203">
      <c r="A203" s="80" t="s">
        <v>2409</v>
      </c>
      <c r="B203" s="80" t="s">
        <v>5075</v>
      </c>
      <c r="C203" s="80" t="s">
        <v>224</v>
      </c>
      <c r="D203" s="18" t="str">
        <f t="shared" si="1"/>
        <v>MeV</v>
      </c>
      <c r="E203" s="60" t="str">
        <f>VLOOKUP($A203,nist_names_ids!A:B,2,false)</f>
        <v>tmec2mev</v>
      </c>
      <c r="F203" s="61">
        <f>countif(Constants!A:A,E203)</f>
        <v>1</v>
      </c>
      <c r="G203" s="60" t="str">
        <f>IFERROR(__xludf.DUMMYFUNCTION("REGEXREPLACE(substitute(substitute(B203,"" "",""""),""..."",""""),""\(.*\)"","""")"),"0.510998902")</f>
        <v>0.510998902</v>
      </c>
      <c r="H203" s="62">
        <f t="shared" si="2"/>
        <v>0.510998902</v>
      </c>
      <c r="I203" s="60" t="str">
        <f>IFERROR(__xludf.DUMMYFUNCTION("if(regexmatch($B203,""\(""),CONCATENATE(regexreplace(REGEXREPLACE(substitute(left($B203,find(""("",$B203)-1),"" "",""""),""\d"",""0""),""[-0]*\."",""0.""), REGEXEXTRACT($B203,""\((.*)\)""),TRIM(REGEXEXTRACT($B203,""\)(.*)""))),"""")"),"0.00000000021")</f>
        <v>0.00000000021</v>
      </c>
      <c r="J203" s="62">
        <f t="shared" si="3"/>
        <v>0.00000000021</v>
      </c>
      <c r="K203" s="62" t="b">
        <f t="shared" si="4"/>
        <v>0</v>
      </c>
      <c r="L203" s="62" t="b">
        <f t="shared" si="5"/>
        <v>0</v>
      </c>
      <c r="M203" s="60" t="str">
        <f>IFERROR(__xludf.DUMMYFUNCTION("if(regexmatch(B203,""e(.*)$""),regexextract(B203,""e(.*)$""),"""")"),"")</f>
        <v/>
      </c>
    </row>
    <row r="204">
      <c r="A204" s="80" t="s">
        <v>2410</v>
      </c>
      <c r="B204" s="80" t="s">
        <v>5011</v>
      </c>
      <c r="C204" s="80" t="s">
        <v>381</v>
      </c>
      <c r="D204" s="18" t="str">
        <f t="shared" si="1"/>
        <v>m</v>
      </c>
      <c r="E204" s="60" t="str">
        <f>VLOOKUP($A204,nist_names_ids!A:B,2,false)</f>
        <v>tecomwlbar</v>
      </c>
      <c r="F204" s="61">
        <f>countif(Constants!A:A,E204)</f>
        <v>1</v>
      </c>
      <c r="G204" s="60" t="str">
        <f>IFERROR(__xludf.DUMMYFUNCTION("REGEXREPLACE(substitute(substitute(B204,"" "",""""),""..."",""""),""\(.*\)"","""")"),"386.1592642e-15")</f>
        <v>386.1592642e-15</v>
      </c>
      <c r="H204" s="62">
        <f t="shared" si="2"/>
        <v>0</v>
      </c>
      <c r="I204" s="60" t="str">
        <f>IFERROR(__xludf.DUMMYFUNCTION("if(regexmatch($B204,""\(""),CONCATENATE(regexreplace(REGEXREPLACE(substitute(left($B204,find(""("",$B204)-1),"" "",""""),""\d"",""0""),""[-0]*\."",""0.""), REGEXEXTRACT($B204,""\((.*)\)""),TRIM(REGEXEXTRACT($B204,""\)(.*)""))),"""")"),"0.000000028e-15")</f>
        <v>0.000000028e-15</v>
      </c>
      <c r="J204" s="62">
        <f t="shared" si="3"/>
        <v>0</v>
      </c>
      <c r="K204" s="62" t="b">
        <f t="shared" si="4"/>
        <v>0</v>
      </c>
      <c r="L204" s="62" t="b">
        <f t="shared" si="5"/>
        <v>0</v>
      </c>
      <c r="M204" s="60" t="str">
        <f>IFERROR(__xludf.DUMMYFUNCTION("if(regexmatch(B204,""e(.*)$""),regexextract(B204,""e(.*)$""),"""")"),"-15")</f>
        <v>-15</v>
      </c>
    </row>
    <row r="205">
      <c r="A205" s="80" t="s">
        <v>2414</v>
      </c>
      <c r="B205" s="80" t="s">
        <v>4985</v>
      </c>
      <c r="C205" s="80" t="s">
        <v>98</v>
      </c>
      <c r="D205" s="18" t="str">
        <f t="shared" si="1"/>
        <v>kg</v>
      </c>
      <c r="E205" s="60" t="str">
        <f>VLOOKUP($A205,nist_names_ids!A:B,2,false)</f>
        <v>tme</v>
      </c>
      <c r="F205" s="61">
        <f>countif(Constants!A:A,E205)</f>
        <v>1</v>
      </c>
      <c r="G205" s="60" t="str">
        <f>IFERROR(__xludf.DUMMYFUNCTION("REGEXREPLACE(substitute(substitute(B205,"" "",""""),""..."",""""),""\(.*\)"","""")"),"9.10938188e-31")</f>
        <v>9.10938188e-31</v>
      </c>
      <c r="H205" s="62">
        <f t="shared" si="2"/>
        <v>0</v>
      </c>
      <c r="I205" s="60" t="str">
        <f>IFERROR(__xludf.DUMMYFUNCTION("if(regexmatch($B205,""\(""),CONCATENATE(regexreplace(REGEXREPLACE(substitute(left($B205,find(""("",$B205)-1),"" "",""""),""\d"",""0""),""[-0]*\."",""0.""), REGEXEXTRACT($B205,""\((.*)\)""),TRIM(REGEXEXTRACT($B205,""\)(.*)""))),"""")"),"0.0000000072e-31")</f>
        <v>0.0000000072e-31</v>
      </c>
      <c r="J205" s="62">
        <f t="shared" si="3"/>
        <v>0</v>
      </c>
      <c r="K205" s="62" t="b">
        <f t="shared" si="4"/>
        <v>0</v>
      </c>
      <c r="L205" s="62" t="b">
        <f t="shared" si="5"/>
        <v>0</v>
      </c>
      <c r="M205" s="60" t="str">
        <f>IFERROR(__xludf.DUMMYFUNCTION("if(regexmatch(B205,""e(.*)$""),regexextract(B205,""e(.*)$""),"""")"),"-31")</f>
        <v>-31</v>
      </c>
    </row>
    <row r="206">
      <c r="A206" s="80" t="s">
        <v>2417</v>
      </c>
      <c r="B206" s="80" t="s">
        <v>5421</v>
      </c>
      <c r="C206" s="80" t="s">
        <v>4436</v>
      </c>
      <c r="D206" s="18" t="str">
        <f t="shared" si="1"/>
        <v>kg m s^-1</v>
      </c>
      <c r="E206" s="60" t="str">
        <f>VLOOKUP($A206,nist_names_ids!A:B,2,false)</f>
        <v>mec</v>
      </c>
      <c r="F206" s="61">
        <f>countif(Constants!A:A,E206)</f>
        <v>1</v>
      </c>
      <c r="G206" s="60" t="str">
        <f>IFERROR(__xludf.DUMMYFUNCTION("REGEXREPLACE(substitute(substitute(B206,"" "",""""),""..."",""""),""\(.*\)"","""")"),"2.73092398e-22")</f>
        <v>2.73092398e-22</v>
      </c>
      <c r="H206" s="62">
        <f t="shared" si="2"/>
        <v>0</v>
      </c>
      <c r="I206" s="60" t="str">
        <f>IFERROR(__xludf.DUMMYFUNCTION("if(regexmatch($B206,""\(""),CONCATENATE(regexreplace(REGEXREPLACE(substitute(left($B206,find(""("",$B206)-1),"" "",""""),""\d"",""0""),""[-0]*\."",""0.""), REGEXEXTRACT($B206,""\((.*)\)""),TRIM(REGEXEXTRACT($B206,""\)(.*)""))),"""")"),"0.0000000021e-22")</f>
        <v>0.0000000021e-22</v>
      </c>
      <c r="J206" s="62">
        <f t="shared" si="3"/>
        <v>0</v>
      </c>
      <c r="K206" s="62" t="b">
        <f t="shared" si="4"/>
        <v>0</v>
      </c>
      <c r="L206" s="62" t="b">
        <f t="shared" si="5"/>
        <v>0</v>
      </c>
      <c r="M206" s="60" t="str">
        <f>IFERROR(__xludf.DUMMYFUNCTION("if(regexmatch(B206,""e(.*)$""),regexextract(B206,""e(.*)$""),"""")"),"-22")</f>
        <v>-22</v>
      </c>
    </row>
    <row r="207">
      <c r="A207" s="80" t="s">
        <v>2424</v>
      </c>
      <c r="B207" s="80" t="s">
        <v>5075</v>
      </c>
      <c r="C207" s="80" t="s">
        <v>2425</v>
      </c>
      <c r="D207" s="18" t="str">
        <f t="shared" si="1"/>
        <v>MeV/c</v>
      </c>
      <c r="E207" s="60" t="str">
        <f>VLOOKUP($A207,nist_names_ids!A:B,2,false)</f>
        <v>mecmevsc</v>
      </c>
      <c r="F207" s="61">
        <f>countif(Constants!A:A,E207)</f>
        <v>1</v>
      </c>
      <c r="G207" s="60" t="str">
        <f>IFERROR(__xludf.DUMMYFUNCTION("REGEXREPLACE(substitute(substitute(B207,"" "",""""),""..."",""""),""\(.*\)"","""")"),"0.510998902")</f>
        <v>0.510998902</v>
      </c>
      <c r="H207" s="62">
        <f t="shared" si="2"/>
        <v>0.510998902</v>
      </c>
      <c r="I207" s="60" t="str">
        <f>IFERROR(__xludf.DUMMYFUNCTION("if(regexmatch($B207,""\(""),CONCATENATE(regexreplace(REGEXREPLACE(substitute(left($B207,find(""("",$B207)-1),"" "",""""),""\d"",""0""),""[-0]*\."",""0.""), REGEXEXTRACT($B207,""\((.*)\)""),TRIM(REGEXEXTRACT($B207,""\)(.*)""))),"""")"),"0.00000000021")</f>
        <v>0.00000000021</v>
      </c>
      <c r="J207" s="62">
        <f t="shared" si="3"/>
        <v>0.00000000021</v>
      </c>
      <c r="K207" s="62" t="b">
        <f t="shared" si="4"/>
        <v>0</v>
      </c>
      <c r="L207" s="62" t="b">
        <f t="shared" si="5"/>
        <v>0</v>
      </c>
      <c r="M207" s="60" t="str">
        <f>IFERROR(__xludf.DUMMYFUNCTION("if(regexmatch(B207,""e(.*)$""),regexextract(B207,""e(.*)$""),"""")"),"")</f>
        <v/>
      </c>
    </row>
    <row r="208">
      <c r="A208" s="80" t="s">
        <v>2427</v>
      </c>
      <c r="B208" s="80" t="s">
        <v>5426</v>
      </c>
      <c r="C208" s="80" t="s">
        <v>520</v>
      </c>
      <c r="D208" s="18" t="str">
        <f t="shared" si="1"/>
        <v>s</v>
      </c>
      <c r="E208" s="60" t="str">
        <f>VLOOKUP($A208,nist_names_ids!A:B,2,false)</f>
        <v>nut</v>
      </c>
      <c r="F208" s="61">
        <f>countif(Constants!A:A,E208)</f>
        <v>1</v>
      </c>
      <c r="G208" s="60" t="str">
        <f>IFERROR(__xludf.DUMMYFUNCTION("REGEXREPLACE(substitute(substitute(B208,"" "",""""),""..."",""""),""\(.*\)"","""")"),"1.2880886555e-21")</f>
        <v>1.2880886555e-21</v>
      </c>
      <c r="H208" s="62">
        <f t="shared" si="2"/>
        <v>0</v>
      </c>
      <c r="I208" s="60" t="str">
        <f>IFERROR(__xludf.DUMMYFUNCTION("if(regexmatch($B208,""\(""),CONCATENATE(regexreplace(REGEXREPLACE(substitute(left($B208,find(""("",$B208)-1),"" "",""""),""\d"",""0""),""[-0]*\."",""0.""), REGEXEXTRACT($B208,""\((.*)\)""),TRIM(REGEXEXTRACT($B208,""\)(.*)""))),"""")"),"0.000000000095e-21")</f>
        <v>0.000000000095e-21</v>
      </c>
      <c r="J208" s="62">
        <f t="shared" si="3"/>
        <v>0</v>
      </c>
      <c r="K208" s="62" t="b">
        <f t="shared" si="4"/>
        <v>0</v>
      </c>
      <c r="L208" s="62" t="b">
        <f t="shared" si="5"/>
        <v>0</v>
      </c>
      <c r="M208" s="60" t="str">
        <f>IFERROR(__xludf.DUMMYFUNCTION("if(regexmatch(B208,""e(.*)$""),regexextract(B208,""e(.*)$""),"""")"),"-21")</f>
        <v>-21</v>
      </c>
    </row>
    <row r="209">
      <c r="A209" s="80" t="s">
        <v>2433</v>
      </c>
      <c r="B209" s="80" t="s">
        <v>2145</v>
      </c>
      <c r="C209" s="80" t="s">
        <v>4447</v>
      </c>
      <c r="D209" s="18" t="str">
        <f t="shared" si="1"/>
        <v>m s^-1</v>
      </c>
      <c r="E209" s="60" t="str">
        <f>VLOOKUP($A209,nist_names_ids!A:B,2,false)</f>
        <v>tc</v>
      </c>
      <c r="F209" s="61">
        <f>countif(Constants!A:A,E209)</f>
        <v>1</v>
      </c>
      <c r="G209" s="60" t="str">
        <f>IFERROR(__xludf.DUMMYFUNCTION("REGEXREPLACE(substitute(substitute(B209,"" "",""""),""..."",""""),""\(.*\)"","""")"),"299792458")</f>
        <v>299792458</v>
      </c>
      <c r="H209" s="62">
        <f t="shared" si="2"/>
        <v>299792458</v>
      </c>
      <c r="I209" s="60" t="str">
        <f>IFERROR(__xludf.DUMMYFUNCTION("if(regexmatch($B209,""\(""),CONCATENATE(regexreplace(REGEXREPLACE(substitute(left($B209,find(""("",$B209)-1),"" "",""""),""\d"",""0""),""[-0]*\."",""0.""), REGEXEXTRACT($B209,""\((.*)\)""),TRIM(REGEXEXTRACT($B209,""\)(.*)""))),"""")"),"")</f>
        <v/>
      </c>
      <c r="J209" s="62" t="str">
        <f t="shared" si="3"/>
        <v/>
      </c>
      <c r="K209" s="62" t="b">
        <f t="shared" si="4"/>
        <v>0</v>
      </c>
      <c r="L209" s="62" t="b">
        <f t="shared" si="5"/>
        <v>0</v>
      </c>
      <c r="M209" s="60" t="str">
        <f>IFERROR(__xludf.DUMMYFUNCTION("if(regexmatch(B209,""e(.*)$""),regexextract(B209,""e(.*)$""),"""")"),"")</f>
        <v/>
      </c>
    </row>
    <row r="210">
      <c r="A210" s="80" t="s">
        <v>2439</v>
      </c>
      <c r="B210" s="80" t="s">
        <v>5429</v>
      </c>
      <c r="C210" s="80" t="s">
        <v>381</v>
      </c>
      <c r="D210" s="18" t="str">
        <f t="shared" si="1"/>
        <v>m</v>
      </c>
      <c r="E210" s="60" t="str">
        <f>VLOOKUP($A210,nist_names_ids!A:B,2,false)</f>
        <v>ncomwl</v>
      </c>
      <c r="F210" s="61">
        <f>countif(Constants!A:A,E210)</f>
        <v>1</v>
      </c>
      <c r="G210" s="60" t="str">
        <f>IFERROR(__xludf.DUMMYFUNCTION("REGEXREPLACE(substitute(substitute(B210,"" "",""""),""..."",""""),""\(.*\)"","""")"),"1.319590898e-15")</f>
        <v>1.319590898e-15</v>
      </c>
      <c r="H210" s="62">
        <f t="shared" si="2"/>
        <v>0</v>
      </c>
      <c r="I210" s="60" t="str">
        <f>IFERROR(__xludf.DUMMYFUNCTION("if(regexmatch($B210,""\(""),CONCATENATE(regexreplace(REGEXREPLACE(substitute(left($B210,find(""("",$B210)-1),"" "",""""),""\d"",""0""),""[-0]*\."",""0.""), REGEXEXTRACT($B210,""\((.*)\)""),TRIM(REGEXEXTRACT($B210,""\)(.*)""))),"""")"),"0.00000000010e-15")</f>
        <v>0.00000000010e-15</v>
      </c>
      <c r="J210" s="62">
        <f t="shared" si="3"/>
        <v>0</v>
      </c>
      <c r="K210" s="62" t="b">
        <f t="shared" si="4"/>
        <v>0</v>
      </c>
      <c r="L210" s="62" t="b">
        <f t="shared" si="5"/>
        <v>0</v>
      </c>
      <c r="M210" s="60" t="str">
        <f>IFERROR(__xludf.DUMMYFUNCTION("if(regexmatch(B210,""e(.*)$""),regexextract(B210,""e(.*)$""),"""")"),"-15")</f>
        <v>-15</v>
      </c>
    </row>
    <row r="211">
      <c r="A211" s="80" t="s">
        <v>3674</v>
      </c>
      <c r="B211" s="80" t="s">
        <v>5432</v>
      </c>
      <c r="C211" s="80" t="s">
        <v>381</v>
      </c>
      <c r="D211" s="18" t="str">
        <f t="shared" si="1"/>
        <v>m</v>
      </c>
      <c r="E211" s="60" t="str">
        <f>VLOOKUP($A211,nist_names_ids!A:B,2,false)</f>
        <v>ncomwlbar</v>
      </c>
      <c r="F211" s="61">
        <f>countif(Constants!A:A,E211)</f>
        <v>1</v>
      </c>
      <c r="G211" s="60" t="str">
        <f>IFERROR(__xludf.DUMMYFUNCTION("REGEXREPLACE(substitute(substitute(B211,"" "",""""),""..."",""""),""\(.*\)"","""")"),"0.2100194142e-15")</f>
        <v>0.2100194142e-15</v>
      </c>
      <c r="H211" s="62">
        <f t="shared" si="2"/>
        <v>0</v>
      </c>
      <c r="I211" s="60" t="str">
        <f>IFERROR(__xludf.DUMMYFUNCTION("if(regexmatch($B211,""\(""),CONCATENATE(regexreplace(REGEXREPLACE(substitute(left($B211,find(""("",$B211)-1),"" "",""""),""\d"",""0""),""[-0]*\."",""0.""), REGEXEXTRACT($B211,""\((.*)\)""),TRIM(REGEXEXTRACT($B211,""\)(.*)""))),"""")"),"0.000000000016e-15")</f>
        <v>0.000000000016e-15</v>
      </c>
      <c r="J211" s="62">
        <f t="shared" si="3"/>
        <v>0</v>
      </c>
      <c r="K211" s="62" t="b">
        <f t="shared" si="4"/>
        <v>0</v>
      </c>
      <c r="L211" s="62" t="b">
        <f t="shared" si="5"/>
        <v>0</v>
      </c>
      <c r="M211" s="60" t="str">
        <f>IFERROR(__xludf.DUMMYFUNCTION("if(regexmatch(B211,""e(.*)$""),regexextract(B211,""e(.*)$""),"""")"),"-15")</f>
        <v>-15</v>
      </c>
    </row>
    <row r="212">
      <c r="A212" s="80" t="s">
        <v>2454</v>
      </c>
      <c r="B212" s="80" t="s">
        <v>5190</v>
      </c>
      <c r="C212" s="80"/>
      <c r="D212" s="18" t="str">
        <f t="shared" si="1"/>
        <v/>
      </c>
      <c r="E212" s="60" t="str">
        <f>VLOOKUP($A212,nist_names_ids!A:B,2,false)</f>
        <v>gnn</v>
      </c>
      <c r="F212" s="61">
        <f>countif(Constants!A:A,E212)</f>
        <v>1</v>
      </c>
      <c r="G212" s="60" t="str">
        <f>IFERROR(__xludf.DUMMYFUNCTION("REGEXREPLACE(substitute(substitute(B212,"" "",""""),""..."",""""),""\(.*\)"","""")"),"-3.82608545")</f>
        <v>-3.82608545</v>
      </c>
      <c r="H212" s="62">
        <f t="shared" si="2"/>
        <v>-3.82608545</v>
      </c>
      <c r="I212" s="60" t="str">
        <f>IFERROR(__xludf.DUMMYFUNCTION("if(regexmatch($B212,""\(""),CONCATENATE(regexreplace(REGEXREPLACE(substitute(left($B212,find(""("",$B212)-1),"" "",""""),""\d"",""0""),""[-0]*\."",""0.""), REGEXEXTRACT($B212,""\((.*)\)""),TRIM(REGEXEXTRACT($B212,""\)(.*)""))),"""")"),"0.0000000090")</f>
        <v>0.0000000090</v>
      </c>
      <c r="J212" s="62">
        <f t="shared" si="3"/>
        <v>0.000000009</v>
      </c>
      <c r="K212" s="62" t="b">
        <f t="shared" si="4"/>
        <v>0</v>
      </c>
      <c r="L212" s="62" t="b">
        <f t="shared" si="5"/>
        <v>0</v>
      </c>
      <c r="M212" s="60" t="str">
        <f>IFERROR(__xludf.DUMMYFUNCTION("if(regexmatch(B212,""e(.*)$""),regexextract(B212,""e(.*)$""),"""")"),"")</f>
        <v/>
      </c>
    </row>
    <row r="213">
      <c r="A213" s="80" t="s">
        <v>3700</v>
      </c>
      <c r="B213" s="80" t="s">
        <v>5437</v>
      </c>
      <c r="C213" s="80" t="s">
        <v>4596</v>
      </c>
      <c r="D213" s="18" t="str">
        <f t="shared" si="1"/>
        <v>s^-1 T^-1</v>
      </c>
      <c r="E213" s="60" t="str">
        <f>VLOOKUP($A213,nist_names_ids!A:B,2,false)</f>
        <v>gamman</v>
      </c>
      <c r="F213" s="61">
        <f>countif(Constants!A:A,E213)</f>
        <v>1</v>
      </c>
      <c r="G213" s="60" t="str">
        <f>IFERROR(__xludf.DUMMYFUNCTION("REGEXREPLACE(substitute(substitute(B213,"" "",""""),""..."",""""),""\(.*\)"","""")"),"1.83247188e8")</f>
        <v>1.83247188e8</v>
      </c>
      <c r="H213" s="62">
        <f t="shared" si="2"/>
        <v>183247188</v>
      </c>
      <c r="I213" s="60" t="str">
        <f>IFERROR(__xludf.DUMMYFUNCTION("if(regexmatch($B213,""\(""),CONCATENATE(regexreplace(REGEXREPLACE(substitute(left($B213,find(""("",$B213)-1),"" "",""""),""\d"",""0""),""[-0]*\."",""0.""), REGEXEXTRACT($B213,""\((.*)\)""),TRIM(REGEXEXTRACT($B213,""\)(.*)""))),"""")"),"0.0000000044e8")</f>
        <v>0.0000000044e8</v>
      </c>
      <c r="J213" s="62">
        <f t="shared" si="3"/>
        <v>0.44</v>
      </c>
      <c r="K213" s="62" t="b">
        <f t="shared" si="4"/>
        <v>0</v>
      </c>
      <c r="L213" s="62" t="b">
        <f t="shared" si="5"/>
        <v>0</v>
      </c>
      <c r="M213" s="60" t="str">
        <f>IFERROR(__xludf.DUMMYFUNCTION("if(regexmatch(B213,""e(.*)$""),regexextract(B213,""e(.*)$""),"""")"),"8")</f>
        <v>8</v>
      </c>
    </row>
    <row r="214">
      <c r="A214" s="80" t="s">
        <v>3723</v>
      </c>
      <c r="B214" s="80" t="s">
        <v>5439</v>
      </c>
      <c r="C214" s="80" t="s">
        <v>4602</v>
      </c>
      <c r="D214" s="18" t="str">
        <f t="shared" si="1"/>
        <v>MHz T^-1</v>
      </c>
      <c r="E214" s="60" t="str">
        <f>VLOOKUP($A214,nist_names_ids!A:B,2,false)</f>
        <v>gammanbar</v>
      </c>
      <c r="F214" s="61">
        <f>countif(Constants!A:A,E214)</f>
        <v>1</v>
      </c>
      <c r="G214" s="60" t="str">
        <f>IFERROR(__xludf.DUMMYFUNCTION("REGEXREPLACE(substitute(substitute(B214,"" "",""""),""..."",""""),""\(.*\)"","""")"),"29.1646958")</f>
        <v>29.1646958</v>
      </c>
      <c r="H214" s="62">
        <f t="shared" si="2"/>
        <v>29.1646958</v>
      </c>
      <c r="I214" s="60" t="str">
        <f>IFERROR(__xludf.DUMMYFUNCTION("if(regexmatch($B214,""\(""),CONCATENATE(regexreplace(REGEXREPLACE(substitute(left($B214,find(""("",$B214)-1),"" "",""""),""\d"",""0""),""[-0]*\."",""0.""), REGEXEXTRACT($B214,""\((.*)\)""),TRIM(REGEXEXTRACT($B214,""\)(.*)""))),"""")"),"0.000000070")</f>
        <v>0.000000070</v>
      </c>
      <c r="J214" s="62">
        <f t="shared" si="3"/>
        <v>0.00000007</v>
      </c>
      <c r="K214" s="62" t="b">
        <f t="shared" si="4"/>
        <v>0</v>
      </c>
      <c r="L214" s="62" t="b">
        <f t="shared" si="5"/>
        <v>0</v>
      </c>
      <c r="M214" s="60" t="str">
        <f>IFERROR(__xludf.DUMMYFUNCTION("if(regexmatch(B214,""e(.*)$""),regexextract(B214,""e(.*)$""),"""")"),"")</f>
        <v/>
      </c>
    </row>
    <row r="215">
      <c r="A215" s="80" t="s">
        <v>3738</v>
      </c>
      <c r="B215" s="80" t="s">
        <v>5441</v>
      </c>
      <c r="C215" s="80" t="s">
        <v>4421</v>
      </c>
      <c r="D215" s="18" t="str">
        <f t="shared" si="1"/>
        <v>J T^-1</v>
      </c>
      <c r="E215" s="60" t="str">
        <f>VLOOKUP($A215,nist_names_ids!A:B,2,false)</f>
        <v>munn</v>
      </c>
      <c r="F215" s="61">
        <f>countif(Constants!A:A,E215)</f>
        <v>1</v>
      </c>
      <c r="G215" s="60" t="str">
        <f>IFERROR(__xludf.DUMMYFUNCTION("REGEXREPLACE(substitute(substitute(B215,"" "",""""),""..."",""""),""\(.*\)"","""")"),"-0.96623640e-26")</f>
        <v>-0.96623640e-26</v>
      </c>
      <c r="H215" s="62">
        <f t="shared" si="2"/>
        <v>0</v>
      </c>
      <c r="I215" s="60" t="str">
        <f>IFERROR(__xludf.DUMMYFUNCTION("if(regexmatch($B215,""\(""),CONCATENATE(regexreplace(REGEXREPLACE(substitute(left($B215,find(""("",$B215)-1),"" "",""""),""\d"",""0""),""[-0]*\."",""0.""), REGEXEXTRACT($B215,""\((.*)\)""),TRIM(REGEXEXTRACT($B215,""\)(.*)""))),"""")"),"0.0000000023e-26")</f>
        <v>0.0000000023e-26</v>
      </c>
      <c r="J215" s="62">
        <f t="shared" si="3"/>
        <v>0</v>
      </c>
      <c r="K215" s="62" t="b">
        <f t="shared" si="4"/>
        <v>0</v>
      </c>
      <c r="L215" s="62" t="b">
        <f t="shared" si="5"/>
        <v>0</v>
      </c>
      <c r="M215" s="60" t="str">
        <f>IFERROR(__xludf.DUMMYFUNCTION("if(regexmatch(B215,""e(.*)$""),regexextract(B215,""e(.*)$""),"""")"),"-26")</f>
        <v>-26</v>
      </c>
    </row>
    <row r="216">
      <c r="A216" s="80" t="s">
        <v>3757</v>
      </c>
      <c r="B216" s="80" t="s">
        <v>5196</v>
      </c>
      <c r="C216" s="80"/>
      <c r="D216" s="18" t="str">
        <f t="shared" si="1"/>
        <v/>
      </c>
      <c r="E216" s="60" t="str">
        <f>VLOOKUP($A216,nist_names_ids!A:B,2,false)</f>
        <v>munsmub</v>
      </c>
      <c r="F216" s="61">
        <f>countif(Constants!A:A,E216)</f>
        <v>1</v>
      </c>
      <c r="G216" s="60" t="str">
        <f>IFERROR(__xludf.DUMMYFUNCTION("REGEXREPLACE(substitute(substitute(B216,"" "",""""),""..."",""""),""\(.*\)"","""")"),"-1.04187563e-3")</f>
        <v>-1.04187563e-3</v>
      </c>
      <c r="H216" s="62">
        <f t="shared" si="2"/>
        <v>-0.00104187563</v>
      </c>
      <c r="I216" s="60" t="str">
        <f>IFERROR(__xludf.DUMMYFUNCTION("if(regexmatch($B216,""\(""),CONCATENATE(regexreplace(REGEXREPLACE(substitute(left($B216,find(""("",$B216)-1),"" "",""""),""\d"",""0""),""[-0]*\."",""0.""), REGEXEXTRACT($B216,""\((.*)\)""),TRIM(REGEXEXTRACT($B216,""\)(.*)""))),"""")"),"0.0000000025e-3")</f>
        <v>0.0000000025e-3</v>
      </c>
      <c r="J216" s="62">
        <f t="shared" si="3"/>
        <v>0</v>
      </c>
      <c r="K216" s="62" t="b">
        <f t="shared" si="4"/>
        <v>0</v>
      </c>
      <c r="L216" s="62" t="b">
        <f t="shared" si="5"/>
        <v>0</v>
      </c>
      <c r="M216" s="60" t="str">
        <f>IFERROR(__xludf.DUMMYFUNCTION("if(regexmatch(B216,""e(.*)$""),regexextract(B216,""e(.*)$""),"""")"),"-3")</f>
        <v>-3</v>
      </c>
    </row>
    <row r="217">
      <c r="A217" s="80" t="s">
        <v>3767</v>
      </c>
      <c r="B217" s="80" t="s">
        <v>5444</v>
      </c>
      <c r="C217" s="80"/>
      <c r="D217" s="18" t="str">
        <f t="shared" si="1"/>
        <v/>
      </c>
      <c r="E217" s="60" t="str">
        <f>VLOOKUP($A217,nist_names_ids!A:B,2,false)</f>
        <v>munsmun</v>
      </c>
      <c r="F217" s="61">
        <f>countif(Constants!A:A,E217)</f>
        <v>1</v>
      </c>
      <c r="G217" s="60" t="str">
        <f>IFERROR(__xludf.DUMMYFUNCTION("REGEXREPLACE(substitute(substitute(B217,"" "",""""),""..."",""""),""\(.*\)"","""")"),"-1.91304272")</f>
        <v>-1.91304272</v>
      </c>
      <c r="H217" s="62">
        <f t="shared" si="2"/>
        <v>-1.91304272</v>
      </c>
      <c r="I217" s="60" t="str">
        <f>IFERROR(__xludf.DUMMYFUNCTION("if(regexmatch($B217,""\(""),CONCATENATE(regexreplace(REGEXREPLACE(substitute(left($B217,find(""("",$B217)-1),"" "",""""),""\d"",""0""),""[-0]*\."",""0.""), REGEXEXTRACT($B217,""\((.*)\)""),TRIM(REGEXEXTRACT($B217,""\)(.*)""))),"""")"),"0.0000000045")</f>
        <v>0.0000000045</v>
      </c>
      <c r="J217" s="62">
        <f t="shared" si="3"/>
        <v>0.0000000045</v>
      </c>
      <c r="K217" s="62" t="b">
        <f t="shared" si="4"/>
        <v>0</v>
      </c>
      <c r="L217" s="62" t="b">
        <f t="shared" si="5"/>
        <v>0</v>
      </c>
      <c r="M217" s="60" t="str">
        <f>IFERROR(__xludf.DUMMYFUNCTION("if(regexmatch(B217,""e(.*)$""),regexextract(B217,""e(.*)$""),"""")"),"")</f>
        <v/>
      </c>
    </row>
    <row r="218">
      <c r="A218" s="80" t="s">
        <v>2483</v>
      </c>
      <c r="B218" s="80" t="s">
        <v>5446</v>
      </c>
      <c r="C218" s="80" t="s">
        <v>98</v>
      </c>
      <c r="D218" s="18" t="str">
        <f t="shared" si="1"/>
        <v>kg</v>
      </c>
      <c r="E218" s="60" t="str">
        <f>VLOOKUP($A218,nist_names_ids!A:B,2,false)</f>
        <v>mn</v>
      </c>
      <c r="F218" s="61">
        <f>countif(Constants!A:A,E218)</f>
        <v>1</v>
      </c>
      <c r="G218" s="60" t="str">
        <f>IFERROR(__xludf.DUMMYFUNCTION("REGEXREPLACE(substitute(substitute(B218,"" "",""""),""..."",""""),""\(.*\)"","""")"),"1.67492716e-27")</f>
        <v>1.67492716e-27</v>
      </c>
      <c r="H218" s="62">
        <f t="shared" si="2"/>
        <v>0</v>
      </c>
      <c r="I218" s="60" t="str">
        <f>IFERROR(__xludf.DUMMYFUNCTION("if(regexmatch($B218,""\(""),CONCATENATE(regexreplace(REGEXREPLACE(substitute(left($B218,find(""("",$B218)-1),"" "",""""),""\d"",""0""),""[-0]*\."",""0.""), REGEXEXTRACT($B218,""\((.*)\)""),TRIM(REGEXEXTRACT($B218,""\)(.*)""))),"""")"),"0.0000000013e-27")</f>
        <v>0.0000000013e-27</v>
      </c>
      <c r="J218" s="62">
        <f t="shared" si="3"/>
        <v>0</v>
      </c>
      <c r="K218" s="62" t="b">
        <f t="shared" si="4"/>
        <v>0</v>
      </c>
      <c r="L218" s="62" t="b">
        <f t="shared" si="5"/>
        <v>0</v>
      </c>
      <c r="M218" s="60" t="str">
        <f>IFERROR(__xludf.DUMMYFUNCTION("if(regexmatch(B218,""e(.*)$""),regexextract(B218,""e(.*)$""),"""")"),"-27")</f>
        <v>-27</v>
      </c>
    </row>
    <row r="219">
      <c r="A219" s="80" t="s">
        <v>2490</v>
      </c>
      <c r="B219" s="80" t="s">
        <v>5448</v>
      </c>
      <c r="C219" s="80" t="s">
        <v>173</v>
      </c>
      <c r="D219" s="18" t="str">
        <f t="shared" si="1"/>
        <v>J</v>
      </c>
      <c r="E219" s="60" t="str">
        <f>VLOOKUP($A219,nist_names_ids!A:B,2,false)</f>
        <v>mnc2</v>
      </c>
      <c r="F219" s="61">
        <f>countif(Constants!A:A,E219)</f>
        <v>1</v>
      </c>
      <c r="G219" s="60" t="str">
        <f>IFERROR(__xludf.DUMMYFUNCTION("REGEXREPLACE(substitute(substitute(B219,"" "",""""),""..."",""""),""\(.*\)"","""")"),"1.50534946e-10")</f>
        <v>1.50534946e-10</v>
      </c>
      <c r="H219" s="62">
        <f t="shared" si="2"/>
        <v>0.000000000150534946</v>
      </c>
      <c r="I219" s="60" t="str">
        <f>IFERROR(__xludf.DUMMYFUNCTION("if(regexmatch($B219,""\(""),CONCATENATE(regexreplace(REGEXREPLACE(substitute(left($B219,find(""("",$B219)-1),"" "",""""),""\d"",""0""),""[-0]*\."",""0.""), REGEXEXTRACT($B219,""\((.*)\)""),TRIM(REGEXEXTRACT($B219,""\)(.*)""))),"""")"),"0.0000000012e-10")</f>
        <v>0.0000000012e-10</v>
      </c>
      <c r="J219" s="62">
        <f t="shared" si="3"/>
        <v>0</v>
      </c>
      <c r="K219" s="62" t="b">
        <f t="shared" si="4"/>
        <v>0</v>
      </c>
      <c r="L219" s="62" t="b">
        <f t="shared" si="5"/>
        <v>0</v>
      </c>
      <c r="M219" s="60" t="str">
        <f>IFERROR(__xludf.DUMMYFUNCTION("if(regexmatch(B219,""e(.*)$""),regexextract(B219,""e(.*)$""),"""")"),"-10")</f>
        <v>-10</v>
      </c>
    </row>
    <row r="220">
      <c r="A220" s="80" t="s">
        <v>2495</v>
      </c>
      <c r="B220" s="80" t="s">
        <v>5450</v>
      </c>
      <c r="C220" s="80" t="s">
        <v>224</v>
      </c>
      <c r="D220" s="18" t="str">
        <f t="shared" si="1"/>
        <v>MeV</v>
      </c>
      <c r="E220" s="60" t="str">
        <f>VLOOKUP($A220,nist_names_ids!A:B,2,false)</f>
        <v>mnc2mev</v>
      </c>
      <c r="F220" s="61">
        <f>countif(Constants!A:A,E220)</f>
        <v>1</v>
      </c>
      <c r="G220" s="60" t="str">
        <f>IFERROR(__xludf.DUMMYFUNCTION("REGEXREPLACE(substitute(substitute(B220,"" "",""""),""..."",""""),""\(.*\)"","""")"),"939.565330")</f>
        <v>939.565330</v>
      </c>
      <c r="H220" s="62">
        <f t="shared" si="2"/>
        <v>939.56533</v>
      </c>
      <c r="I220" s="60" t="str">
        <f>IFERROR(__xludf.DUMMYFUNCTION("if(regexmatch($B220,""\(""),CONCATENATE(regexreplace(REGEXREPLACE(substitute(left($B220,find(""("",$B220)-1),"" "",""""),""\d"",""0""),""[-0]*\."",""0.""), REGEXEXTRACT($B220,""\((.*)\)""),TRIM(REGEXEXTRACT($B220,""\)(.*)""))),"""")"),"0.00000038")</f>
        <v>0.00000038</v>
      </c>
      <c r="J220" s="62">
        <f t="shared" si="3"/>
        <v>0.00000038</v>
      </c>
      <c r="K220" s="62" t="b">
        <f t="shared" si="4"/>
        <v>0</v>
      </c>
      <c r="L220" s="62" t="b">
        <f t="shared" si="5"/>
        <v>0</v>
      </c>
      <c r="M220" s="60" t="str">
        <f>IFERROR(__xludf.DUMMYFUNCTION("if(regexmatch(B220,""e(.*)$""),regexextract(B220,""e(.*)$""),"""")"),"")</f>
        <v/>
      </c>
    </row>
    <row r="221">
      <c r="A221" s="80" t="s">
        <v>2504</v>
      </c>
      <c r="B221" s="80" t="s">
        <v>5452</v>
      </c>
      <c r="C221" s="80" t="s">
        <v>249</v>
      </c>
      <c r="D221" s="18" t="str">
        <f t="shared" si="1"/>
        <v>u</v>
      </c>
      <c r="E221" s="60" t="str">
        <f>VLOOKUP($A221,nist_names_ids!A:B,2,false)</f>
        <v>mnu</v>
      </c>
      <c r="F221" s="61">
        <f>countif(Constants!A:A,E221)</f>
        <v>1</v>
      </c>
      <c r="G221" s="60" t="str">
        <f>IFERROR(__xludf.DUMMYFUNCTION("REGEXREPLACE(substitute(substitute(B221,"" "",""""),""..."",""""),""\(.*\)"","""")"),"1.00866491578")</f>
        <v>1.00866491578</v>
      </c>
      <c r="H221" s="62">
        <f t="shared" si="2"/>
        <v>1.008664916</v>
      </c>
      <c r="I221" s="60" t="str">
        <f>IFERROR(__xludf.DUMMYFUNCTION("if(regexmatch($B221,""\(""),CONCATENATE(regexreplace(REGEXREPLACE(substitute(left($B221,find(""("",$B221)-1),"" "",""""),""\d"",""0""),""[-0]*\."",""0.""), REGEXEXTRACT($B221,""\((.*)\)""),TRIM(REGEXEXTRACT($B221,""\)(.*)""))),"""")"),"0.0000000000055")</f>
        <v>0.0000000000055</v>
      </c>
      <c r="J221" s="62">
        <f t="shared" si="3"/>
        <v>0</v>
      </c>
      <c r="K221" s="62" t="b">
        <f t="shared" si="4"/>
        <v>0</v>
      </c>
      <c r="L221" s="62" t="b">
        <f t="shared" si="5"/>
        <v>0</v>
      </c>
      <c r="M221" s="60" t="str">
        <f>IFERROR(__xludf.DUMMYFUNCTION("if(regexmatch(B221,""e(.*)$""),regexextract(B221,""e(.*)$""),"""")"),"")</f>
        <v/>
      </c>
    </row>
    <row r="222">
      <c r="A222" s="80" t="s">
        <v>2508</v>
      </c>
      <c r="B222" s="80" t="s">
        <v>5454</v>
      </c>
      <c r="C222" s="80" t="s">
        <v>4309</v>
      </c>
      <c r="D222" s="18" t="str">
        <f t="shared" si="1"/>
        <v>kg mol^-1</v>
      </c>
      <c r="E222" s="60" t="str">
        <f>VLOOKUP($A222,nist_names_ids!A:B,2,false)</f>
        <v>mmn</v>
      </c>
      <c r="F222" s="61">
        <f>countif(Constants!A:A,E222)</f>
        <v>1</v>
      </c>
      <c r="G222" s="60" t="str">
        <f>IFERROR(__xludf.DUMMYFUNCTION("REGEXREPLACE(substitute(substitute(B222,"" "",""""),""..."",""""),""\(.*\)"","""")"),"1.00866491578e-3")</f>
        <v>1.00866491578e-3</v>
      </c>
      <c r="H222" s="62">
        <f t="shared" si="2"/>
        <v>0.001008664916</v>
      </c>
      <c r="I222" s="60" t="str">
        <f>IFERROR(__xludf.DUMMYFUNCTION("if(regexmatch($B222,""\(""),CONCATENATE(regexreplace(REGEXREPLACE(substitute(left($B222,find(""("",$B222)-1),"" "",""""),""\d"",""0""),""[-0]*\."",""0.""), REGEXEXTRACT($B222,""\((.*)\)""),TRIM(REGEXEXTRACT($B222,""\)(.*)""))),"""")"),"0.0000000000055e-3")</f>
        <v>0.0000000000055e-3</v>
      </c>
      <c r="J222" s="62">
        <f t="shared" si="3"/>
        <v>0</v>
      </c>
      <c r="K222" s="62" t="b">
        <f t="shared" si="4"/>
        <v>0</v>
      </c>
      <c r="L222" s="62" t="b">
        <f t="shared" si="5"/>
        <v>0</v>
      </c>
      <c r="M222" s="60" t="str">
        <f>IFERROR(__xludf.DUMMYFUNCTION("if(regexmatch(B222,""e(.*)$""),regexextract(B222,""e(.*)$""),"""")"),"-3")</f>
        <v>-3</v>
      </c>
    </row>
    <row r="223">
      <c r="A223" s="80" t="s">
        <v>3817</v>
      </c>
      <c r="B223" s="80" t="s">
        <v>5210</v>
      </c>
      <c r="C223" s="80"/>
      <c r="D223" s="18" t="str">
        <f t="shared" si="1"/>
        <v/>
      </c>
      <c r="E223" s="60" t="str">
        <f>VLOOKUP($A223,nist_names_ids!A:B,2,false)</f>
        <v>munsmupp</v>
      </c>
      <c r="F223" s="61">
        <f>countif(Constants!A:A,E223)</f>
        <v>1</v>
      </c>
      <c r="G223" s="60" t="str">
        <f>IFERROR(__xludf.DUMMYFUNCTION("REGEXREPLACE(substitute(substitute(B223,"" "",""""),""..."",""""),""\(.*\)"","""")"),"-0.68499694")</f>
        <v>-0.68499694</v>
      </c>
      <c r="H223" s="62">
        <f t="shared" si="2"/>
        <v>-0.68499694</v>
      </c>
      <c r="I223" s="60" t="str">
        <f>IFERROR(__xludf.DUMMYFUNCTION("if(regexmatch($B223,""\(""),CONCATENATE(regexreplace(REGEXREPLACE(substitute(left($B223,find(""("",$B223)-1),"" "",""""),""\d"",""0""),""[-0]*\."",""0.""), REGEXEXTRACT($B223,""\((.*)\)""),TRIM(REGEXEXTRACT($B223,""\)(.*)""))),"""")"),"0.0000000016")</f>
        <v>0.0000000016</v>
      </c>
      <c r="J223" s="62">
        <f t="shared" si="3"/>
        <v>0.0000000016</v>
      </c>
      <c r="K223" s="62" t="b">
        <f t="shared" si="4"/>
        <v>0</v>
      </c>
      <c r="L223" s="62" t="b">
        <f t="shared" si="5"/>
        <v>0</v>
      </c>
      <c r="M223" s="60" t="str">
        <f>IFERROR(__xludf.DUMMYFUNCTION("if(regexmatch(B223,""e(.*)$""),regexextract(B223,""e(.*)$""),"""")"),"")</f>
        <v/>
      </c>
    </row>
    <row r="224">
      <c r="A224" s="80" t="s">
        <v>3834</v>
      </c>
      <c r="B224" s="80" t="s">
        <v>5212</v>
      </c>
      <c r="C224" s="80"/>
      <c r="D224" s="18" t="str">
        <f t="shared" si="1"/>
        <v/>
      </c>
      <c r="E224" s="60" t="str">
        <f>VLOOKUP($A224,nist_names_ids!A:B,2,false)</f>
        <v>munsmue</v>
      </c>
      <c r="F224" s="61">
        <f>countif(Constants!A:A,E224)</f>
        <v>1</v>
      </c>
      <c r="G224" s="60" t="str">
        <f>IFERROR(__xludf.DUMMYFUNCTION("REGEXREPLACE(substitute(substitute(B224,"" "",""""),""..."",""""),""\(.*\)"","""")"),"1.04066882e-3")</f>
        <v>1.04066882e-3</v>
      </c>
      <c r="H224" s="62">
        <f t="shared" si="2"/>
        <v>0.00104066882</v>
      </c>
      <c r="I224" s="60" t="str">
        <f>IFERROR(__xludf.DUMMYFUNCTION("if(regexmatch($B224,""\(""),CONCATENATE(regexreplace(REGEXREPLACE(substitute(left($B224,find(""("",$B224)-1),"" "",""""),""\d"",""0""),""[-0]*\."",""0.""), REGEXEXTRACT($B224,""\((.*)\)""),TRIM(REGEXEXTRACT($B224,""\)(.*)""))),"""")"),"0.0000000025e-3")</f>
        <v>0.0000000025e-3</v>
      </c>
      <c r="J224" s="62">
        <f t="shared" si="3"/>
        <v>0</v>
      </c>
      <c r="K224" s="62" t="b">
        <f t="shared" si="4"/>
        <v>0</v>
      </c>
      <c r="L224" s="62" t="b">
        <f t="shared" si="5"/>
        <v>0</v>
      </c>
      <c r="M224" s="60" t="str">
        <f>IFERROR(__xludf.DUMMYFUNCTION("if(regexmatch(B224,""e(.*)$""),regexextract(B224,""e(.*)$""),"""")"),"-3")</f>
        <v>-3</v>
      </c>
    </row>
    <row r="225">
      <c r="A225" s="80" t="s">
        <v>2448</v>
      </c>
      <c r="B225" s="80" t="s">
        <v>5458</v>
      </c>
      <c r="C225" s="80"/>
      <c r="D225" s="18" t="str">
        <f t="shared" si="1"/>
        <v/>
      </c>
      <c r="E225" s="60" t="str">
        <f>VLOOKUP($A225,nist_names_ids!A:B,2,false)</f>
        <v>mnsme</v>
      </c>
      <c r="F225" s="61">
        <f>countif(Constants!A:A,E225)</f>
        <v>1</v>
      </c>
      <c r="G225" s="60" t="str">
        <f>IFERROR(__xludf.DUMMYFUNCTION("REGEXREPLACE(substitute(substitute(B225,"" "",""""),""..."",""""),""\(.*\)"","""")"),"1838.6836550")</f>
        <v>1838.6836550</v>
      </c>
      <c r="H225" s="62">
        <f t="shared" si="2"/>
        <v>1838.683655</v>
      </c>
      <c r="I225" s="60" t="str">
        <f>IFERROR(__xludf.DUMMYFUNCTION("if(regexmatch($B225,""\(""),CONCATENATE(regexreplace(REGEXREPLACE(substitute(left($B225,find(""("",$B225)-1),"" "",""""),""\d"",""0""),""[-0]*\."",""0.""), REGEXEXTRACT($B225,""\((.*)\)""),TRIM(REGEXEXTRACT($B225,""\)(.*)""))),"""")"),"0.000000040")</f>
        <v>0.000000040</v>
      </c>
      <c r="J225" s="62">
        <f t="shared" si="3"/>
        <v>0.00000004</v>
      </c>
      <c r="K225" s="62" t="b">
        <f t="shared" si="4"/>
        <v>0</v>
      </c>
      <c r="L225" s="62" t="b">
        <f t="shared" si="5"/>
        <v>0</v>
      </c>
      <c r="M225" s="60" t="str">
        <f>IFERROR(__xludf.DUMMYFUNCTION("if(regexmatch(B225,""e(.*)$""),regexextract(B225,""e(.*)$""),"""")"),"")</f>
        <v/>
      </c>
    </row>
    <row r="226">
      <c r="A226" s="80" t="s">
        <v>2513</v>
      </c>
      <c r="B226" s="80" t="s">
        <v>5460</v>
      </c>
      <c r="C226" s="80"/>
      <c r="D226" s="18" t="str">
        <f t="shared" si="1"/>
        <v/>
      </c>
      <c r="E226" s="60" t="str">
        <f>VLOOKUP($A226,nist_names_ids!A:B,2,false)</f>
        <v>mnsmmu</v>
      </c>
      <c r="F226" s="61">
        <f>countif(Constants!A:A,E226)</f>
        <v>1</v>
      </c>
      <c r="G226" s="60" t="str">
        <f>IFERROR(__xludf.DUMMYFUNCTION("REGEXREPLACE(substitute(substitute(B226,"" "",""""),""..."",""""),""\(.*\)"","""")"),"8.89248478")</f>
        <v>8.89248478</v>
      </c>
      <c r="H226" s="62">
        <f t="shared" si="2"/>
        <v>8.89248478</v>
      </c>
      <c r="I226" s="60" t="str">
        <f>IFERROR(__xludf.DUMMYFUNCTION("if(regexmatch($B226,""\(""),CONCATENATE(regexreplace(REGEXREPLACE(substitute(left($B226,find(""("",$B226)-1),"" "",""""),""\d"",""0""),""[-0]*\."",""0.""), REGEXEXTRACT($B226,""\((.*)\)""),TRIM(REGEXEXTRACT($B226,""\)(.*)""))),"""")"),"0.0000000027")</f>
        <v>0.0000000027</v>
      </c>
      <c r="J226" s="62">
        <f t="shared" si="3"/>
        <v>0.0000000027</v>
      </c>
      <c r="K226" s="62" t="b">
        <f t="shared" si="4"/>
        <v>0</v>
      </c>
      <c r="L226" s="62" t="b">
        <f t="shared" si="5"/>
        <v>0</v>
      </c>
      <c r="M226" s="60" t="str">
        <f>IFERROR(__xludf.DUMMYFUNCTION("if(regexmatch(B226,""e(.*)$""),regexextract(B226,""e(.*)$""),"""")"),"")</f>
        <v/>
      </c>
    </row>
    <row r="227">
      <c r="A227" s="80" t="s">
        <v>3868</v>
      </c>
      <c r="B227" s="80" t="s">
        <v>5221</v>
      </c>
      <c r="C227" s="80"/>
      <c r="D227" s="18" t="str">
        <f t="shared" si="1"/>
        <v/>
      </c>
      <c r="E227" s="60" t="str">
        <f>VLOOKUP($A227,nist_names_ids!A:B,2,false)</f>
        <v>munsmup</v>
      </c>
      <c r="F227" s="61">
        <f>countif(Constants!A:A,E227)</f>
        <v>1</v>
      </c>
      <c r="G227" s="60" t="str">
        <f>IFERROR(__xludf.DUMMYFUNCTION("REGEXREPLACE(substitute(substitute(B227,"" "",""""),""..."",""""),""\(.*\)"","""")"),"-0.68497934")</f>
        <v>-0.68497934</v>
      </c>
      <c r="H227" s="62">
        <f t="shared" si="2"/>
        <v>-0.68497934</v>
      </c>
      <c r="I227" s="60" t="str">
        <f>IFERROR(__xludf.DUMMYFUNCTION("if(regexmatch($B227,""\(""),CONCATENATE(regexreplace(REGEXREPLACE(substitute(left($B227,find(""("",$B227)-1),"" "",""""),""\d"",""0""),""[-0]*\."",""0.""), REGEXEXTRACT($B227,""\((.*)\)""),TRIM(REGEXEXTRACT($B227,""\)(.*)""))),"""")"),"0.0000000016")</f>
        <v>0.0000000016</v>
      </c>
      <c r="J227" s="62">
        <f t="shared" si="3"/>
        <v>0.0000000016</v>
      </c>
      <c r="K227" s="62" t="b">
        <f t="shared" si="4"/>
        <v>0</v>
      </c>
      <c r="L227" s="62" t="b">
        <f t="shared" si="5"/>
        <v>0</v>
      </c>
      <c r="M227" s="60" t="str">
        <f>IFERROR(__xludf.DUMMYFUNCTION("if(regexmatch(B227,""e(.*)$""),regexextract(B227,""e(.*)$""),"""")"),"")</f>
        <v/>
      </c>
    </row>
    <row r="228">
      <c r="A228" s="80" t="s">
        <v>2544</v>
      </c>
      <c r="B228" s="80" t="s">
        <v>5463</v>
      </c>
      <c r="C228" s="80"/>
      <c r="D228" s="18" t="str">
        <f t="shared" si="1"/>
        <v/>
      </c>
      <c r="E228" s="60" t="str">
        <f>VLOOKUP($A228,nist_names_ids!A:B,2,false)</f>
        <v>mnsmp</v>
      </c>
      <c r="F228" s="61">
        <f>countif(Constants!A:A,E228)</f>
        <v>1</v>
      </c>
      <c r="G228" s="60" t="str">
        <f>IFERROR(__xludf.DUMMYFUNCTION("REGEXREPLACE(substitute(substitute(B228,"" "",""""),""..."",""""),""\(.*\)"","""")"),"1.00137841887")</f>
        <v>1.00137841887</v>
      </c>
      <c r="H228" s="62">
        <f t="shared" si="2"/>
        <v>1.001378419</v>
      </c>
      <c r="I228" s="60" t="str">
        <f>IFERROR(__xludf.DUMMYFUNCTION("if(regexmatch($B228,""\(""),CONCATENATE(regexreplace(REGEXREPLACE(substitute(left($B228,find(""("",$B228)-1),"" "",""""),""\d"",""0""),""[-0]*\."",""0.""), REGEXEXTRACT($B228,""\((.*)\)""),TRIM(REGEXEXTRACT($B228,""\)(.*)""))),"""")"),"0.0000000000058")</f>
        <v>0.0000000000058</v>
      </c>
      <c r="J228" s="62">
        <f t="shared" si="3"/>
        <v>0</v>
      </c>
      <c r="K228" s="62" t="b">
        <f t="shared" si="4"/>
        <v>0</v>
      </c>
      <c r="L228" s="62" t="b">
        <f t="shared" si="5"/>
        <v>0</v>
      </c>
      <c r="M228" s="60" t="str">
        <f>IFERROR(__xludf.DUMMYFUNCTION("if(regexmatch(B228,""e(.*)$""),regexextract(B228,""e(.*)$""),"""")"),"")</f>
        <v/>
      </c>
    </row>
    <row r="229">
      <c r="A229" s="80" t="s">
        <v>2551</v>
      </c>
      <c r="B229" s="80" t="s">
        <v>5465</v>
      </c>
      <c r="C229" s="80"/>
      <c r="D229" s="18" t="str">
        <f t="shared" si="1"/>
        <v/>
      </c>
      <c r="E229" s="60" t="str">
        <f>VLOOKUP($A229,nist_names_ids!A:B,2,false)</f>
        <v>mnsmtau</v>
      </c>
      <c r="F229" s="61">
        <f>countif(Constants!A:A,E229)</f>
        <v>1</v>
      </c>
      <c r="G229" s="60" t="str">
        <f>IFERROR(__xludf.DUMMYFUNCTION("REGEXREPLACE(substitute(substitute(B229,"" "",""""),""..."",""""),""\(.*\)"","""")"),"0.528722")</f>
        <v>0.528722</v>
      </c>
      <c r="H229" s="62">
        <f t="shared" si="2"/>
        <v>0.528722</v>
      </c>
      <c r="I229" s="60" t="str">
        <f>IFERROR(__xludf.DUMMYFUNCTION("if(regexmatch($B229,""\(""),CONCATENATE(regexreplace(REGEXREPLACE(substitute(left($B229,find(""("",$B229)-1),"" "",""""),""\d"",""0""),""[-0]*\."",""0.""), REGEXEXTRACT($B229,""\((.*)\)""),TRIM(REGEXEXTRACT($B229,""\)(.*)""))),"""")"),"0.00000086")</f>
        <v>0.00000086</v>
      </c>
      <c r="J229" s="62">
        <f t="shared" si="3"/>
        <v>0.00000086</v>
      </c>
      <c r="K229" s="62" t="b">
        <f t="shared" si="4"/>
        <v>0</v>
      </c>
      <c r="L229" s="62" t="b">
        <f t="shared" si="5"/>
        <v>0</v>
      </c>
      <c r="M229" s="60" t="str">
        <f>IFERROR(__xludf.DUMMYFUNCTION("if(regexmatch(B229,""e(.*)$""),regexextract(B229,""e(.*)$""),"""")"),"")</f>
        <v/>
      </c>
    </row>
    <row r="230">
      <c r="A230" s="80" t="s">
        <v>2558</v>
      </c>
      <c r="B230" s="80" t="s">
        <v>5467</v>
      </c>
      <c r="C230" s="80" t="s">
        <v>5227</v>
      </c>
      <c r="D230" s="18" t="str">
        <f t="shared" si="1"/>
        <v>m^3 kg^-1 s^-2</v>
      </c>
      <c r="E230" s="60" t="str">
        <f>VLOOKUP($A230,nist_names_ids!A:B,2,false)</f>
        <v>bg</v>
      </c>
      <c r="F230" s="61">
        <f>countif(Constants!A:A,E230)</f>
        <v>1</v>
      </c>
      <c r="G230" s="60" t="str">
        <f>IFERROR(__xludf.DUMMYFUNCTION("REGEXREPLACE(substitute(substitute(B230,"" "",""""),""..."",""""),""\(.*\)"","""")"),"6.673e-11")</f>
        <v>6.673e-11</v>
      </c>
      <c r="H230" s="62">
        <f t="shared" si="2"/>
        <v>0</v>
      </c>
      <c r="I230" s="60" t="str">
        <f>IFERROR(__xludf.DUMMYFUNCTION("if(regexmatch($B230,""\(""),CONCATENATE(regexreplace(REGEXREPLACE(substitute(left($B230,find(""("",$B230)-1),"" "",""""),""\d"",""0""),""[-0]*\."",""0.""), REGEXEXTRACT($B230,""\((.*)\)""),TRIM(REGEXEXTRACT($B230,""\)(.*)""))),"""")"),"0.00010e-11")</f>
        <v>0.00010e-11</v>
      </c>
      <c r="J230" s="62">
        <f t="shared" si="3"/>
        <v>0</v>
      </c>
      <c r="K230" s="62" t="b">
        <f t="shared" si="4"/>
        <v>0</v>
      </c>
      <c r="L230" s="62" t="b">
        <f t="shared" si="5"/>
        <v>0</v>
      </c>
      <c r="M230" s="60" t="str">
        <f>IFERROR(__xludf.DUMMYFUNCTION("if(regexmatch(B230,""e(.*)$""),regexextract(B230,""e(.*)$""),"""")"),"-11")</f>
        <v>-11</v>
      </c>
    </row>
    <row r="231">
      <c r="A231" s="80" t="s">
        <v>2566</v>
      </c>
      <c r="B231" s="80" t="s">
        <v>5468</v>
      </c>
      <c r="C231" s="80" t="s">
        <v>5230</v>
      </c>
      <c r="D231" s="18" t="str">
        <f t="shared" si="1"/>
        <v>(GeV/c^2)^-2</v>
      </c>
      <c r="E231" s="60" t="str">
        <f>VLOOKUP($A231,nist_names_ids!A:B,2,false)</f>
        <v>bgspu</v>
      </c>
      <c r="F231" s="61">
        <f>countif(Constants!A:A,E231)</f>
        <v>1</v>
      </c>
      <c r="G231" s="60" t="str">
        <f>IFERROR(__xludf.DUMMYFUNCTION("REGEXREPLACE(substitute(substitute(B231,"" "",""""),""..."",""""),""\(.*\)"","""")"),"6.707e-39")</f>
        <v>6.707e-39</v>
      </c>
      <c r="H231" s="62">
        <f t="shared" si="2"/>
        <v>0</v>
      </c>
      <c r="I231" s="60" t="str">
        <f>IFERROR(__xludf.DUMMYFUNCTION("if(regexmatch($B231,""\(""),CONCATENATE(regexreplace(REGEXREPLACE(substitute(left($B231,find(""("",$B231)-1),"" "",""""),""\d"",""0""),""[-0]*\."",""0.""), REGEXEXTRACT($B231,""\((.*)\)""),TRIM(REGEXEXTRACT($B231,""\)(.*)""))),"""")"),"0.00010e-39")</f>
        <v>0.00010e-39</v>
      </c>
      <c r="J231" s="62">
        <f t="shared" si="3"/>
        <v>0</v>
      </c>
      <c r="K231" s="62" t="b">
        <f t="shared" si="4"/>
        <v>0</v>
      </c>
      <c r="L231" s="62" t="b">
        <f t="shared" si="5"/>
        <v>0</v>
      </c>
      <c r="M231" s="60" t="str">
        <f>IFERROR(__xludf.DUMMYFUNCTION("if(regexmatch(B231,""e(.*)$""),regexextract(B231,""e(.*)$""),"""")"),"-39")</f>
        <v>-39</v>
      </c>
    </row>
    <row r="232">
      <c r="A232" s="80" t="s">
        <v>2572</v>
      </c>
      <c r="B232" s="80" t="s">
        <v>5470</v>
      </c>
      <c r="C232" s="80" t="s">
        <v>4421</v>
      </c>
      <c r="D232" s="18" t="str">
        <f t="shared" si="1"/>
        <v>J T^-1</v>
      </c>
      <c r="E232" s="60" t="str">
        <f>VLOOKUP($A232,nist_names_ids!A:B,2,false)</f>
        <v>mun</v>
      </c>
      <c r="F232" s="61">
        <f>countif(Constants!A:A,E232)</f>
        <v>1</v>
      </c>
      <c r="G232" s="60" t="str">
        <f>IFERROR(__xludf.DUMMYFUNCTION("REGEXREPLACE(substitute(substitute(B232,"" "",""""),""..."",""""),""\(.*\)"","""")"),"5.05078317e-27")</f>
        <v>5.05078317e-27</v>
      </c>
      <c r="H232" s="62">
        <f t="shared" si="2"/>
        <v>0</v>
      </c>
      <c r="I232" s="60" t="str">
        <f>IFERROR(__xludf.DUMMYFUNCTION("if(regexmatch($B232,""\(""),CONCATENATE(regexreplace(REGEXREPLACE(substitute(left($B232,find(""("",$B232)-1),"" "",""""),""\d"",""0""),""[-0]*\."",""0.""), REGEXEXTRACT($B232,""\((.*)\)""),TRIM(REGEXEXTRACT($B232,""\)(.*)""))),"""")"),"0.0000000020e-27")</f>
        <v>0.0000000020e-27</v>
      </c>
      <c r="J232" s="62">
        <f t="shared" si="3"/>
        <v>0</v>
      </c>
      <c r="K232" s="62" t="b">
        <f t="shared" si="4"/>
        <v>0</v>
      </c>
      <c r="L232" s="62" t="b">
        <f t="shared" si="5"/>
        <v>0</v>
      </c>
      <c r="M232" s="60" t="str">
        <f>IFERROR(__xludf.DUMMYFUNCTION("if(regexmatch(B232,""e(.*)$""),regexextract(B232,""e(.*)$""),"""")"),"-27")</f>
        <v>-27</v>
      </c>
    </row>
    <row r="233">
      <c r="A233" s="80" t="s">
        <v>2586</v>
      </c>
      <c r="B233" s="80" t="s">
        <v>5472</v>
      </c>
      <c r="C233" s="80" t="s">
        <v>4461</v>
      </c>
      <c r="D233" s="18" t="str">
        <f t="shared" si="1"/>
        <v>K T^-1</v>
      </c>
      <c r="E233" s="60" t="str">
        <f>VLOOKUP($A233,nist_names_ids!A:B,2,false)</f>
        <v>munskk</v>
      </c>
      <c r="F233" s="61">
        <f>countif(Constants!A:A,E233)</f>
        <v>1</v>
      </c>
      <c r="G233" s="60" t="str">
        <f>IFERROR(__xludf.DUMMYFUNCTION("REGEXREPLACE(substitute(substitute(B233,"" "",""""),""..."",""""),""\(.*\)"","""")"),"3.6582638e-4")</f>
        <v>3.6582638e-4</v>
      </c>
      <c r="H233" s="62">
        <f t="shared" si="2"/>
        <v>0.00036582638</v>
      </c>
      <c r="I233" s="60" t="str">
        <f>IFERROR(__xludf.DUMMYFUNCTION("if(regexmatch($B233,""\(""),CONCATENATE(regexreplace(REGEXREPLACE(substitute(left($B233,find(""("",$B233)-1),"" "",""""),""\d"",""0""),""[-0]*\."",""0.""), REGEXEXTRACT($B233,""\((.*)\)""),TRIM(REGEXEXTRACT($B233,""\)(.*)""))),"""")"),"0.000000064e-4")</f>
        <v>0.000000064e-4</v>
      </c>
      <c r="J233" s="62">
        <f t="shared" si="3"/>
        <v>0</v>
      </c>
      <c r="K233" s="62" t="b">
        <f t="shared" si="4"/>
        <v>0</v>
      </c>
      <c r="L233" s="62" t="b">
        <f t="shared" si="5"/>
        <v>0</v>
      </c>
      <c r="M233" s="60" t="str">
        <f>IFERROR(__xludf.DUMMYFUNCTION("if(regexmatch(B233,""e(.*)$""),regexextract(B233,""e(.*)$""),"""")"),"-4")</f>
        <v>-4</v>
      </c>
    </row>
    <row r="234">
      <c r="A234" s="80" t="s">
        <v>2589</v>
      </c>
      <c r="B234" s="80" t="s">
        <v>5474</v>
      </c>
      <c r="C234" s="80" t="s">
        <v>4602</v>
      </c>
      <c r="D234" s="18" t="str">
        <f t="shared" si="1"/>
        <v>MHz T^-1</v>
      </c>
      <c r="E234" s="60" t="str">
        <f>VLOOKUP($A234,nist_names_ids!A:B,2,false)</f>
        <v>munshhz</v>
      </c>
      <c r="F234" s="61">
        <f>countif(Constants!A:A,E234)</f>
        <v>1</v>
      </c>
      <c r="G234" s="60" t="str">
        <f>IFERROR(__xludf.DUMMYFUNCTION("REGEXREPLACE(substitute(substitute(B234,"" "",""""),""..."",""""),""\(.*\)"","""")"),"7.62259396")</f>
        <v>7.62259396</v>
      </c>
      <c r="H234" s="62">
        <f t="shared" si="2"/>
        <v>7.62259396</v>
      </c>
      <c r="I234" s="60" t="str">
        <f>IFERROR(__xludf.DUMMYFUNCTION("if(regexmatch($B234,""\(""),CONCATENATE(regexreplace(REGEXREPLACE(substitute(left($B234,find(""("",$B234)-1),"" "",""""),""\d"",""0""),""[-0]*\."",""0.""), REGEXEXTRACT($B234,""\((.*)\)""),TRIM(REGEXEXTRACT($B234,""\)(.*)""))),"""")"),"0.0000000031")</f>
        <v>0.0000000031</v>
      </c>
      <c r="J234" s="62">
        <f t="shared" si="3"/>
        <v>0.0000000031</v>
      </c>
      <c r="K234" s="62" t="b">
        <f t="shared" si="4"/>
        <v>0</v>
      </c>
      <c r="L234" s="62" t="b">
        <f t="shared" si="5"/>
        <v>0</v>
      </c>
      <c r="M234" s="60" t="str">
        <f>IFERROR(__xludf.DUMMYFUNCTION("if(regexmatch(B234,""e(.*)$""),regexextract(B234,""e(.*)$""),"""")"),"")</f>
        <v/>
      </c>
    </row>
    <row r="235">
      <c r="A235" s="80" t="s">
        <v>2578</v>
      </c>
      <c r="B235" s="80" t="s">
        <v>5476</v>
      </c>
      <c r="C235" s="80" t="s">
        <v>4469</v>
      </c>
      <c r="D235" s="18" t="str">
        <f t="shared" si="1"/>
        <v>eV T^-1</v>
      </c>
      <c r="E235" s="60" t="str">
        <f>VLOOKUP($A235,nist_names_ids!A:B,2,false)</f>
        <v>munev</v>
      </c>
      <c r="F235" s="61">
        <f>countif(Constants!A:A,E235)</f>
        <v>1</v>
      </c>
      <c r="G235" s="60" t="str">
        <f>IFERROR(__xludf.DUMMYFUNCTION("REGEXREPLACE(substitute(substitute(B235,"" "",""""),""..."",""""),""\(.*\)"","""")"),"3.152451238e-8")</f>
        <v>3.152451238e-8</v>
      </c>
      <c r="H235" s="62">
        <f t="shared" si="2"/>
        <v>0.00000003152451238</v>
      </c>
      <c r="I235" s="60" t="str">
        <f>IFERROR(__xludf.DUMMYFUNCTION("if(regexmatch($B235,""\(""),CONCATENATE(regexreplace(REGEXREPLACE(substitute(left($B235,find(""("",$B235)-1),"" "",""""),""\d"",""0""),""[-0]*\."",""0.""), REGEXEXTRACT($B235,""\((.*)\)""),TRIM(REGEXEXTRACT($B235,""\)(.*)""))),"""")"),"0.00000000024e-8")</f>
        <v>0.00000000024e-8</v>
      </c>
      <c r="J235" s="62">
        <f t="shared" si="3"/>
        <v>0</v>
      </c>
      <c r="K235" s="62" t="b">
        <f t="shared" si="4"/>
        <v>0</v>
      </c>
      <c r="L235" s="62" t="b">
        <f t="shared" si="5"/>
        <v>0</v>
      </c>
      <c r="M235" s="60" t="str">
        <f>IFERROR(__xludf.DUMMYFUNCTION("if(regexmatch(B235,""e(.*)$""),regexextract(B235,""e(.*)$""),"""")"),"-8")</f>
        <v>-8</v>
      </c>
    </row>
    <row r="236">
      <c r="A236" s="80" t="s">
        <v>3969</v>
      </c>
      <c r="B236" s="80" t="s">
        <v>5478</v>
      </c>
      <c r="C236" s="80" t="s">
        <v>4474</v>
      </c>
      <c r="D236" s="18" t="str">
        <f t="shared" si="1"/>
        <v>m^-1 T^-1</v>
      </c>
      <c r="E236" s="60" t="str">
        <f>VLOOKUP($A236,nist_names_ids!A:B,2,false)</f>
        <v>munshcminv</v>
      </c>
      <c r="F236" s="61">
        <f>countif(Constants!A:A,E236)</f>
        <v>1</v>
      </c>
      <c r="G236" s="60" t="str">
        <f>IFERROR(__xludf.DUMMYFUNCTION("REGEXREPLACE(substitute(substitute(B236,"" "",""""),""..."",""""),""\(.*\)"","""")"),"2.54262366e-2")</f>
        <v>2.54262366e-2</v>
      </c>
      <c r="H236" s="62">
        <f t="shared" si="2"/>
        <v>0.0254262366</v>
      </c>
      <c r="I236" s="60" t="str">
        <f>IFERROR(__xludf.DUMMYFUNCTION("if(regexmatch($B236,""\(""),CONCATENATE(regexreplace(REGEXREPLACE(substitute(left($B236,find(""("",$B236)-1),"" "",""""),""\d"",""0""),""[-0]*\."",""0.""), REGEXEXTRACT($B236,""\((.*)\)""),TRIM(REGEXEXTRACT($B236,""\)(.*)""))),"""")"),"0.0000000010e-2")</f>
        <v>0.0000000010e-2</v>
      </c>
      <c r="J236" s="62">
        <f t="shared" si="3"/>
        <v>0</v>
      </c>
      <c r="K236" s="62" t="b">
        <f t="shared" si="4"/>
        <v>0</v>
      </c>
      <c r="L236" s="62" t="b">
        <f t="shared" si="5"/>
        <v>0</v>
      </c>
      <c r="M236" s="60" t="str">
        <f>IFERROR(__xludf.DUMMYFUNCTION("if(regexmatch(B236,""e(.*)$""),regexextract(B236,""e(.*)$""),"""")"),"-2")</f>
        <v>-2</v>
      </c>
    </row>
    <row r="237">
      <c r="A237" s="80" t="s">
        <v>2595</v>
      </c>
      <c r="B237" s="80" t="s">
        <v>5242</v>
      </c>
      <c r="C237" s="80" t="s">
        <v>714</v>
      </c>
      <c r="D237" s="18" t="str">
        <f t="shared" si="1"/>
        <v>J s</v>
      </c>
      <c r="E237" s="60" t="str">
        <f>VLOOKUP($A237,nist_names_ids!A:B,2,false)</f>
        <v>h</v>
      </c>
      <c r="F237" s="61">
        <f>countif(Constants!A:A,E237)</f>
        <v>1</v>
      </c>
      <c r="G237" s="60" t="str">
        <f>IFERROR(__xludf.DUMMYFUNCTION("REGEXREPLACE(substitute(substitute(B237,"" "",""""),""..."",""""),""\(.*\)"","""")"),"6.62606876e-34")</f>
        <v>6.62606876e-34</v>
      </c>
      <c r="H237" s="62">
        <f t="shared" si="2"/>
        <v>0</v>
      </c>
      <c r="I237" s="60" t="str">
        <f>IFERROR(__xludf.DUMMYFUNCTION("if(regexmatch($B237,""\(""),CONCATENATE(regexreplace(REGEXREPLACE(substitute(left($B237,find(""("",$B237)-1),"" "",""""),""\d"",""0""),""[-0]*\."",""0.""), REGEXEXTRACT($B237,""\((.*)\)""),TRIM(REGEXEXTRACT($B237,""\)(.*)""))),"""")"),"0.0000000052e-34")</f>
        <v>0.0000000052e-34</v>
      </c>
      <c r="J237" s="62">
        <f t="shared" si="3"/>
        <v>0</v>
      </c>
      <c r="K237" s="62" t="b">
        <f t="shared" si="4"/>
        <v>0</v>
      </c>
      <c r="L237" s="62" t="b">
        <f t="shared" si="5"/>
        <v>0</v>
      </c>
      <c r="M237" s="60" t="str">
        <f>IFERROR(__xludf.DUMMYFUNCTION("if(regexmatch(B237,""e(.*)$""),regexextract(B237,""e(.*)$""),"""")"),"-34")</f>
        <v>-34</v>
      </c>
    </row>
    <row r="238">
      <c r="A238" s="80" t="s">
        <v>3997</v>
      </c>
      <c r="B238" s="80" t="s">
        <v>5234</v>
      </c>
      <c r="C238" s="80" t="s">
        <v>2402</v>
      </c>
      <c r="D238" s="18" t="str">
        <f t="shared" si="1"/>
        <v>eV s</v>
      </c>
      <c r="E238" s="60" t="str">
        <f>VLOOKUP($A238,nist_names_ids!A:B,2,false)</f>
        <v>hev</v>
      </c>
      <c r="F238" s="61">
        <f>countif(Constants!A:A,E238)</f>
        <v>1</v>
      </c>
      <c r="G238" s="60" t="str">
        <f>IFERROR(__xludf.DUMMYFUNCTION("REGEXREPLACE(substitute(substitute(B238,"" "",""""),""..."",""""),""\(.*\)"","""")"),"4.13566727e-15")</f>
        <v>4.13566727e-15</v>
      </c>
      <c r="H238" s="62">
        <f t="shared" si="2"/>
        <v>0</v>
      </c>
      <c r="I238" s="60" t="str">
        <f>IFERROR(__xludf.DUMMYFUNCTION("if(regexmatch($B238,""\(""),CONCATENATE(regexreplace(REGEXREPLACE(substitute(left($B238,find(""("",$B238)-1),"" "",""""),""\d"",""0""),""[-0]*\."",""0.""), REGEXEXTRACT($B238,""\((.*)\)""),TRIM(REGEXEXTRACT($B238,""\)(.*)""))),"""")"),"0.0000000016e-15")</f>
        <v>0.0000000016e-15</v>
      </c>
      <c r="J238" s="62">
        <f t="shared" si="3"/>
        <v>0</v>
      </c>
      <c r="K238" s="62" t="b">
        <f t="shared" si="4"/>
        <v>0</v>
      </c>
      <c r="L238" s="62" t="b">
        <f t="shared" si="5"/>
        <v>0</v>
      </c>
      <c r="M238" s="60" t="str">
        <f>IFERROR(__xludf.DUMMYFUNCTION("if(regexmatch(B238,""e(.*)$""),regexextract(B238,""e(.*)$""),"""")"),"-15")</f>
        <v>-15</v>
      </c>
    </row>
    <row r="239">
      <c r="A239" s="80" t="s">
        <v>3998</v>
      </c>
      <c r="B239" s="80" t="s">
        <v>4951</v>
      </c>
      <c r="C239" s="80" t="s">
        <v>714</v>
      </c>
      <c r="D239" s="18" t="str">
        <f t="shared" si="1"/>
        <v>J s</v>
      </c>
      <c r="E239" s="60" t="str">
        <f>VLOOKUP($A239,nist_names_ids!A:B,2,false)</f>
        <v>hbar</v>
      </c>
      <c r="F239" s="61">
        <f>countif(Constants!A:A,E239)</f>
        <v>1</v>
      </c>
      <c r="G239" s="60" t="str">
        <f>IFERROR(__xludf.DUMMYFUNCTION("REGEXREPLACE(substitute(substitute(B239,"" "",""""),""..."",""""),""\(.*\)"","""")"),"1.054571596e-34")</f>
        <v>1.054571596e-34</v>
      </c>
      <c r="H239" s="62">
        <f t="shared" si="2"/>
        <v>0</v>
      </c>
      <c r="I239" s="60" t="str">
        <f>IFERROR(__xludf.DUMMYFUNCTION("if(regexmatch($B239,""\(""),CONCATENATE(regexreplace(REGEXREPLACE(substitute(left($B239,find(""("",$B239)-1),"" "",""""),""\d"",""0""),""[-0]*\."",""0.""), REGEXEXTRACT($B239,""\((.*)\)""),TRIM(REGEXEXTRACT($B239,""\)(.*)""))),"""")"),"0.00000000082e-34")</f>
        <v>0.00000000082e-34</v>
      </c>
      <c r="J239" s="62">
        <f t="shared" si="3"/>
        <v>0</v>
      </c>
      <c r="K239" s="62" t="b">
        <f t="shared" si="4"/>
        <v>0</v>
      </c>
      <c r="L239" s="62" t="b">
        <f t="shared" si="5"/>
        <v>0</v>
      </c>
      <c r="M239" s="60" t="str">
        <f>IFERROR(__xludf.DUMMYFUNCTION("if(regexmatch(B239,""e(.*)$""),regexextract(B239,""e(.*)$""),"""")"),"-34")</f>
        <v>-34</v>
      </c>
    </row>
    <row r="240">
      <c r="A240" s="80" t="s">
        <v>3999</v>
      </c>
      <c r="B240" s="80" t="s">
        <v>5415</v>
      </c>
      <c r="C240" s="80" t="s">
        <v>2402</v>
      </c>
      <c r="D240" s="18" t="str">
        <f t="shared" si="1"/>
        <v>eV s</v>
      </c>
      <c r="E240" s="60" t="str">
        <f>VLOOKUP($A240,nist_names_ids!A:B,2,false)</f>
        <v>hbarev</v>
      </c>
      <c r="F240" s="61">
        <f>countif(Constants!A:A,E240)</f>
        <v>1</v>
      </c>
      <c r="G240" s="60" t="str">
        <f>IFERROR(__xludf.DUMMYFUNCTION("REGEXREPLACE(substitute(substitute(B240,"" "",""""),""..."",""""),""\(.*\)"","""")"),"6.58211889e-16")</f>
        <v>6.58211889e-16</v>
      </c>
      <c r="H240" s="62">
        <f t="shared" si="2"/>
        <v>0</v>
      </c>
      <c r="I240" s="60" t="str">
        <f>IFERROR(__xludf.DUMMYFUNCTION("if(regexmatch($B240,""\(""),CONCATENATE(regexreplace(REGEXREPLACE(substitute(left($B240,find(""("",$B240)-1),"" "",""""),""\d"",""0""),""[-0]*\."",""0.""), REGEXEXTRACT($B240,""\((.*)\)""),TRIM(REGEXEXTRACT($B240,""\)(.*)""))),"""")"),"0.0000000026e-16")</f>
        <v>0.0000000026e-16</v>
      </c>
      <c r="J240" s="62">
        <f t="shared" si="3"/>
        <v>0</v>
      </c>
      <c r="K240" s="62" t="b">
        <f t="shared" si="4"/>
        <v>0</v>
      </c>
      <c r="L240" s="62" t="b">
        <f t="shared" si="5"/>
        <v>0</v>
      </c>
      <c r="M240" s="60" t="str">
        <f>IFERROR(__xludf.DUMMYFUNCTION("if(regexmatch(B240,""e(.*)$""),regexextract(B240,""e(.*)$""),"""")"),"-16")</f>
        <v>-16</v>
      </c>
    </row>
    <row r="241">
      <c r="A241" s="80" t="s">
        <v>2605</v>
      </c>
      <c r="B241" s="80" t="s">
        <v>5480</v>
      </c>
      <c r="C241" s="80" t="s">
        <v>381</v>
      </c>
      <c r="D241" s="18" t="str">
        <f t="shared" si="1"/>
        <v>m</v>
      </c>
      <c r="E241" s="60" t="str">
        <f>VLOOKUP($A241,nist_names_ids!A:B,2,false)</f>
        <v>plkl</v>
      </c>
      <c r="F241" s="61">
        <f>countif(Constants!A:A,E241)</f>
        <v>1</v>
      </c>
      <c r="G241" s="60" t="str">
        <f>IFERROR(__xludf.DUMMYFUNCTION("REGEXREPLACE(substitute(substitute(B241,"" "",""""),""..."",""""),""\(.*\)"","""")"),"1.6160e-35")</f>
        <v>1.6160e-35</v>
      </c>
      <c r="H241" s="62">
        <f t="shared" si="2"/>
        <v>0</v>
      </c>
      <c r="I241" s="60" t="str">
        <f>IFERROR(__xludf.DUMMYFUNCTION("if(regexmatch($B241,""\(""),CONCATENATE(regexreplace(REGEXREPLACE(substitute(left($B241,find(""("",$B241)-1),"" "",""""),""\d"",""0""),""[-0]*\."",""0.""), REGEXEXTRACT($B241,""\((.*)\)""),TRIM(REGEXEXTRACT($B241,""\)(.*)""))),"""")"),"0.000012e-35")</f>
        <v>0.000012e-35</v>
      </c>
      <c r="J241" s="62">
        <f t="shared" si="3"/>
        <v>0</v>
      </c>
      <c r="K241" s="62" t="b">
        <f t="shared" si="4"/>
        <v>0</v>
      </c>
      <c r="L241" s="62" t="b">
        <f t="shared" si="5"/>
        <v>0</v>
      </c>
      <c r="M241" s="60" t="str">
        <f>IFERROR(__xludf.DUMMYFUNCTION("if(regexmatch(B241,""e(.*)$""),regexextract(B241,""e(.*)$""),"""")"),"-35")</f>
        <v>-35</v>
      </c>
    </row>
    <row r="242">
      <c r="A242" s="80" t="s">
        <v>2608</v>
      </c>
      <c r="B242" s="80" t="s">
        <v>5483</v>
      </c>
      <c r="C242" s="80" t="s">
        <v>98</v>
      </c>
      <c r="D242" s="18" t="str">
        <f t="shared" si="1"/>
        <v>kg</v>
      </c>
      <c r="E242" s="60" t="str">
        <f>VLOOKUP($A242,nist_names_ids!A:B,2,false)</f>
        <v>plkm</v>
      </c>
      <c r="F242" s="61">
        <f>countif(Constants!A:A,E242)</f>
        <v>1</v>
      </c>
      <c r="G242" s="60" t="str">
        <f>IFERROR(__xludf.DUMMYFUNCTION("REGEXREPLACE(substitute(substitute(B242,"" "",""""),""..."",""""),""\(.*\)"","""")"),"2.1767e-8")</f>
        <v>2.1767e-8</v>
      </c>
      <c r="H242" s="62">
        <f t="shared" si="2"/>
        <v>0.000000021767</v>
      </c>
      <c r="I242" s="60" t="str">
        <f>IFERROR(__xludf.DUMMYFUNCTION("if(regexmatch($B242,""\(""),CONCATENATE(regexreplace(REGEXREPLACE(substitute(left($B242,find(""("",$B242)-1),"" "",""""),""\d"",""0""),""[-0]*\."",""0.""), REGEXEXTRACT($B242,""\((.*)\)""),TRIM(REGEXEXTRACT($B242,""\)(.*)""))),"""")"),"0.000016e-8")</f>
        <v>0.000016e-8</v>
      </c>
      <c r="J242" s="62">
        <f t="shared" si="3"/>
        <v>0</v>
      </c>
      <c r="K242" s="62" t="b">
        <f t="shared" si="4"/>
        <v>0</v>
      </c>
      <c r="L242" s="62" t="b">
        <f t="shared" si="5"/>
        <v>0</v>
      </c>
      <c r="M242" s="60" t="str">
        <f>IFERROR(__xludf.DUMMYFUNCTION("if(regexmatch(B242,""e(.*)$""),regexextract(B242,""e(.*)$""),"""")"),"-8")</f>
        <v>-8</v>
      </c>
    </row>
    <row r="243">
      <c r="A243" s="80" t="s">
        <v>2623</v>
      </c>
      <c r="B243" s="80" t="s">
        <v>5488</v>
      </c>
      <c r="C243" s="80" t="s">
        <v>520</v>
      </c>
      <c r="D243" s="18" t="str">
        <f t="shared" si="1"/>
        <v>s</v>
      </c>
      <c r="E243" s="60" t="str">
        <f>VLOOKUP($A243,nist_names_ids!A:B,2,false)</f>
        <v>plkt</v>
      </c>
      <c r="F243" s="61">
        <f>countif(Constants!A:A,E243)</f>
        <v>1</v>
      </c>
      <c r="G243" s="60" t="str">
        <f>IFERROR(__xludf.DUMMYFUNCTION("REGEXREPLACE(substitute(substitute(B243,"" "",""""),""..."",""""),""\(.*\)"","""")"),"5.3906e-44")</f>
        <v>5.3906e-44</v>
      </c>
      <c r="H243" s="62">
        <f t="shared" si="2"/>
        <v>0</v>
      </c>
      <c r="I243" s="60" t="str">
        <f>IFERROR(__xludf.DUMMYFUNCTION("if(regexmatch($B243,""\(""),CONCATENATE(regexreplace(REGEXREPLACE(substitute(left($B243,find(""("",$B243)-1),"" "",""""),""\d"",""0""),""[-0]*\."",""0.""), REGEXEXTRACT($B243,""\((.*)\)""),TRIM(REGEXEXTRACT($B243,""\)(.*)""))),"""")"),"0.000040e-44")</f>
        <v>0.000040e-44</v>
      </c>
      <c r="J243" s="62">
        <f t="shared" si="3"/>
        <v>0</v>
      </c>
      <c r="K243" s="62" t="b">
        <f t="shared" si="4"/>
        <v>0</v>
      </c>
      <c r="L243" s="62" t="b">
        <f t="shared" si="5"/>
        <v>0</v>
      </c>
      <c r="M243" s="60" t="str">
        <f>IFERROR(__xludf.DUMMYFUNCTION("if(regexmatch(B243,""e(.*)$""),regexextract(B243,""e(.*)$""),"""")"),"-44")</f>
        <v>-44</v>
      </c>
    </row>
    <row r="244">
      <c r="A244" s="80" t="s">
        <v>2633</v>
      </c>
      <c r="B244" s="80" t="s">
        <v>5490</v>
      </c>
      <c r="C244" s="80" t="s">
        <v>381</v>
      </c>
      <c r="D244" s="18" t="str">
        <f t="shared" si="1"/>
        <v>m</v>
      </c>
      <c r="E244" s="60" t="str">
        <f>VLOOKUP($A244,nist_names_ids!A:B,2,false)</f>
        <v>pcomwl</v>
      </c>
      <c r="F244" s="61">
        <f>countif(Constants!A:A,E244)</f>
        <v>1</v>
      </c>
      <c r="G244" s="60" t="str">
        <f>IFERROR(__xludf.DUMMYFUNCTION("REGEXREPLACE(substitute(substitute(B244,"" "",""""),""..."",""""),""\(.*\)"","""")"),"1.321409847e-15")</f>
        <v>1.321409847e-15</v>
      </c>
      <c r="H244" s="62">
        <f t="shared" si="2"/>
        <v>0</v>
      </c>
      <c r="I244" s="60" t="str">
        <f>IFERROR(__xludf.DUMMYFUNCTION("if(regexmatch($B244,""\(""),CONCATENATE(regexreplace(REGEXREPLACE(substitute(left($B244,find(""("",$B244)-1),"" "",""""),""\d"",""0""),""[-0]*\."",""0.""), REGEXEXTRACT($B244,""\((.*)\)""),TRIM(REGEXEXTRACT($B244,""\)(.*)""))),"""")"),"0.00000000010e-15")</f>
        <v>0.00000000010e-15</v>
      </c>
      <c r="J244" s="62">
        <f t="shared" si="3"/>
        <v>0</v>
      </c>
      <c r="K244" s="62" t="b">
        <f t="shared" si="4"/>
        <v>0</v>
      </c>
      <c r="L244" s="62" t="b">
        <f t="shared" si="5"/>
        <v>0</v>
      </c>
      <c r="M244" s="60" t="str">
        <f>IFERROR(__xludf.DUMMYFUNCTION("if(regexmatch(B244,""e(.*)$""),regexextract(B244,""e(.*)$""),"""")"),"-15")</f>
        <v>-15</v>
      </c>
    </row>
    <row r="245">
      <c r="A245" s="80" t="s">
        <v>4032</v>
      </c>
      <c r="B245" s="80" t="s">
        <v>5491</v>
      </c>
      <c r="C245" s="80" t="s">
        <v>381</v>
      </c>
      <c r="D245" s="18" t="str">
        <f t="shared" si="1"/>
        <v>m</v>
      </c>
      <c r="E245" s="60" t="str">
        <f>VLOOKUP($A245,nist_names_ids!A:B,2,false)</f>
        <v>pcomwlbar</v>
      </c>
      <c r="F245" s="61">
        <f>countif(Constants!A:A,E245)</f>
        <v>1</v>
      </c>
      <c r="G245" s="60" t="str">
        <f>IFERROR(__xludf.DUMMYFUNCTION("REGEXREPLACE(substitute(substitute(B245,"" "",""""),""..."",""""),""\(.*\)"","""")"),"0.2103089089e-15")</f>
        <v>0.2103089089e-15</v>
      </c>
      <c r="H245" s="62">
        <f t="shared" si="2"/>
        <v>0</v>
      </c>
      <c r="I245" s="60" t="str">
        <f>IFERROR(__xludf.DUMMYFUNCTION("if(regexmatch($B245,""\(""),CONCATENATE(regexreplace(REGEXREPLACE(substitute(left($B245,find(""("",$B245)-1),"" "",""""),""\d"",""0""),""[-0]*\."",""0.""), REGEXEXTRACT($B245,""\((.*)\)""),TRIM(REGEXEXTRACT($B245,""\)(.*)""))),"""")"),"0.000000000016e-15")</f>
        <v>0.000000000016e-15</v>
      </c>
      <c r="J245" s="62">
        <f t="shared" si="3"/>
        <v>0</v>
      </c>
      <c r="K245" s="62" t="b">
        <f t="shared" si="4"/>
        <v>0</v>
      </c>
      <c r="L245" s="62" t="b">
        <f t="shared" si="5"/>
        <v>0</v>
      </c>
      <c r="M245" s="60" t="str">
        <f>IFERROR(__xludf.DUMMYFUNCTION("if(regexmatch(B245,""e(.*)$""),regexextract(B245,""e(.*)$""),"""")"),"-15")</f>
        <v>-15</v>
      </c>
    </row>
    <row r="246">
      <c r="A246" s="80" t="s">
        <v>2628</v>
      </c>
      <c r="B246" s="80" t="s">
        <v>5493</v>
      </c>
      <c r="C246" s="80" t="s">
        <v>4587</v>
      </c>
      <c r="D246" s="18" t="str">
        <f t="shared" si="1"/>
        <v>C kg^-1</v>
      </c>
      <c r="E246" s="60" t="str">
        <f>VLOOKUP($A246,nist_names_ids!A:B,2,false)</f>
        <v>esmp</v>
      </c>
      <c r="F246" s="61">
        <f>countif(Constants!A:A,E246)</f>
        <v>1</v>
      </c>
      <c r="G246" s="60" t="str">
        <f>IFERROR(__xludf.DUMMYFUNCTION("REGEXREPLACE(substitute(substitute(B246,"" "",""""),""..."",""""),""\(.*\)"","""")"),"9.57883408e7")</f>
        <v>9.57883408e7</v>
      </c>
      <c r="H246" s="62">
        <f t="shared" si="2"/>
        <v>95788340.8</v>
      </c>
      <c r="I246" s="60" t="str">
        <f>IFERROR(__xludf.DUMMYFUNCTION("if(regexmatch($B246,""\(""),CONCATENATE(regexreplace(REGEXREPLACE(substitute(left($B246,find(""("",$B246)-1),"" "",""""),""\d"",""0""),""[-0]*\."",""0.""), REGEXEXTRACT($B246,""\((.*)\)""),TRIM(REGEXEXTRACT($B246,""\)(.*)""))),"""")"),"0.0000000038e7")</f>
        <v>0.0000000038e7</v>
      </c>
      <c r="J246" s="62">
        <f t="shared" si="3"/>
        <v>0.038</v>
      </c>
      <c r="K246" s="62" t="b">
        <f t="shared" si="4"/>
        <v>0</v>
      </c>
      <c r="L246" s="62" t="b">
        <f t="shared" si="5"/>
        <v>0</v>
      </c>
      <c r="M246" s="60" t="str">
        <f>IFERROR(__xludf.DUMMYFUNCTION("if(regexmatch(B246,""e(.*)$""),regexextract(B246,""e(.*)$""),"""")"),"7")</f>
        <v>7</v>
      </c>
    </row>
    <row r="247">
      <c r="A247" s="80" t="s">
        <v>2640</v>
      </c>
      <c r="B247" s="80" t="s">
        <v>5495</v>
      </c>
      <c r="C247" s="80"/>
      <c r="D247" s="18" t="str">
        <f t="shared" si="1"/>
        <v/>
      </c>
      <c r="E247" s="60" t="str">
        <f>VLOOKUP($A247,nist_names_ids!A:B,2,false)</f>
        <v>gp</v>
      </c>
      <c r="F247" s="61">
        <f>countif(Constants!A:A,E247)</f>
        <v>1</v>
      </c>
      <c r="G247" s="60" t="str">
        <f>IFERROR(__xludf.DUMMYFUNCTION("REGEXREPLACE(substitute(substitute(B247,"" "",""""),""..."",""""),""\(.*\)"","""")"),"5.585694675")</f>
        <v>5.585694675</v>
      </c>
      <c r="H247" s="62">
        <f t="shared" si="2"/>
        <v>5.585694675</v>
      </c>
      <c r="I247" s="60" t="str">
        <f>IFERROR(__xludf.DUMMYFUNCTION("if(regexmatch($B247,""\(""),CONCATENATE(regexreplace(REGEXREPLACE(substitute(left($B247,find(""("",$B247)-1),"" "",""""),""\d"",""0""),""[-0]*\."",""0.""), REGEXEXTRACT($B247,""\((.*)\)""),TRIM(REGEXEXTRACT($B247,""\)(.*)""))),"""")"),"0.00000000057")</f>
        <v>0.00000000057</v>
      </c>
      <c r="J247" s="62">
        <f t="shared" si="3"/>
        <v>0.00000000057</v>
      </c>
      <c r="K247" s="62" t="b">
        <f t="shared" si="4"/>
        <v>0</v>
      </c>
      <c r="L247" s="62" t="b">
        <f t="shared" si="5"/>
        <v>0</v>
      </c>
      <c r="M247" s="60" t="str">
        <f>IFERROR(__xludf.DUMMYFUNCTION("if(regexmatch(B247,""e(.*)$""),regexextract(B247,""e(.*)$""),"""")"),"")</f>
        <v/>
      </c>
    </row>
    <row r="248">
      <c r="A248" s="80" t="s">
        <v>4130</v>
      </c>
      <c r="B248" s="80" t="s">
        <v>5496</v>
      </c>
      <c r="C248" s="80" t="s">
        <v>4596</v>
      </c>
      <c r="D248" s="18" t="str">
        <f t="shared" si="1"/>
        <v>s^-1 T^-1</v>
      </c>
      <c r="E248" s="60" t="str">
        <f>VLOOKUP($A248,nist_names_ids!A:B,2,false)</f>
        <v>gammap</v>
      </c>
      <c r="F248" s="61">
        <f>countif(Constants!A:A,E248)</f>
        <v>1</v>
      </c>
      <c r="G248" s="60" t="str">
        <f>IFERROR(__xludf.DUMMYFUNCTION("REGEXREPLACE(substitute(substitute(B248,"" "",""""),""..."",""""),""\(.*\)"","""")"),"2.67522212e8")</f>
        <v>2.67522212e8</v>
      </c>
      <c r="H248" s="62">
        <f t="shared" si="2"/>
        <v>267522212</v>
      </c>
      <c r="I248" s="60" t="str">
        <f>IFERROR(__xludf.DUMMYFUNCTION("if(regexmatch($B248,""\(""),CONCATENATE(regexreplace(REGEXREPLACE(substitute(left($B248,find(""("",$B248)-1),"" "",""""),""\d"",""0""),""[-0]*\."",""0.""), REGEXEXTRACT($B248,""\((.*)\)""),TRIM(REGEXEXTRACT($B248,""\)(.*)""))),"""")"),"0.0000000011e8")</f>
        <v>0.0000000011e8</v>
      </c>
      <c r="J248" s="62">
        <f t="shared" si="3"/>
        <v>0.11</v>
      </c>
      <c r="K248" s="62" t="b">
        <f t="shared" si="4"/>
        <v>0</v>
      </c>
      <c r="L248" s="62" t="b">
        <f t="shared" si="5"/>
        <v>0</v>
      </c>
      <c r="M248" s="60" t="str">
        <f>IFERROR(__xludf.DUMMYFUNCTION("if(regexmatch(B248,""e(.*)$""),regexextract(B248,""e(.*)$""),"""")"),"8")</f>
        <v>8</v>
      </c>
    </row>
    <row r="249">
      <c r="A249" s="80" t="s">
        <v>4159</v>
      </c>
      <c r="B249" s="80" t="s">
        <v>5497</v>
      </c>
      <c r="C249" s="80" t="s">
        <v>4602</v>
      </c>
      <c r="D249" s="18" t="str">
        <f t="shared" si="1"/>
        <v>MHz T^-1</v>
      </c>
      <c r="E249" s="60" t="str">
        <f>VLOOKUP($A249,nist_names_ids!A:B,2,false)</f>
        <v>gammapbar</v>
      </c>
      <c r="F249" s="61">
        <f>countif(Constants!A:A,E249)</f>
        <v>1</v>
      </c>
      <c r="G249" s="60" t="str">
        <f>IFERROR(__xludf.DUMMYFUNCTION("REGEXREPLACE(substitute(substitute(B249,"" "",""""),""..."",""""),""\(.*\)"","""")"),"42.5774825")</f>
        <v>42.5774825</v>
      </c>
      <c r="H249" s="62">
        <f t="shared" si="2"/>
        <v>42.5774825</v>
      </c>
      <c r="I249" s="60" t="str">
        <f>IFERROR(__xludf.DUMMYFUNCTION("if(regexmatch($B249,""\(""),CONCATENATE(regexreplace(REGEXREPLACE(substitute(left($B249,find(""("",$B249)-1),"" "",""""),""\d"",""0""),""[-0]*\."",""0.""), REGEXEXTRACT($B249,""\((.*)\)""),TRIM(REGEXEXTRACT($B249,""\)(.*)""))),"""")"),"0.000000018")</f>
        <v>0.000000018</v>
      </c>
      <c r="J249" s="62">
        <f t="shared" si="3"/>
        <v>0.000000018</v>
      </c>
      <c r="K249" s="62" t="b">
        <f t="shared" si="4"/>
        <v>0</v>
      </c>
      <c r="L249" s="62" t="b">
        <f t="shared" si="5"/>
        <v>0</v>
      </c>
      <c r="M249" s="60" t="str">
        <f>IFERROR(__xludf.DUMMYFUNCTION("if(regexmatch(B249,""e(.*)$""),regexextract(B249,""e(.*)$""),"""")"),"")</f>
        <v/>
      </c>
    </row>
    <row r="250">
      <c r="A250" s="80" t="s">
        <v>4173</v>
      </c>
      <c r="B250" s="80" t="s">
        <v>5498</v>
      </c>
      <c r="C250" s="80" t="s">
        <v>4421</v>
      </c>
      <c r="D250" s="18" t="str">
        <f t="shared" si="1"/>
        <v>J T^-1</v>
      </c>
      <c r="E250" s="60" t="str">
        <f>VLOOKUP($A250,nist_names_ids!A:B,2,false)</f>
        <v>mup</v>
      </c>
      <c r="F250" s="61">
        <f>countif(Constants!A:A,E250)</f>
        <v>1</v>
      </c>
      <c r="G250" s="60" t="str">
        <f>IFERROR(__xludf.DUMMYFUNCTION("REGEXREPLACE(substitute(substitute(B250,"" "",""""),""..."",""""),""\(.*\)"","""")"),"1.410606633e-26")</f>
        <v>1.410606633e-26</v>
      </c>
      <c r="H250" s="62">
        <f t="shared" si="2"/>
        <v>0</v>
      </c>
      <c r="I250" s="60" t="str">
        <f>IFERROR(__xludf.DUMMYFUNCTION("if(regexmatch($B250,""\(""),CONCATENATE(regexreplace(REGEXREPLACE(substitute(left($B250,find(""("",$B250)-1),"" "",""""),""\d"",""0""),""[-0]*\."",""0.""), REGEXEXTRACT($B250,""\((.*)\)""),TRIM(REGEXEXTRACT($B250,""\)(.*)""))),"""")"),"0.00000000058e-26")</f>
        <v>0.00000000058e-26</v>
      </c>
      <c r="J250" s="62">
        <f t="shared" si="3"/>
        <v>0</v>
      </c>
      <c r="K250" s="62" t="b">
        <f t="shared" si="4"/>
        <v>0</v>
      </c>
      <c r="L250" s="62" t="b">
        <f t="shared" si="5"/>
        <v>0</v>
      </c>
      <c r="M250" s="60" t="str">
        <f>IFERROR(__xludf.DUMMYFUNCTION("if(regexmatch(B250,""e(.*)$""),regexextract(B250,""e(.*)$""),"""")"),"-26")</f>
        <v>-26</v>
      </c>
    </row>
    <row r="251">
      <c r="A251" s="80" t="s">
        <v>4182</v>
      </c>
      <c r="B251" s="80" t="s">
        <v>5499</v>
      </c>
      <c r="C251" s="80"/>
      <c r="D251" s="18" t="str">
        <f t="shared" si="1"/>
        <v/>
      </c>
      <c r="E251" s="60" t="str">
        <f>VLOOKUP($A251,nist_names_ids!A:B,2,false)</f>
        <v>mupsmub</v>
      </c>
      <c r="F251" s="61">
        <f>countif(Constants!A:A,E251)</f>
        <v>1</v>
      </c>
      <c r="G251" s="60" t="str">
        <f>IFERROR(__xludf.DUMMYFUNCTION("REGEXREPLACE(substitute(substitute(B251,"" "",""""),""..."",""""),""\(.*\)"","""")"),"1.521032203e-3")</f>
        <v>1.521032203e-3</v>
      </c>
      <c r="H251" s="62">
        <f t="shared" si="2"/>
        <v>0.001521032203</v>
      </c>
      <c r="I251" s="60" t="str">
        <f>IFERROR(__xludf.DUMMYFUNCTION("if(regexmatch($B251,""\(""),CONCATENATE(regexreplace(REGEXREPLACE(substitute(left($B251,find(""("",$B251)-1),"" "",""""),""\d"",""0""),""[-0]*\."",""0.""), REGEXEXTRACT($B251,""\((.*)\)""),TRIM(REGEXEXTRACT($B251,""\)(.*)""))),"""")"),"0.00000000015e-3")</f>
        <v>0.00000000015e-3</v>
      </c>
      <c r="J251" s="62">
        <f t="shared" si="3"/>
        <v>0</v>
      </c>
      <c r="K251" s="62" t="b">
        <f t="shared" si="4"/>
        <v>0</v>
      </c>
      <c r="L251" s="62" t="b">
        <f t="shared" si="5"/>
        <v>0</v>
      </c>
      <c r="M251" s="60" t="str">
        <f>IFERROR(__xludf.DUMMYFUNCTION("if(regexmatch(B251,""e(.*)$""),regexextract(B251,""e(.*)$""),"""")"),"-3")</f>
        <v>-3</v>
      </c>
    </row>
    <row r="252">
      <c r="A252" s="80" t="s">
        <v>4244</v>
      </c>
      <c r="B252" s="80" t="s">
        <v>5501</v>
      </c>
      <c r="C252" s="80"/>
      <c r="D252" s="18" t="str">
        <f t="shared" si="1"/>
        <v/>
      </c>
      <c r="E252" s="60" t="str">
        <f>VLOOKUP($A252,nist_names_ids!A:B,2,false)</f>
        <v>mupsmun</v>
      </c>
      <c r="F252" s="61">
        <f>countif(Constants!A:A,E252)</f>
        <v>1</v>
      </c>
      <c r="G252" s="60" t="str">
        <f>IFERROR(__xludf.DUMMYFUNCTION("REGEXREPLACE(substitute(substitute(B252,"" "",""""),""..."",""""),""\(.*\)"","""")"),"2.792847337")</f>
        <v>2.792847337</v>
      </c>
      <c r="H252" s="62">
        <f t="shared" si="2"/>
        <v>2.792847337</v>
      </c>
      <c r="I252" s="60" t="str">
        <f>IFERROR(__xludf.DUMMYFUNCTION("if(regexmatch($B252,""\(""),CONCATENATE(regexreplace(REGEXREPLACE(substitute(left($B252,find(""("",$B252)-1),"" "",""""),""\d"",""0""),""[-0]*\."",""0.""), REGEXEXTRACT($B252,""\((.*)\)""),TRIM(REGEXEXTRACT($B252,""\)(.*)""))),"""")"),"0.00000000029")</f>
        <v>0.00000000029</v>
      </c>
      <c r="J252" s="62">
        <f t="shared" si="3"/>
        <v>0.00000000029</v>
      </c>
      <c r="K252" s="62" t="b">
        <f t="shared" si="4"/>
        <v>0</v>
      </c>
      <c r="L252" s="62" t="b">
        <f t="shared" si="5"/>
        <v>0</v>
      </c>
      <c r="M252" s="60" t="str">
        <f>IFERROR(__xludf.DUMMYFUNCTION("if(regexmatch(B252,""e(.*)$""),regexextract(B252,""e(.*)$""),"""")"),"")</f>
        <v/>
      </c>
    </row>
    <row r="253">
      <c r="A253" s="80" t="s">
        <v>4256</v>
      </c>
      <c r="B253" s="80" t="s">
        <v>5503</v>
      </c>
      <c r="C253" s="80"/>
      <c r="D253" s="18" t="str">
        <f t="shared" si="1"/>
        <v/>
      </c>
      <c r="E253" s="60" t="str">
        <f>VLOOKUP($A253,nist_names_ids!A:B,2,false)</f>
        <v>sigmapp</v>
      </c>
      <c r="F253" s="61">
        <f>countif(Constants!A:A,E253)</f>
        <v>1</v>
      </c>
      <c r="G253" s="60" t="str">
        <f>IFERROR(__xludf.DUMMYFUNCTION("REGEXREPLACE(substitute(substitute(B253,"" "",""""),""..."",""""),""\(.*\)"","""")"),"25.687e-6")</f>
        <v>25.687e-6</v>
      </c>
      <c r="H253" s="62">
        <f t="shared" si="2"/>
        <v>0.000025687</v>
      </c>
      <c r="I253" s="60" t="str">
        <f>IFERROR(__xludf.DUMMYFUNCTION("if(regexmatch($B253,""\(""),CONCATENATE(regexreplace(REGEXREPLACE(substitute(left($B253,find(""("",$B253)-1),"" "",""""),""\d"",""0""),""[-0]*\."",""0.""), REGEXEXTRACT($B253,""\((.*)\)""),TRIM(REGEXEXTRACT($B253,""\)(.*)""))),"""")"),"0.00015e-6")</f>
        <v>0.00015e-6</v>
      </c>
      <c r="J253" s="62">
        <f t="shared" si="3"/>
        <v>0.00000000015</v>
      </c>
      <c r="K253" s="62" t="b">
        <f t="shared" si="4"/>
        <v>0</v>
      </c>
      <c r="L253" s="62" t="b">
        <f t="shared" si="5"/>
        <v>0</v>
      </c>
      <c r="M253" s="60" t="str">
        <f>IFERROR(__xludf.DUMMYFUNCTION("if(regexmatch(B253,""e(.*)$""),regexextract(B253,""e(.*)$""),"""")"),"-6")</f>
        <v>-6</v>
      </c>
    </row>
    <row r="254">
      <c r="A254" s="80" t="s">
        <v>2673</v>
      </c>
      <c r="B254" s="80" t="s">
        <v>5504</v>
      </c>
      <c r="C254" s="80" t="s">
        <v>98</v>
      </c>
      <c r="D254" s="18" t="str">
        <f t="shared" si="1"/>
        <v>kg</v>
      </c>
      <c r="E254" s="60" t="str">
        <f>VLOOKUP($A254,nist_names_ids!A:B,2,false)</f>
        <v>mp</v>
      </c>
      <c r="F254" s="61">
        <f>countif(Constants!A:A,E254)</f>
        <v>1</v>
      </c>
      <c r="G254" s="60" t="str">
        <f>IFERROR(__xludf.DUMMYFUNCTION("REGEXREPLACE(substitute(substitute(B254,"" "",""""),""..."",""""),""\(.*\)"","""")"),"1.67262158e-27")</f>
        <v>1.67262158e-27</v>
      </c>
      <c r="H254" s="62">
        <f t="shared" si="2"/>
        <v>0</v>
      </c>
      <c r="I254" s="60" t="str">
        <f>IFERROR(__xludf.DUMMYFUNCTION("if(regexmatch($B254,""\(""),CONCATENATE(regexreplace(REGEXREPLACE(substitute(left($B254,find(""("",$B254)-1),"" "",""""),""\d"",""0""),""[-0]*\."",""0.""), REGEXEXTRACT($B254,""\((.*)\)""),TRIM(REGEXEXTRACT($B254,""\)(.*)""))),"""")"),"0.0000000013e-27")</f>
        <v>0.0000000013e-27</v>
      </c>
      <c r="J254" s="62">
        <f t="shared" si="3"/>
        <v>0</v>
      </c>
      <c r="K254" s="62" t="b">
        <f t="shared" si="4"/>
        <v>0</v>
      </c>
      <c r="L254" s="62" t="b">
        <f t="shared" si="5"/>
        <v>0</v>
      </c>
      <c r="M254" s="60" t="str">
        <f>IFERROR(__xludf.DUMMYFUNCTION("if(regexmatch(B254,""e(.*)$""),regexextract(B254,""e(.*)$""),"""")"),"-27")</f>
        <v>-27</v>
      </c>
    </row>
    <row r="255">
      <c r="A255" s="80" t="s">
        <v>2675</v>
      </c>
      <c r="B255" s="80" t="s">
        <v>5505</v>
      </c>
      <c r="C255" s="80" t="s">
        <v>173</v>
      </c>
      <c r="D255" s="18" t="str">
        <f t="shared" si="1"/>
        <v>J</v>
      </c>
      <c r="E255" s="60" t="str">
        <f>VLOOKUP($A255,nist_names_ids!A:B,2,false)</f>
        <v>mpc2</v>
      </c>
      <c r="F255" s="61">
        <f>countif(Constants!A:A,E255)</f>
        <v>1</v>
      </c>
      <c r="G255" s="60" t="str">
        <f>IFERROR(__xludf.DUMMYFUNCTION("REGEXREPLACE(substitute(substitute(B255,"" "",""""),""..."",""""),""\(.*\)"","""")"),"1.50327731e-10")</f>
        <v>1.50327731e-10</v>
      </c>
      <c r="H255" s="62">
        <f t="shared" si="2"/>
        <v>0.000000000150327731</v>
      </c>
      <c r="I255" s="60" t="str">
        <f>IFERROR(__xludf.DUMMYFUNCTION("if(regexmatch($B255,""\(""),CONCATENATE(regexreplace(REGEXREPLACE(substitute(left($B255,find(""("",$B255)-1),"" "",""""),""\d"",""0""),""[-0]*\."",""0.""), REGEXEXTRACT($B255,""\((.*)\)""),TRIM(REGEXEXTRACT($B255,""\)(.*)""))),"""")"),"0.0000000012e-10")</f>
        <v>0.0000000012e-10</v>
      </c>
      <c r="J255" s="62">
        <f t="shared" si="3"/>
        <v>0</v>
      </c>
      <c r="K255" s="62" t="b">
        <f t="shared" si="4"/>
        <v>0</v>
      </c>
      <c r="L255" s="62" t="b">
        <f t="shared" si="5"/>
        <v>0</v>
      </c>
      <c r="M255" s="60" t="str">
        <f>IFERROR(__xludf.DUMMYFUNCTION("if(regexmatch(B255,""e(.*)$""),regexextract(B255,""e(.*)$""),"""")"),"-10")</f>
        <v>-10</v>
      </c>
    </row>
    <row r="256">
      <c r="A256" s="80" t="s">
        <v>2682</v>
      </c>
      <c r="B256" s="80" t="s">
        <v>5506</v>
      </c>
      <c r="C256" s="80" t="s">
        <v>224</v>
      </c>
      <c r="D256" s="18" t="str">
        <f t="shared" si="1"/>
        <v>MeV</v>
      </c>
      <c r="E256" s="60" t="str">
        <f>VLOOKUP($A256,nist_names_ids!A:B,2,false)</f>
        <v>mpc2mev</v>
      </c>
      <c r="F256" s="61">
        <f>countif(Constants!A:A,E256)</f>
        <v>1</v>
      </c>
      <c r="G256" s="60" t="str">
        <f>IFERROR(__xludf.DUMMYFUNCTION("REGEXREPLACE(substitute(substitute(B256,"" "",""""),""..."",""""),""\(.*\)"","""")"),"938.271998")</f>
        <v>938.271998</v>
      </c>
      <c r="H256" s="62">
        <f t="shared" si="2"/>
        <v>938.271998</v>
      </c>
      <c r="I256" s="60" t="str">
        <f>IFERROR(__xludf.DUMMYFUNCTION("if(regexmatch($B256,""\(""),CONCATENATE(regexreplace(REGEXREPLACE(substitute(left($B256,find(""("",$B256)-1),"" "",""""),""\d"",""0""),""[-0]*\."",""0.""), REGEXEXTRACT($B256,""\((.*)\)""),TRIM(REGEXEXTRACT($B256,""\)(.*)""))),"""")"),"0.00000038")</f>
        <v>0.00000038</v>
      </c>
      <c r="J256" s="62">
        <f t="shared" si="3"/>
        <v>0.00000038</v>
      </c>
      <c r="K256" s="62" t="b">
        <f t="shared" si="4"/>
        <v>0</v>
      </c>
      <c r="L256" s="62" t="b">
        <f t="shared" si="5"/>
        <v>0</v>
      </c>
      <c r="M256" s="60" t="str">
        <f>IFERROR(__xludf.DUMMYFUNCTION("if(regexmatch(B256,""e(.*)$""),regexextract(B256,""e(.*)$""),"""")"),"")</f>
        <v/>
      </c>
    </row>
    <row r="257">
      <c r="A257" s="80" t="s">
        <v>2689</v>
      </c>
      <c r="B257" s="80" t="s">
        <v>5456</v>
      </c>
      <c r="C257" s="80" t="s">
        <v>249</v>
      </c>
      <c r="D257" s="18" t="str">
        <f t="shared" si="1"/>
        <v>u</v>
      </c>
      <c r="E257" s="60" t="str">
        <f>VLOOKUP($A257,nist_names_ids!A:B,2,false)</f>
        <v>mpu</v>
      </c>
      <c r="F257" s="61">
        <f>countif(Constants!A:A,E257)</f>
        <v>1</v>
      </c>
      <c r="G257" s="60" t="str">
        <f>IFERROR(__xludf.DUMMYFUNCTION("REGEXREPLACE(substitute(substitute(B257,"" "",""""),""..."",""""),""\(.*\)"","""")"),"1.00727646688")</f>
        <v>1.00727646688</v>
      </c>
      <c r="H257" s="62">
        <f t="shared" si="2"/>
        <v>1.007276467</v>
      </c>
      <c r="I257" s="60" t="str">
        <f>IFERROR(__xludf.DUMMYFUNCTION("if(regexmatch($B257,""\(""),CONCATENATE(regexreplace(REGEXREPLACE(substitute(left($B257,find(""("",$B257)-1),"" "",""""),""\d"",""0""),""[-0]*\."",""0.""), REGEXEXTRACT($B257,""\((.*)\)""),TRIM(REGEXEXTRACT($B257,""\)(.*)""))),"""")"),"0.0000000000013")</f>
        <v>0.0000000000013</v>
      </c>
      <c r="J257" s="62">
        <f t="shared" si="3"/>
        <v>0</v>
      </c>
      <c r="K257" s="62" t="b">
        <f t="shared" si="4"/>
        <v>0</v>
      </c>
      <c r="L257" s="62" t="b">
        <f t="shared" si="5"/>
        <v>0</v>
      </c>
      <c r="M257" s="60" t="str">
        <f>IFERROR(__xludf.DUMMYFUNCTION("if(regexmatch(B257,""e(.*)$""),regexextract(B257,""e(.*)$""),"""")"),"")</f>
        <v/>
      </c>
    </row>
    <row r="258">
      <c r="A258" s="80" t="s">
        <v>2695</v>
      </c>
      <c r="B258" s="80" t="s">
        <v>5457</v>
      </c>
      <c r="C258" s="80" t="s">
        <v>4309</v>
      </c>
      <c r="D258" s="18" t="str">
        <f t="shared" si="1"/>
        <v>kg mol^-1</v>
      </c>
      <c r="E258" s="60" t="str">
        <f>VLOOKUP($A258,nist_names_ids!A:B,2,false)</f>
        <v>mmp</v>
      </c>
      <c r="F258" s="61">
        <f>countif(Constants!A:A,E258)</f>
        <v>1</v>
      </c>
      <c r="G258" s="60" t="str">
        <f>IFERROR(__xludf.DUMMYFUNCTION("REGEXREPLACE(substitute(substitute(B258,"" "",""""),""..."",""""),""\(.*\)"","""")"),"1.00727646688e-3")</f>
        <v>1.00727646688e-3</v>
      </c>
      <c r="H258" s="62">
        <f t="shared" si="2"/>
        <v>0.001007276467</v>
      </c>
      <c r="I258" s="60" t="str">
        <f>IFERROR(__xludf.DUMMYFUNCTION("if(regexmatch($B258,""\(""),CONCATENATE(regexreplace(REGEXREPLACE(substitute(left($B258,find(""("",$B258)-1),"" "",""""),""\d"",""0""),""[-0]*\."",""0.""), REGEXEXTRACT($B258,""\((.*)\)""),TRIM(REGEXEXTRACT($B258,""\)(.*)""))),"""")"),"0.0000000000013e-3")</f>
        <v>0.0000000000013e-3</v>
      </c>
      <c r="J258" s="62">
        <f t="shared" si="3"/>
        <v>0</v>
      </c>
      <c r="K258" s="62" t="b">
        <f t="shared" si="4"/>
        <v>0</v>
      </c>
      <c r="L258" s="62" t="b">
        <f t="shared" si="5"/>
        <v>0</v>
      </c>
      <c r="M258" s="60" t="str">
        <f>IFERROR(__xludf.DUMMYFUNCTION("if(regexmatch(B258,""e(.*)$""),regexextract(B258,""e(.*)$""),"""")"),"-3")</f>
        <v>-3</v>
      </c>
    </row>
    <row r="259">
      <c r="A259" s="80" t="s">
        <v>2636</v>
      </c>
      <c r="B259" s="80" t="s">
        <v>5507</v>
      </c>
      <c r="C259" s="80"/>
      <c r="D259" s="18" t="str">
        <f t="shared" si="1"/>
        <v/>
      </c>
      <c r="E259" s="60" t="str">
        <f>VLOOKUP($A259,nist_names_ids!A:B,2,false)</f>
        <v>mpsme</v>
      </c>
      <c r="F259" s="61">
        <f>countif(Constants!A:A,E259)</f>
        <v>1</v>
      </c>
      <c r="G259" s="60" t="str">
        <f>IFERROR(__xludf.DUMMYFUNCTION("REGEXREPLACE(substitute(substitute(B259,"" "",""""),""..."",""""),""\(.*\)"","""")"),"1836.1526675")</f>
        <v>1836.1526675</v>
      </c>
      <c r="H259" s="62">
        <f t="shared" si="2"/>
        <v>1836.152668</v>
      </c>
      <c r="I259" s="60" t="str">
        <f>IFERROR(__xludf.DUMMYFUNCTION("if(regexmatch($B259,""\(""),CONCATENATE(regexreplace(REGEXREPLACE(substitute(left($B259,find(""("",$B259)-1),"" "",""""),""\d"",""0""),""[-0]*\."",""0.""), REGEXEXTRACT($B259,""\((.*)\)""),TRIM(REGEXEXTRACT($B259,""\)(.*)""))),"""")"),"0.000000039")</f>
        <v>0.000000039</v>
      </c>
      <c r="J259" s="62">
        <f t="shared" si="3"/>
        <v>0.000000039</v>
      </c>
      <c r="K259" s="62" t="b">
        <f t="shared" si="4"/>
        <v>0</v>
      </c>
      <c r="L259" s="62" t="b">
        <f t="shared" si="5"/>
        <v>0</v>
      </c>
      <c r="M259" s="60" t="str">
        <f>IFERROR(__xludf.DUMMYFUNCTION("if(regexmatch(B259,""e(.*)$""),regexextract(B259,""e(.*)$""),"""")"),"")</f>
        <v/>
      </c>
    </row>
    <row r="260">
      <c r="A260" s="80" t="s">
        <v>2697</v>
      </c>
      <c r="B260" s="80" t="s">
        <v>5508</v>
      </c>
      <c r="C260" s="80"/>
      <c r="D260" s="18" t="str">
        <f t="shared" si="1"/>
        <v/>
      </c>
      <c r="E260" s="60" t="str">
        <f>VLOOKUP($A260,nist_names_ids!A:B,2,false)</f>
        <v>mpsmmu</v>
      </c>
      <c r="F260" s="61">
        <f>countif(Constants!A:A,E260)</f>
        <v>1</v>
      </c>
      <c r="G260" s="60" t="str">
        <f>IFERROR(__xludf.DUMMYFUNCTION("REGEXREPLACE(substitute(substitute(B260,"" "",""""),""..."",""""),""\(.*\)"","""")"),"8.88024408")</f>
        <v>8.88024408</v>
      </c>
      <c r="H260" s="62">
        <f t="shared" si="2"/>
        <v>8.88024408</v>
      </c>
      <c r="I260" s="60" t="str">
        <f>IFERROR(__xludf.DUMMYFUNCTION("if(regexmatch($B260,""\(""),CONCATENATE(regexreplace(REGEXREPLACE(substitute(left($B260,find(""("",$B260)-1),"" "",""""),""\d"",""0""),""[-0]*\."",""0.""), REGEXEXTRACT($B260,""\((.*)\)""),TRIM(REGEXEXTRACT($B260,""\)(.*)""))),"""")"),"0.0000000027")</f>
        <v>0.0000000027</v>
      </c>
      <c r="J260" s="62">
        <f t="shared" si="3"/>
        <v>0.0000000027</v>
      </c>
      <c r="K260" s="62" t="b">
        <f t="shared" si="4"/>
        <v>0</v>
      </c>
      <c r="L260" s="62" t="b">
        <f t="shared" si="5"/>
        <v>0</v>
      </c>
      <c r="M260" s="60" t="str">
        <f>IFERROR(__xludf.DUMMYFUNCTION("if(regexmatch(B260,""e(.*)$""),regexextract(B260,""e(.*)$""),"""")"),"")</f>
        <v/>
      </c>
    </row>
    <row r="261">
      <c r="A261" s="80" t="s">
        <v>4345</v>
      </c>
      <c r="B261" s="80" t="s">
        <v>5464</v>
      </c>
      <c r="C261" s="80"/>
      <c r="D261" s="18" t="str">
        <f t="shared" si="1"/>
        <v/>
      </c>
      <c r="E261" s="60" t="str">
        <f>VLOOKUP($A261,nist_names_ids!A:B,2,false)</f>
        <v>mupsmunn</v>
      </c>
      <c r="F261" s="61">
        <f>countif(Constants!A:A,E261)</f>
        <v>1</v>
      </c>
      <c r="G261" s="60" t="str">
        <f>IFERROR(__xludf.DUMMYFUNCTION("REGEXREPLACE(substitute(substitute(B261,"" "",""""),""..."",""""),""\(.*\)"","""")"),"-1.45989805")</f>
        <v>-1.45989805</v>
      </c>
      <c r="H261" s="62">
        <f t="shared" si="2"/>
        <v>-1.45989805</v>
      </c>
      <c r="I261" s="60" t="str">
        <f>IFERROR(__xludf.DUMMYFUNCTION("if(regexmatch($B261,""\(""),CONCATENATE(regexreplace(REGEXREPLACE(substitute(left($B261,find(""("",$B261)-1),"" "",""""),""\d"",""0""),""[-0]*\."",""0.""), REGEXEXTRACT($B261,""\((.*)\)""),TRIM(REGEXEXTRACT($B261,""\)(.*)""))),"""")"),"0.0000000034")</f>
        <v>0.0000000034</v>
      </c>
      <c r="J261" s="62">
        <f t="shared" si="3"/>
        <v>0.0000000034</v>
      </c>
      <c r="K261" s="62" t="b">
        <f t="shared" si="4"/>
        <v>0</v>
      </c>
      <c r="L261" s="62" t="b">
        <f t="shared" si="5"/>
        <v>0</v>
      </c>
      <c r="M261" s="60" t="str">
        <f>IFERROR(__xludf.DUMMYFUNCTION("if(regexmatch(B261,""e(.*)$""),regexextract(B261,""e(.*)$""),"""")"),"")</f>
        <v/>
      </c>
    </row>
    <row r="262">
      <c r="A262" s="80" t="s">
        <v>2705</v>
      </c>
      <c r="B262" s="80" t="s">
        <v>5509</v>
      </c>
      <c r="C262" s="80"/>
      <c r="D262" s="18" t="str">
        <f t="shared" si="1"/>
        <v/>
      </c>
      <c r="E262" s="60" t="str">
        <f>VLOOKUP($A262,nist_names_ids!A:B,2,false)</f>
        <v>mpsmn</v>
      </c>
      <c r="F262" s="61">
        <f>countif(Constants!A:A,E262)</f>
        <v>1</v>
      </c>
      <c r="G262" s="60" t="str">
        <f>IFERROR(__xludf.DUMMYFUNCTION("REGEXREPLACE(substitute(substitute(B262,"" "",""""),""..."",""""),""\(.*\)"","""")"),"0.99862347855")</f>
        <v>0.99862347855</v>
      </c>
      <c r="H262" s="62">
        <f t="shared" si="2"/>
        <v>0.9986234786</v>
      </c>
      <c r="I262" s="60" t="str">
        <f>IFERROR(__xludf.DUMMYFUNCTION("if(regexmatch($B262,""\(""),CONCATENATE(regexreplace(REGEXREPLACE(substitute(left($B262,find(""("",$B262)-1),"" "",""""),""\d"",""0""),""[-0]*\."",""0.""), REGEXEXTRACT($B262,""\((.*)\)""),TRIM(REGEXEXTRACT($B262,""\)(.*)""))),"""")"),"0.0000000000058")</f>
        <v>0.0000000000058</v>
      </c>
      <c r="J262" s="62">
        <f t="shared" si="3"/>
        <v>0</v>
      </c>
      <c r="K262" s="62" t="b">
        <f t="shared" si="4"/>
        <v>0</v>
      </c>
      <c r="L262" s="62" t="b">
        <f t="shared" si="5"/>
        <v>0</v>
      </c>
      <c r="M262" s="60" t="str">
        <f>IFERROR(__xludf.DUMMYFUNCTION("if(regexmatch(B262,""e(.*)$""),regexextract(B262,""e(.*)$""),"""")"),"")</f>
        <v/>
      </c>
    </row>
    <row r="263">
      <c r="A263" s="80" t="s">
        <v>2715</v>
      </c>
      <c r="B263" s="80" t="s">
        <v>5510</v>
      </c>
      <c r="C263" s="80"/>
      <c r="D263" s="18" t="str">
        <f t="shared" si="1"/>
        <v/>
      </c>
      <c r="E263" s="60" t="str">
        <f>VLOOKUP($A263,nist_names_ids!A:B,2,false)</f>
        <v>mpsmtau</v>
      </c>
      <c r="F263" s="61">
        <f>countif(Constants!A:A,E263)</f>
        <v>1</v>
      </c>
      <c r="G263" s="60" t="str">
        <f>IFERROR(__xludf.DUMMYFUNCTION("REGEXREPLACE(substitute(substitute(B263,"" "",""""),""..."",""""),""\(.*\)"","""")"),"0.527994")</f>
        <v>0.527994</v>
      </c>
      <c r="H263" s="62">
        <f t="shared" si="2"/>
        <v>0.527994</v>
      </c>
      <c r="I263" s="60" t="str">
        <f>IFERROR(__xludf.DUMMYFUNCTION("if(regexmatch($B263,""\(""),CONCATENATE(regexreplace(REGEXREPLACE(substitute(left($B263,find(""("",$B263)-1),"" "",""""),""\d"",""0""),""[-0]*\."",""0.""), REGEXEXTRACT($B263,""\((.*)\)""),TRIM(REGEXEXTRACT($B263,""\)(.*)""))),"""")"),"0.00000086")</f>
        <v>0.00000086</v>
      </c>
      <c r="J263" s="62">
        <f t="shared" si="3"/>
        <v>0.00000086</v>
      </c>
      <c r="K263" s="62" t="b">
        <f t="shared" si="4"/>
        <v>0</v>
      </c>
      <c r="L263" s="62" t="b">
        <f t="shared" si="5"/>
        <v>0</v>
      </c>
      <c r="M263" s="60" t="str">
        <f>IFERROR(__xludf.DUMMYFUNCTION("if(regexmatch(B263,""e(.*)$""),regexextract(B263,""e(.*)$""),"""")"),"")</f>
        <v/>
      </c>
    </row>
    <row r="264">
      <c r="A264" s="80" t="s">
        <v>2719</v>
      </c>
      <c r="B264" s="80" t="s">
        <v>5511</v>
      </c>
      <c r="C264" s="80" t="s">
        <v>5316</v>
      </c>
      <c r="D264" s="18" t="str">
        <f t="shared" si="1"/>
        <v>m^2 s^-1</v>
      </c>
      <c r="E264" s="60" t="str">
        <f>VLOOKUP($A264,nist_names_ids!A:B,2,false)</f>
        <v>qucirchs2me</v>
      </c>
      <c r="F264" s="61">
        <f>countif(Constants!A:A,E264)</f>
        <v>1</v>
      </c>
      <c r="G264" s="60" t="str">
        <f>IFERROR(__xludf.DUMMYFUNCTION("REGEXREPLACE(substitute(substitute(B264,"" "",""""),""..."",""""),""\(.*\)"","""")"),"3.636947516e-4")</f>
        <v>3.636947516e-4</v>
      </c>
      <c r="H264" s="62">
        <f t="shared" si="2"/>
        <v>0.0003636947516</v>
      </c>
      <c r="I264" s="60" t="str">
        <f>IFERROR(__xludf.DUMMYFUNCTION("if(regexmatch($B264,""\(""),CONCATENATE(regexreplace(REGEXREPLACE(substitute(left($B264,find(""("",$B264)-1),"" "",""""),""\d"",""0""),""[-0]*\."",""0.""), REGEXEXTRACT($B264,""\((.*)\)""),TRIM(REGEXEXTRACT($B264,""\)(.*)""))),"""")"),"0.00000000027e-4")</f>
        <v>0.00000000027e-4</v>
      </c>
      <c r="J264" s="62">
        <f t="shared" si="3"/>
        <v>0</v>
      </c>
      <c r="K264" s="62" t="b">
        <f t="shared" si="4"/>
        <v>0</v>
      </c>
      <c r="L264" s="62" t="b">
        <f t="shared" si="5"/>
        <v>0</v>
      </c>
      <c r="M264" s="60" t="str">
        <f>IFERROR(__xludf.DUMMYFUNCTION("if(regexmatch(B264,""e(.*)$""),regexextract(B264,""e(.*)$""),"""")"),"-4")</f>
        <v>-4</v>
      </c>
    </row>
    <row r="265">
      <c r="A265" s="80" t="s">
        <v>2727</v>
      </c>
      <c r="B265" s="80" t="s">
        <v>5512</v>
      </c>
      <c r="C265" s="80" t="s">
        <v>5316</v>
      </c>
      <c r="D265" s="18" t="str">
        <f t="shared" si="1"/>
        <v>m^2 s^-1</v>
      </c>
      <c r="E265" s="60" t="str">
        <f>VLOOKUP($A265,nist_names_ids!A:B,2,false)</f>
        <v>hsme</v>
      </c>
      <c r="F265" s="61">
        <f>countif(Constants!A:A,E265)</f>
        <v>1</v>
      </c>
      <c r="G265" s="60" t="str">
        <f>IFERROR(__xludf.DUMMYFUNCTION("REGEXREPLACE(substitute(substitute(B265,"" "",""""),""..."",""""),""\(.*\)"","""")"),"7.273895032e-4")</f>
        <v>7.273895032e-4</v>
      </c>
      <c r="H265" s="62">
        <f t="shared" si="2"/>
        <v>0.0007273895032</v>
      </c>
      <c r="I265" s="60" t="str">
        <f>IFERROR(__xludf.DUMMYFUNCTION("if(regexmatch($B265,""\(""),CONCATENATE(regexreplace(REGEXREPLACE(substitute(left($B265,find(""("",$B265)-1),"" "",""""),""\d"",""0""),""[-0]*\."",""0.""), REGEXEXTRACT($B265,""\((.*)\)""),TRIM(REGEXEXTRACT($B265,""\)(.*)""))),"""")"),"0.00000000053e-4")</f>
        <v>0.00000000053e-4</v>
      </c>
      <c r="J265" s="62">
        <f t="shared" si="3"/>
        <v>0</v>
      </c>
      <c r="K265" s="62" t="b">
        <f t="shared" si="4"/>
        <v>0</v>
      </c>
      <c r="L265" s="62" t="b">
        <f t="shared" si="5"/>
        <v>0</v>
      </c>
      <c r="M265" s="60" t="str">
        <f>IFERROR(__xludf.DUMMYFUNCTION("if(regexmatch(B265,""e(.*)$""),regexextract(B265,""e(.*)$""),"""")"),"-4")</f>
        <v>-4</v>
      </c>
    </row>
    <row r="266">
      <c r="A266" s="80" t="s">
        <v>2769</v>
      </c>
      <c r="B266" s="80" t="s">
        <v>5513</v>
      </c>
      <c r="C266" s="80" t="s">
        <v>4359</v>
      </c>
      <c r="D266" s="18" t="str">
        <f t="shared" si="1"/>
        <v>m^-1</v>
      </c>
      <c r="E266" s="60" t="str">
        <f>VLOOKUP($A266,nist_names_ids!A:B,2,false)</f>
        <v>ryd</v>
      </c>
      <c r="F266" s="61">
        <f>countif(Constants!A:A,E266)</f>
        <v>1</v>
      </c>
      <c r="G266" s="60" t="str">
        <f>IFERROR(__xludf.DUMMYFUNCTION("REGEXREPLACE(substitute(substitute(B266,"" "",""""),""..."",""""),""\(.*\)"","""")"),"10973731.568549")</f>
        <v>10973731.568549</v>
      </c>
      <c r="H266" s="62">
        <f t="shared" si="2"/>
        <v>10973731.57</v>
      </c>
      <c r="I266" s="60" t="str">
        <f>IFERROR(__xludf.DUMMYFUNCTION("if(regexmatch($B266,""\(""),CONCATENATE(regexreplace(REGEXREPLACE(substitute(left($B266,find(""("",$B266)-1),"" "",""""),""\d"",""0""),""[-0]*\."",""0.""), REGEXEXTRACT($B266,""\((.*)\)""),TRIM(REGEXEXTRACT($B266,""\)(.*)""))),"""")"),"0.00000083")</f>
        <v>0.00000083</v>
      </c>
      <c r="J266" s="62">
        <f t="shared" si="3"/>
        <v>0.00000083</v>
      </c>
      <c r="K266" s="62" t="b">
        <f t="shared" si="4"/>
        <v>0</v>
      </c>
      <c r="L266" s="62" t="b">
        <f t="shared" si="5"/>
        <v>0</v>
      </c>
      <c r="M266" s="60" t="str">
        <f>IFERROR(__xludf.DUMMYFUNCTION("if(regexmatch(B266,""e(.*)$""),regexextract(B266,""e(.*)$""),"""")"),"")</f>
        <v/>
      </c>
    </row>
    <row r="267">
      <c r="A267" s="80" t="s">
        <v>2774</v>
      </c>
      <c r="B267" s="80" t="s">
        <v>5514</v>
      </c>
      <c r="C267" s="80" t="s">
        <v>257</v>
      </c>
      <c r="D267" s="18" t="str">
        <f t="shared" si="1"/>
        <v>Hz</v>
      </c>
      <c r="E267" s="60" t="str">
        <f>VLOOKUP($A267,nist_names_ids!A:B,2,false)</f>
        <v>rydchz</v>
      </c>
      <c r="F267" s="61">
        <f>countif(Constants!A:A,E267)</f>
        <v>1</v>
      </c>
      <c r="G267" s="60" t="str">
        <f>IFERROR(__xludf.DUMMYFUNCTION("REGEXREPLACE(substitute(substitute(B267,"" "",""""),""..."",""""),""\(.*\)"","""")"),"3.289841960368e15")</f>
        <v>3.289841960368e15</v>
      </c>
      <c r="H267" s="62">
        <f t="shared" si="2"/>
        <v>3.28984E+15</v>
      </c>
      <c r="I267" s="60" t="str">
        <f>IFERROR(__xludf.DUMMYFUNCTION("if(regexmatch($B267,""\(""),CONCATENATE(regexreplace(REGEXREPLACE(substitute(left($B267,find(""("",$B267)-1),"" "",""""),""\d"",""0""),""[-0]*\."",""0.""), REGEXEXTRACT($B267,""\((.*)\)""),TRIM(REGEXEXTRACT($B267,""\)(.*)""))),"""")"),"0.00000000000025e15")</f>
        <v>0.00000000000025e15</v>
      </c>
      <c r="J267" s="62">
        <f t="shared" si="3"/>
        <v>250</v>
      </c>
      <c r="K267" s="62" t="b">
        <f t="shared" si="4"/>
        <v>0</v>
      </c>
      <c r="L267" s="62" t="b">
        <f t="shared" si="5"/>
        <v>0</v>
      </c>
      <c r="M267" s="60" t="str">
        <f>IFERROR(__xludf.DUMMYFUNCTION("if(regexmatch(B267,""e(.*)$""),regexextract(B267,""e(.*)$""),"""")"),"15")</f>
        <v>15</v>
      </c>
    </row>
    <row r="268">
      <c r="A268" s="80" t="s">
        <v>2784</v>
      </c>
      <c r="B268" s="80" t="s">
        <v>5515</v>
      </c>
      <c r="C268" s="80" t="s">
        <v>173</v>
      </c>
      <c r="D268" s="18" t="str">
        <f t="shared" si="1"/>
        <v>J</v>
      </c>
      <c r="E268" s="60" t="str">
        <f>VLOOKUP($A268,nist_names_ids!A:B,2,false)</f>
        <v>rydhcj</v>
      </c>
      <c r="F268" s="61">
        <f>countif(Constants!A:A,E268)</f>
        <v>1</v>
      </c>
      <c r="G268" s="60" t="str">
        <f>IFERROR(__xludf.DUMMYFUNCTION("REGEXREPLACE(substitute(substitute(B268,"" "",""""),""..."",""""),""\(.*\)"","""")"),"2.17987190e-18")</f>
        <v>2.17987190e-18</v>
      </c>
      <c r="H268" s="62">
        <f t="shared" si="2"/>
        <v>0</v>
      </c>
      <c r="I268" s="60" t="str">
        <f>IFERROR(__xludf.DUMMYFUNCTION("if(regexmatch($B268,""\(""),CONCATENATE(regexreplace(REGEXREPLACE(substitute(left($B268,find(""("",$B268)-1),"" "",""""),""\d"",""0""),""[-0]*\."",""0.""), REGEXEXTRACT($B268,""\((.*)\)""),TRIM(REGEXEXTRACT($B268,""\)(.*)""))),"""")"),"0.0000000017e-18")</f>
        <v>0.0000000017e-18</v>
      </c>
      <c r="J268" s="62">
        <f t="shared" si="3"/>
        <v>0</v>
      </c>
      <c r="K268" s="62" t="b">
        <f t="shared" si="4"/>
        <v>0</v>
      </c>
      <c r="L268" s="62" t="b">
        <f t="shared" si="5"/>
        <v>0</v>
      </c>
      <c r="M268" s="60" t="str">
        <f>IFERROR(__xludf.DUMMYFUNCTION("if(regexmatch(B268,""e(.*)$""),regexextract(B268,""e(.*)$""),"""")"),"-18")</f>
        <v>-18</v>
      </c>
    </row>
    <row r="269">
      <c r="A269" s="80" t="s">
        <v>2780</v>
      </c>
      <c r="B269" s="80" t="s">
        <v>5516</v>
      </c>
      <c r="C269" s="80" t="s">
        <v>181</v>
      </c>
      <c r="D269" s="18" t="str">
        <f t="shared" si="1"/>
        <v>eV</v>
      </c>
      <c r="E269" s="60" t="str">
        <f>VLOOKUP($A269,nist_names_ids!A:B,2,false)</f>
        <v>rydhcev</v>
      </c>
      <c r="F269" s="61">
        <f>countif(Constants!A:A,E269)</f>
        <v>1</v>
      </c>
      <c r="G269" s="60" t="str">
        <f>IFERROR(__xludf.DUMMYFUNCTION("REGEXREPLACE(substitute(substitute(B269,"" "",""""),""..."",""""),""\(.*\)"","""")"),"13.60569172")</f>
        <v>13.60569172</v>
      </c>
      <c r="H269" s="62">
        <f t="shared" si="2"/>
        <v>13.60569172</v>
      </c>
      <c r="I269" s="60" t="str">
        <f>IFERROR(__xludf.DUMMYFUNCTION("if(regexmatch($B269,""\(""),CONCATENATE(regexreplace(REGEXREPLACE(substitute(left($B269,find(""("",$B269)-1),"" "",""""),""\d"",""0""),""[-0]*\."",""0.""), REGEXEXTRACT($B269,""\((.*)\)""),TRIM(REGEXEXTRACT($B269,""\)(.*)""))),"""")"),"0.0000000053")</f>
        <v>0.0000000053</v>
      </c>
      <c r="J269" s="62">
        <f t="shared" si="3"/>
        <v>0.0000000053</v>
      </c>
      <c r="K269" s="62" t="b">
        <f t="shared" si="4"/>
        <v>0</v>
      </c>
      <c r="L269" s="62" t="b">
        <f t="shared" si="5"/>
        <v>0</v>
      </c>
      <c r="M269" s="60" t="str">
        <f>IFERROR(__xludf.DUMMYFUNCTION("if(regexmatch(B269,""e(.*)$""),regexextract(B269,""e(.*)$""),"""")"),"")</f>
        <v/>
      </c>
    </row>
    <row r="270">
      <c r="A270" s="80" t="s">
        <v>4486</v>
      </c>
      <c r="B270" s="80" t="s">
        <v>5517</v>
      </c>
      <c r="C270" s="80"/>
      <c r="D270" s="18" t="str">
        <f t="shared" si="1"/>
        <v/>
      </c>
      <c r="E270" s="60" t="str">
        <f>VLOOKUP($A270,nist_names_ids!A:B,2,false)</f>
        <v>s0sr</v>
      </c>
      <c r="F270" s="61">
        <f>countif(Constants!A:A,E270)</f>
        <v>1</v>
      </c>
      <c r="G270" s="60" t="str">
        <f>IFERROR(__xludf.DUMMYFUNCTION("REGEXREPLACE(substitute(substitute(B270,"" "",""""),""..."",""""),""\(.*\)"","""")"),"-1.1517048")</f>
        <v>-1.1517048</v>
      </c>
      <c r="H270" s="62">
        <f t="shared" si="2"/>
        <v>-1.1517048</v>
      </c>
      <c r="I270" s="60" t="str">
        <f>IFERROR(__xludf.DUMMYFUNCTION("if(regexmatch($B270,""\(""),CONCATENATE(regexreplace(REGEXREPLACE(substitute(left($B270,find(""("",$B270)-1),"" "",""""),""\d"",""0""),""[-0]*\."",""0.""), REGEXEXTRACT($B270,""\((.*)\)""),TRIM(REGEXEXTRACT($B270,""\)(.*)""))),"""")"),"0.000000044")</f>
        <v>0.000000044</v>
      </c>
      <c r="J270" s="62">
        <f t="shared" si="3"/>
        <v>0.000000044</v>
      </c>
      <c r="K270" s="62" t="b">
        <f t="shared" si="4"/>
        <v>0</v>
      </c>
      <c r="L270" s="62" t="b">
        <f t="shared" si="5"/>
        <v>0</v>
      </c>
      <c r="M270" s="60" t="str">
        <f>IFERROR(__xludf.DUMMYFUNCTION("if(regexmatch(B270,""e(.*)$""),regexextract(B270,""e(.*)$""),"""")"),"")</f>
        <v/>
      </c>
    </row>
    <row r="271">
      <c r="A271" s="80" t="s">
        <v>4489</v>
      </c>
      <c r="B271" s="80" t="s">
        <v>5518</v>
      </c>
      <c r="C271" s="80"/>
      <c r="D271" s="18" t="str">
        <f t="shared" si="1"/>
        <v/>
      </c>
      <c r="E271" s="60" t="str">
        <f>VLOOKUP($A271,nist_names_ids!A:B,2,false)</f>
        <v>s0srstd</v>
      </c>
      <c r="F271" s="61">
        <f>countif(Constants!A:A,E271)</f>
        <v>1</v>
      </c>
      <c r="G271" s="60" t="str">
        <f>IFERROR(__xludf.DUMMYFUNCTION("REGEXREPLACE(substitute(substitute(B271,"" "",""""),""..."",""""),""\(.*\)"","""")"),"-1.1648678")</f>
        <v>-1.1648678</v>
      </c>
      <c r="H271" s="62">
        <f t="shared" si="2"/>
        <v>-1.1648678</v>
      </c>
      <c r="I271" s="60" t="str">
        <f>IFERROR(__xludf.DUMMYFUNCTION("if(regexmatch($B271,""\(""),CONCATENATE(regexreplace(REGEXREPLACE(substitute(left($B271,find(""("",$B271)-1),"" "",""""),""\d"",""0""),""[-0]*\."",""0.""), REGEXEXTRACT($B271,""\((.*)\)""),TRIM(REGEXEXTRACT($B271,""\)(.*)""))),"""")"),"0.000000044")</f>
        <v>0.000000044</v>
      </c>
      <c r="J271" s="62">
        <f t="shared" si="3"/>
        <v>0.000000044</v>
      </c>
      <c r="K271" s="62" t="b">
        <f t="shared" si="4"/>
        <v>0</v>
      </c>
      <c r="L271" s="62" t="b">
        <f t="shared" si="5"/>
        <v>0</v>
      </c>
      <c r="M271" s="60" t="str">
        <f>IFERROR(__xludf.DUMMYFUNCTION("if(regexmatch(B271,""e(.*)$""),regexextract(B271,""e(.*)$""),"""")"),"")</f>
        <v/>
      </c>
    </row>
    <row r="272">
      <c r="A272" s="80" t="s">
        <v>2799</v>
      </c>
      <c r="B272" s="80" t="s">
        <v>4972</v>
      </c>
      <c r="C272" s="80" t="s">
        <v>2800</v>
      </c>
      <c r="D272" s="18" t="str">
        <f t="shared" si="1"/>
        <v>m K</v>
      </c>
      <c r="E272" s="60" t="str">
        <f>VLOOKUP($A272,nist_names_ids!A:B,2,false)</f>
        <v>c22ndrc</v>
      </c>
      <c r="F272" s="61">
        <f>countif(Constants!A:A,E272)</f>
        <v>1</v>
      </c>
      <c r="G272" s="60" t="str">
        <f>IFERROR(__xludf.DUMMYFUNCTION("REGEXREPLACE(substitute(substitute(B272,"" "",""""),""..."",""""),""\(.*\)"","""")"),"1.4387752e-2")</f>
        <v>1.4387752e-2</v>
      </c>
      <c r="H272" s="62">
        <f t="shared" si="2"/>
        <v>0.014387752</v>
      </c>
      <c r="I272" s="60" t="str">
        <f>IFERROR(__xludf.DUMMYFUNCTION("if(regexmatch($B272,""\(""),CONCATENATE(regexreplace(REGEXREPLACE(substitute(left($B272,find(""("",$B272)-1),"" "",""""),""\d"",""0""),""[-0]*\."",""0.""), REGEXEXTRACT($B272,""\((.*)\)""),TRIM(REGEXEXTRACT($B272,""\)(.*)""))),"""")"),"0.000000025e-2")</f>
        <v>0.000000025e-2</v>
      </c>
      <c r="J272" s="62">
        <f t="shared" si="3"/>
        <v>0.00000000025</v>
      </c>
      <c r="K272" s="62" t="b">
        <f t="shared" si="4"/>
        <v>0</v>
      </c>
      <c r="L272" s="62" t="b">
        <f t="shared" si="5"/>
        <v>0</v>
      </c>
      <c r="M272" s="60" t="str">
        <f>IFERROR(__xludf.DUMMYFUNCTION("if(regexmatch(B272,""e(.*)$""),regexextract(B272,""e(.*)$""),"""")"),"-2")</f>
        <v>-2</v>
      </c>
    </row>
    <row r="273">
      <c r="A273" s="80" t="s">
        <v>4507</v>
      </c>
      <c r="B273" s="80" t="s">
        <v>5520</v>
      </c>
      <c r="C273" s="80" t="s">
        <v>4596</v>
      </c>
      <c r="D273" s="18" t="str">
        <f t="shared" si="1"/>
        <v>s^-1 T^-1</v>
      </c>
      <c r="E273" s="60" t="str">
        <f>VLOOKUP($A273,nist_names_ids!A:B,2,false)</f>
        <v>gammahp</v>
      </c>
      <c r="F273" s="61">
        <f>countif(Constants!A:A,E273)</f>
        <v>1</v>
      </c>
      <c r="G273" s="60" t="str">
        <f>IFERROR(__xludf.DUMMYFUNCTION("REGEXREPLACE(substitute(substitute(B273,"" "",""""),""..."",""""),""\(.*\)"","""")"),"2.037894764e8")</f>
        <v>2.037894764e8</v>
      </c>
      <c r="H273" s="62">
        <f t="shared" si="2"/>
        <v>203789476.4</v>
      </c>
      <c r="I273" s="60" t="str">
        <f>IFERROR(__xludf.DUMMYFUNCTION("if(regexmatch($B273,""\(""),CONCATENATE(regexreplace(REGEXREPLACE(substitute(left($B273,find(""("",$B273)-1),"" "",""""),""\d"",""0""),""[-0]*\."",""0.""), REGEXEXTRACT($B273,""\((.*)\)""),TRIM(REGEXEXTRACT($B273,""\)(.*)""))),"""")"),"0.00000000085e8")</f>
        <v>0.00000000085e8</v>
      </c>
      <c r="J273" s="62">
        <f t="shared" si="3"/>
        <v>0.085</v>
      </c>
      <c r="K273" s="62" t="b">
        <f t="shared" si="4"/>
        <v>0</v>
      </c>
      <c r="L273" s="62" t="b">
        <f t="shared" si="5"/>
        <v>0</v>
      </c>
      <c r="M273" s="60" t="str">
        <f>IFERROR(__xludf.DUMMYFUNCTION("if(regexmatch(B273,""e(.*)$""),regexextract(B273,""e(.*)$""),"""")"),"8")</f>
        <v>8</v>
      </c>
    </row>
    <row r="274">
      <c r="A274" s="80" t="s">
        <v>4524</v>
      </c>
      <c r="B274" s="80" t="s">
        <v>5522</v>
      </c>
      <c r="C274" s="80" t="s">
        <v>4602</v>
      </c>
      <c r="D274" s="18" t="str">
        <f t="shared" si="1"/>
        <v>MHz T^-1</v>
      </c>
      <c r="E274" s="60" t="str">
        <f>VLOOKUP($A274,nist_names_ids!A:B,2,false)</f>
        <v>gammahpbar</v>
      </c>
      <c r="F274" s="61">
        <f>countif(Constants!A:A,E274)</f>
        <v>1</v>
      </c>
      <c r="G274" s="60" t="str">
        <f>IFERROR(__xludf.DUMMYFUNCTION("REGEXREPLACE(substitute(substitute(B274,"" "",""""),""..."",""""),""\(.*\)"","""")"),"32.4341025")</f>
        <v>32.4341025</v>
      </c>
      <c r="H274" s="62">
        <f t="shared" si="2"/>
        <v>32.4341025</v>
      </c>
      <c r="I274" s="60" t="str">
        <f>IFERROR(__xludf.DUMMYFUNCTION("if(regexmatch($B274,""\(""),CONCATENATE(regexreplace(REGEXREPLACE(substitute(left($B274,find(""("",$B274)-1),"" "",""""),""\d"",""0""),""[-0]*\."",""0.""), REGEXEXTRACT($B274,""\((.*)\)""),TRIM(REGEXEXTRACT($B274,""\)(.*)""))),"""")"),"0.000000014")</f>
        <v>0.000000014</v>
      </c>
      <c r="J274" s="62">
        <f t="shared" si="3"/>
        <v>0.000000014</v>
      </c>
      <c r="K274" s="62" t="b">
        <f t="shared" si="4"/>
        <v>0</v>
      </c>
      <c r="L274" s="62" t="b">
        <f t="shared" si="5"/>
        <v>0</v>
      </c>
      <c r="M274" s="60" t="str">
        <f>IFERROR(__xludf.DUMMYFUNCTION("if(regexmatch(B274,""e(.*)$""),regexextract(B274,""e(.*)$""),"""")"),"")</f>
        <v/>
      </c>
    </row>
    <row r="275">
      <c r="A275" s="80" t="s">
        <v>4533</v>
      </c>
      <c r="B275" s="80" t="s">
        <v>5524</v>
      </c>
      <c r="C275" s="80" t="s">
        <v>4421</v>
      </c>
      <c r="D275" s="18" t="str">
        <f t="shared" si="1"/>
        <v>J T^-1</v>
      </c>
      <c r="E275" s="60" t="str">
        <f>VLOOKUP($A275,nist_names_ids!A:B,2,false)</f>
        <v>muhp</v>
      </c>
      <c r="F275" s="61">
        <f>countif(Constants!A:A,E275)</f>
        <v>1</v>
      </c>
      <c r="G275" s="60" t="str">
        <f>IFERROR(__xludf.DUMMYFUNCTION("REGEXREPLACE(substitute(substitute(B275,"" "",""""),""..."",""""),""\(.*\)"","""")"),"-1.074552967e-26")</f>
        <v>-1.074552967e-26</v>
      </c>
      <c r="H275" s="62">
        <f t="shared" si="2"/>
        <v>0</v>
      </c>
      <c r="I275" s="60" t="str">
        <f>IFERROR(__xludf.DUMMYFUNCTION("if(regexmatch($B275,""\(""),CONCATENATE(regexreplace(REGEXREPLACE(substitute(left($B275,find(""("",$B275)-1),"" "",""""),""\d"",""0""),""[-0]*\."",""0.""), REGEXEXTRACT($B275,""\((.*)\)""),TRIM(REGEXEXTRACT($B275,""\)(.*)""))),"""")"),"0.00000000045e-26")</f>
        <v>0.00000000045e-26</v>
      </c>
      <c r="J275" s="62">
        <f t="shared" si="3"/>
        <v>0</v>
      </c>
      <c r="K275" s="62" t="b">
        <f t="shared" si="4"/>
        <v>0</v>
      </c>
      <c r="L275" s="62" t="b">
        <f t="shared" si="5"/>
        <v>0</v>
      </c>
      <c r="M275" s="60" t="str">
        <f>IFERROR(__xludf.DUMMYFUNCTION("if(regexmatch(B275,""e(.*)$""),regexextract(B275,""e(.*)$""),"""")"),"-26")</f>
        <v>-26</v>
      </c>
    </row>
    <row r="276">
      <c r="A276" s="80" t="s">
        <v>4546</v>
      </c>
      <c r="B276" s="80" t="s">
        <v>5485</v>
      </c>
      <c r="C276" s="80"/>
      <c r="D276" s="18" t="str">
        <f t="shared" si="1"/>
        <v/>
      </c>
      <c r="E276" s="60" t="str">
        <f>VLOOKUP($A276,nist_names_ids!A:B,2,false)</f>
        <v>muhpsmub</v>
      </c>
      <c r="F276" s="61">
        <f>countif(Constants!A:A,E276)</f>
        <v>1</v>
      </c>
      <c r="G276" s="60" t="str">
        <f>IFERROR(__xludf.DUMMYFUNCTION("REGEXREPLACE(substitute(substitute(B276,"" "",""""),""..."",""""),""\(.*\)"","""")"),"-1.158671474e-3")</f>
        <v>-1.158671474e-3</v>
      </c>
      <c r="H276" s="62">
        <f t="shared" si="2"/>
        <v>-0.001158671474</v>
      </c>
      <c r="I276" s="60" t="str">
        <f>IFERROR(__xludf.DUMMYFUNCTION("if(regexmatch($B276,""\(""),CONCATENATE(regexreplace(REGEXREPLACE(substitute(left($B276,find(""("",$B276)-1),"" "",""""),""\d"",""0""),""[-0]*\."",""0.""), REGEXEXTRACT($B276,""\((.*)\)""),TRIM(REGEXEXTRACT($B276,""\)(.*)""))),"""")"),"0.00000000014e-3")</f>
        <v>0.00000000014e-3</v>
      </c>
      <c r="J276" s="62">
        <f t="shared" si="3"/>
        <v>0</v>
      </c>
      <c r="K276" s="62" t="b">
        <f t="shared" si="4"/>
        <v>0</v>
      </c>
      <c r="L276" s="62" t="b">
        <f t="shared" si="5"/>
        <v>0</v>
      </c>
      <c r="M276" s="60" t="str">
        <f>IFERROR(__xludf.DUMMYFUNCTION("if(regexmatch(B276,""e(.*)$""),regexextract(B276,""e(.*)$""),"""")"),"-3")</f>
        <v>-3</v>
      </c>
    </row>
    <row r="277">
      <c r="A277" s="80" t="s">
        <v>4557</v>
      </c>
      <c r="B277" s="80" t="s">
        <v>5338</v>
      </c>
      <c r="C277" s="80"/>
      <c r="D277" s="18" t="str">
        <f t="shared" si="1"/>
        <v/>
      </c>
      <c r="E277" s="60" t="str">
        <f>VLOOKUP($A277,nist_names_ids!A:B,2,false)</f>
        <v>muhpsmun</v>
      </c>
      <c r="F277" s="61">
        <f>countif(Constants!A:A,E277)</f>
        <v>1</v>
      </c>
      <c r="G277" s="60" t="str">
        <f>IFERROR(__xludf.DUMMYFUNCTION("REGEXREPLACE(substitute(substitute(B277,"" "",""""),""..."",""""),""\(.*\)"","""")"),"-2.127497718")</f>
        <v>-2.127497718</v>
      </c>
      <c r="H277" s="62">
        <f t="shared" si="2"/>
        <v>-2.127497718</v>
      </c>
      <c r="I277" s="60" t="str">
        <f>IFERROR(__xludf.DUMMYFUNCTION("if(regexmatch($B277,""\(""),CONCATENATE(regexreplace(REGEXREPLACE(substitute(left($B277,find(""("",$B277)-1),"" "",""""),""\d"",""0""),""[-0]*\."",""0.""), REGEXEXTRACT($B277,""\((.*)\)""),TRIM(REGEXEXTRACT($B277,""\)(.*)""))),"""")"),"0.00000000025")</f>
        <v>0.00000000025</v>
      </c>
      <c r="J277" s="62">
        <f t="shared" si="3"/>
        <v>0.00000000025</v>
      </c>
      <c r="K277" s="62" t="b">
        <f t="shared" si="4"/>
        <v>0</v>
      </c>
      <c r="L277" s="62" t="b">
        <f t="shared" si="5"/>
        <v>0</v>
      </c>
      <c r="M277" s="60" t="str">
        <f>IFERROR(__xludf.DUMMYFUNCTION("if(regexmatch(B277,""e(.*)$""),regexextract(B277,""e(.*)$""),"""")"),"")</f>
        <v/>
      </c>
    </row>
    <row r="278">
      <c r="A278" s="80" t="s">
        <v>4569</v>
      </c>
      <c r="B278" s="80" t="s">
        <v>5526</v>
      </c>
      <c r="C278" s="80"/>
      <c r="D278" s="18" t="str">
        <f t="shared" si="1"/>
        <v/>
      </c>
      <c r="E278" s="60" t="str">
        <f>VLOOKUP($A278,nist_names_ids!A:B,2,false)</f>
        <v>muhpsmup</v>
      </c>
      <c r="F278" s="61">
        <f>countif(Constants!A:A,E278)</f>
        <v>1</v>
      </c>
      <c r="G278" s="60" t="str">
        <f>IFERROR(__xludf.DUMMYFUNCTION("REGEXREPLACE(substitute(substitute(B278,"" "",""""),""..."",""""),""\(.*\)"","""")"),"-0.761766563")</f>
        <v>-0.761766563</v>
      </c>
      <c r="H278" s="62">
        <f t="shared" si="2"/>
        <v>-0.761766563</v>
      </c>
      <c r="I278" s="60" t="str">
        <f>IFERROR(__xludf.DUMMYFUNCTION("if(regexmatch($B278,""\(""),CONCATENATE(regexreplace(REGEXREPLACE(substitute(left($B278,find(""("",$B278)-1),"" "",""""),""\d"",""0""),""[-0]*\."",""0.""), REGEXEXTRACT($B278,""\((.*)\)""),TRIM(REGEXEXTRACT($B278,""\)(.*)""))),"""")"),"0.00000000012")</f>
        <v>0.00000000012</v>
      </c>
      <c r="J278" s="62">
        <f t="shared" si="3"/>
        <v>0.00000000012</v>
      </c>
      <c r="K278" s="62" t="b">
        <f t="shared" si="4"/>
        <v>0</v>
      </c>
      <c r="L278" s="62" t="b">
        <f t="shared" si="5"/>
        <v>0</v>
      </c>
      <c r="M278" s="60" t="str">
        <f>IFERROR(__xludf.DUMMYFUNCTION("if(regexmatch(B278,""e(.*)$""),regexextract(B278,""e(.*)$""),"""")"),"")</f>
        <v/>
      </c>
    </row>
    <row r="279">
      <c r="A279" s="80" t="s">
        <v>4577</v>
      </c>
      <c r="B279" s="80" t="s">
        <v>5343</v>
      </c>
      <c r="C279" s="80"/>
      <c r="D279" s="18" t="str">
        <f t="shared" si="1"/>
        <v/>
      </c>
      <c r="E279" s="60" t="str">
        <f>VLOOKUP($A279,nist_names_ids!A:B,2,false)</f>
        <v>muhpsmupp</v>
      </c>
      <c r="F279" s="61">
        <f>countif(Constants!A:A,E279)</f>
        <v>1</v>
      </c>
      <c r="G279" s="60" t="str">
        <f>IFERROR(__xludf.DUMMYFUNCTION("REGEXREPLACE(substitute(substitute(B279,"" "",""""),""..."",""""),""\(.*\)"","""")"),"-0.7617861313")</f>
        <v>-0.7617861313</v>
      </c>
      <c r="H279" s="62">
        <f t="shared" si="2"/>
        <v>-0.7617861313</v>
      </c>
      <c r="I279" s="60" t="str">
        <f>IFERROR(__xludf.DUMMYFUNCTION("if(regexmatch($B279,""\(""),CONCATENATE(regexreplace(REGEXREPLACE(substitute(left($B279,find(""("",$B279)-1),"" "",""""),""\d"",""0""),""[-0]*\."",""0.""), REGEXEXTRACT($B279,""\((.*)\)""),TRIM(REGEXEXTRACT($B279,""\)(.*)""))),"""")"),"0.000000000033")</f>
        <v>0.000000000033</v>
      </c>
      <c r="J279" s="62">
        <f t="shared" si="3"/>
        <v>0</v>
      </c>
      <c r="K279" s="62" t="b">
        <f t="shared" si="4"/>
        <v>0</v>
      </c>
      <c r="L279" s="62" t="b">
        <f t="shared" si="5"/>
        <v>0</v>
      </c>
      <c r="M279" s="60" t="str">
        <f>IFERROR(__xludf.DUMMYFUNCTION("if(regexmatch(B279,""e(.*)$""),regexextract(B279,""e(.*)$""),"""")"),"")</f>
        <v/>
      </c>
    </row>
    <row r="280">
      <c r="A280" s="80" t="s">
        <v>4589</v>
      </c>
      <c r="B280" s="80" t="s">
        <v>5527</v>
      </c>
      <c r="C280" s="80" t="s">
        <v>4596</v>
      </c>
      <c r="D280" s="18" t="str">
        <f t="shared" si="1"/>
        <v>s^-1 T^-1</v>
      </c>
      <c r="E280" s="60" t="str">
        <f>VLOOKUP($A280,nist_names_ids!A:B,2,false)</f>
        <v>gammapp</v>
      </c>
      <c r="F280" s="61">
        <f>countif(Constants!A:A,E280)</f>
        <v>1</v>
      </c>
      <c r="G280" s="60" t="str">
        <f>IFERROR(__xludf.DUMMYFUNCTION("REGEXREPLACE(substitute(substitute(B280,"" "",""""),""..."",""""),""\(.*\)"","""")"),"2.67515341e8")</f>
        <v>2.67515341e8</v>
      </c>
      <c r="H280" s="62">
        <f t="shared" si="2"/>
        <v>267515341</v>
      </c>
      <c r="I280" s="60" t="str">
        <f>IFERROR(__xludf.DUMMYFUNCTION("if(regexmatch($B280,""\(""),CONCATENATE(regexreplace(REGEXREPLACE(substitute(left($B280,find(""("",$B280)-1),"" "",""""),""\d"",""0""),""[-0]*\."",""0.""), REGEXEXTRACT($B280,""\((.*)\)""),TRIM(REGEXEXTRACT($B280,""\)(.*)""))),"""")"),"0.0000000011e8")</f>
        <v>0.0000000011e8</v>
      </c>
      <c r="J280" s="62">
        <f t="shared" si="3"/>
        <v>0.11</v>
      </c>
      <c r="K280" s="62" t="b">
        <f t="shared" si="4"/>
        <v>0</v>
      </c>
      <c r="L280" s="62" t="b">
        <f t="shared" si="5"/>
        <v>0</v>
      </c>
      <c r="M280" s="60" t="str">
        <f>IFERROR(__xludf.DUMMYFUNCTION("if(regexmatch(B280,""e(.*)$""),regexextract(B280,""e(.*)$""),"""")"),"8")</f>
        <v>8</v>
      </c>
    </row>
    <row r="281">
      <c r="A281" s="80" t="s">
        <v>4619</v>
      </c>
      <c r="B281" s="80" t="s">
        <v>5528</v>
      </c>
      <c r="C281" s="80" t="s">
        <v>4602</v>
      </c>
      <c r="D281" s="18" t="str">
        <f t="shared" si="1"/>
        <v>MHz T^-1</v>
      </c>
      <c r="E281" s="60" t="str">
        <f>VLOOKUP($A281,nist_names_ids!A:B,2,false)</f>
        <v>gammappbar</v>
      </c>
      <c r="F281" s="61">
        <f>countif(Constants!A:A,E281)</f>
        <v>1</v>
      </c>
      <c r="G281" s="60" t="str">
        <f>IFERROR(__xludf.DUMMYFUNCTION("REGEXREPLACE(substitute(substitute(B281,"" "",""""),""..."",""""),""\(.*\)"","""")"),"42.5763888")</f>
        <v>42.5763888</v>
      </c>
      <c r="H281" s="62">
        <f t="shared" si="2"/>
        <v>42.5763888</v>
      </c>
      <c r="I281" s="60" t="str">
        <f>IFERROR(__xludf.DUMMYFUNCTION("if(regexmatch($B281,""\(""),CONCATENATE(regexreplace(REGEXREPLACE(substitute(left($B281,find(""("",$B281)-1),"" "",""""),""\d"",""0""),""[-0]*\."",""0.""), REGEXEXTRACT($B281,""\((.*)\)""),TRIM(REGEXEXTRACT($B281,""\)(.*)""))),"""")"),"0.000000018")</f>
        <v>0.000000018</v>
      </c>
      <c r="J281" s="62">
        <f t="shared" si="3"/>
        <v>0.000000018</v>
      </c>
      <c r="K281" s="62" t="b">
        <f t="shared" si="4"/>
        <v>0</v>
      </c>
      <c r="L281" s="62" t="b">
        <f t="shared" si="5"/>
        <v>0</v>
      </c>
      <c r="M281" s="60" t="str">
        <f>IFERROR(__xludf.DUMMYFUNCTION("if(regexmatch(B281,""e(.*)$""),regexextract(B281,""e(.*)$""),"""")"),"")</f>
        <v/>
      </c>
    </row>
    <row r="282">
      <c r="A282" s="80" t="s">
        <v>4627</v>
      </c>
      <c r="B282" s="80" t="s">
        <v>5529</v>
      </c>
      <c r="C282" s="80" t="s">
        <v>4421</v>
      </c>
      <c r="D282" s="18" t="str">
        <f t="shared" si="1"/>
        <v>J T^-1</v>
      </c>
      <c r="E282" s="60" t="str">
        <f>VLOOKUP($A282,nist_names_ids!A:B,2,false)</f>
        <v>mupp</v>
      </c>
      <c r="F282" s="61">
        <f>countif(Constants!A:A,E282)</f>
        <v>1</v>
      </c>
      <c r="G282" s="60" t="str">
        <f>IFERROR(__xludf.DUMMYFUNCTION("REGEXREPLACE(substitute(substitute(B282,"" "",""""),""..."",""""),""\(.*\)"","""")"),"1.410570399e-26")</f>
        <v>1.410570399e-26</v>
      </c>
      <c r="H282" s="62">
        <f t="shared" si="2"/>
        <v>0</v>
      </c>
      <c r="I282" s="60" t="str">
        <f>IFERROR(__xludf.DUMMYFUNCTION("if(regexmatch($B282,""\(""),CONCATENATE(regexreplace(REGEXREPLACE(substitute(left($B282,find(""("",$B282)-1),"" "",""""),""\d"",""0""),""[-0]*\."",""0.""), REGEXEXTRACT($B282,""\((.*)\)""),TRIM(REGEXEXTRACT($B282,""\)(.*)""))),"""")"),"0.00000000059e-26")</f>
        <v>0.00000000059e-26</v>
      </c>
      <c r="J282" s="62">
        <f t="shared" si="3"/>
        <v>0</v>
      </c>
      <c r="K282" s="62" t="b">
        <f t="shared" si="4"/>
        <v>0</v>
      </c>
      <c r="L282" s="62" t="b">
        <f t="shared" si="5"/>
        <v>0</v>
      </c>
      <c r="M282" s="60" t="str">
        <f>IFERROR(__xludf.DUMMYFUNCTION("if(regexmatch(B282,""e(.*)$""),regexextract(B282,""e(.*)$""),"""")"),"-26")</f>
        <v>-26</v>
      </c>
    </row>
    <row r="283">
      <c r="A283" s="80" t="s">
        <v>4638</v>
      </c>
      <c r="B283" s="80" t="s">
        <v>5500</v>
      </c>
      <c r="C283" s="80"/>
      <c r="D283" s="18" t="str">
        <f t="shared" si="1"/>
        <v/>
      </c>
      <c r="E283" s="60" t="str">
        <f>VLOOKUP($A283,nist_names_ids!A:B,2,false)</f>
        <v>muppsmub</v>
      </c>
      <c r="F283" s="61">
        <f>countif(Constants!A:A,E283)</f>
        <v>1</v>
      </c>
      <c r="G283" s="60" t="str">
        <f>IFERROR(__xludf.DUMMYFUNCTION("REGEXREPLACE(substitute(substitute(B283,"" "",""""),""..."",""""),""\(.*\)"","""")"),"1.520993132e-3")</f>
        <v>1.520993132e-3</v>
      </c>
      <c r="H283" s="62">
        <f t="shared" si="2"/>
        <v>0.001520993132</v>
      </c>
      <c r="I283" s="60" t="str">
        <f>IFERROR(__xludf.DUMMYFUNCTION("if(regexmatch($B283,""\(""),CONCATENATE(regexreplace(REGEXREPLACE(substitute(left($B283,find(""("",$B283)-1),"" "",""""),""\d"",""0""),""[-0]*\."",""0.""), REGEXEXTRACT($B283,""\((.*)\)""),TRIM(REGEXEXTRACT($B283,""\)(.*)""))),"""")"),"0.00000000016e-3")</f>
        <v>0.00000000016e-3</v>
      </c>
      <c r="J283" s="62">
        <f t="shared" si="3"/>
        <v>0</v>
      </c>
      <c r="K283" s="62" t="b">
        <f t="shared" si="4"/>
        <v>0</v>
      </c>
      <c r="L283" s="62" t="b">
        <f t="shared" si="5"/>
        <v>0</v>
      </c>
      <c r="M283" s="60" t="str">
        <f>IFERROR(__xludf.DUMMYFUNCTION("if(regexmatch(B283,""e(.*)$""),regexextract(B283,""e(.*)$""),"""")"),"-3")</f>
        <v>-3</v>
      </c>
    </row>
    <row r="284">
      <c r="A284" s="80" t="s">
        <v>4647</v>
      </c>
      <c r="B284" s="80" t="s">
        <v>5530</v>
      </c>
      <c r="C284" s="80"/>
      <c r="D284" s="18" t="str">
        <f t="shared" si="1"/>
        <v/>
      </c>
      <c r="E284" s="60" t="str">
        <f>VLOOKUP($A284,nist_names_ids!A:B,2,false)</f>
        <v>muppsmun</v>
      </c>
      <c r="F284" s="61">
        <f>countif(Constants!A:A,E284)</f>
        <v>1</v>
      </c>
      <c r="G284" s="60" t="str">
        <f>IFERROR(__xludf.DUMMYFUNCTION("REGEXREPLACE(substitute(substitute(B284,"" "",""""),""..."",""""),""\(.*\)"","""")"),"2.792775597")</f>
        <v>2.792775597</v>
      </c>
      <c r="H284" s="62">
        <f t="shared" si="2"/>
        <v>2.792775597</v>
      </c>
      <c r="I284" s="60" t="str">
        <f>IFERROR(__xludf.DUMMYFUNCTION("if(regexmatch($B284,""\(""),CONCATENATE(regexreplace(REGEXREPLACE(substitute(left($B284,find(""("",$B284)-1),"" "",""""),""\d"",""0""),""[-0]*\."",""0.""), REGEXEXTRACT($B284,""\((.*)\)""),TRIM(REGEXEXTRACT($B284,""\)(.*)""))),"""")"),"0.00000000031")</f>
        <v>0.00000000031</v>
      </c>
      <c r="J284" s="62">
        <f t="shared" si="3"/>
        <v>0.00000000031</v>
      </c>
      <c r="K284" s="62" t="b">
        <f t="shared" si="4"/>
        <v>0</v>
      </c>
      <c r="L284" s="62" t="b">
        <f t="shared" si="5"/>
        <v>0</v>
      </c>
      <c r="M284" s="60" t="str">
        <f>IFERROR(__xludf.DUMMYFUNCTION("if(regexmatch(B284,""e(.*)$""),regexextract(B284,""e(.*)$""),"""")"),"")</f>
        <v/>
      </c>
    </row>
    <row r="285">
      <c r="A285" s="80" t="s">
        <v>2877</v>
      </c>
      <c r="B285" s="80" t="s">
        <v>2145</v>
      </c>
      <c r="C285" s="80" t="s">
        <v>4447</v>
      </c>
      <c r="D285" s="18" t="str">
        <f t="shared" si="1"/>
        <v>m s^-1</v>
      </c>
      <c r="E285" s="60" t="str">
        <f>VLOOKUP($A285,nist_names_ids!A:B,2,false)</f>
        <v>c</v>
      </c>
      <c r="F285" s="61">
        <f>countif(Constants!A:A,E285)</f>
        <v>1</v>
      </c>
      <c r="G285" s="60" t="str">
        <f>IFERROR(__xludf.DUMMYFUNCTION("REGEXREPLACE(substitute(substitute(B285,"" "",""""),""..."",""""),""\(.*\)"","""")"),"299792458")</f>
        <v>299792458</v>
      </c>
      <c r="H285" s="62">
        <f t="shared" si="2"/>
        <v>299792458</v>
      </c>
      <c r="I285" s="60" t="str">
        <f>IFERROR(__xludf.DUMMYFUNCTION("if(regexmatch($B285,""\(""),CONCATENATE(regexreplace(REGEXREPLACE(substitute(left($B285,find(""("",$B285)-1),"" "",""""),""\d"",""0""),""[-0]*\."",""0.""), REGEXEXTRACT($B285,""\((.*)\)""),TRIM(REGEXEXTRACT($B285,""\)(.*)""))),"""")"),"")</f>
        <v/>
      </c>
      <c r="J285" s="62" t="str">
        <f t="shared" si="3"/>
        <v/>
      </c>
      <c r="K285" s="62" t="b">
        <f t="shared" si="4"/>
        <v>0</v>
      </c>
      <c r="L285" s="62" t="b">
        <f t="shared" si="5"/>
        <v>0</v>
      </c>
      <c r="M285" s="60" t="str">
        <f>IFERROR(__xludf.DUMMYFUNCTION("if(regexmatch(B285,""e(.*)$""),regexextract(B285,""e(.*)$""),"""")"),"")</f>
        <v/>
      </c>
    </row>
    <row r="286">
      <c r="A286" s="80" t="s">
        <v>2880</v>
      </c>
      <c r="B286" s="80" t="s">
        <v>2881</v>
      </c>
      <c r="C286" s="80" t="s">
        <v>5358</v>
      </c>
      <c r="D286" s="18" t="str">
        <f t="shared" si="1"/>
        <v>m s^-2</v>
      </c>
      <c r="E286" s="60" t="str">
        <f>VLOOKUP($A286,nist_names_ids!A:B,2,false)</f>
        <v>gn</v>
      </c>
      <c r="F286" s="61">
        <f>countif(Constants!A:A,E286)</f>
        <v>1</v>
      </c>
      <c r="G286" s="60" t="str">
        <f>IFERROR(__xludf.DUMMYFUNCTION("REGEXREPLACE(substitute(substitute(B286,"" "",""""),""..."",""""),""\(.*\)"","""")"),"9.80665")</f>
        <v>9.80665</v>
      </c>
      <c r="H286" s="62">
        <f t="shared" si="2"/>
        <v>9.80665</v>
      </c>
      <c r="I286" s="60" t="str">
        <f>IFERROR(__xludf.DUMMYFUNCTION("if(regexmatch($B286,""\(""),CONCATENATE(regexreplace(REGEXREPLACE(substitute(left($B286,find(""("",$B286)-1),"" "",""""),""\d"",""0""),""[-0]*\."",""0.""), REGEXEXTRACT($B286,""\((.*)\)""),TRIM(REGEXEXTRACT($B286,""\)(.*)""))),"""")"),"")</f>
        <v/>
      </c>
      <c r="J286" s="62" t="str">
        <f t="shared" si="3"/>
        <v/>
      </c>
      <c r="K286" s="62" t="b">
        <f t="shared" si="4"/>
        <v>0</v>
      </c>
      <c r="L286" s="62" t="b">
        <f t="shared" si="5"/>
        <v>0</v>
      </c>
      <c r="M286" s="60" t="str">
        <f>IFERROR(__xludf.DUMMYFUNCTION("if(regexmatch(B286,""e(.*)$""),regexextract(B286,""e(.*)$""),"""")"),"")</f>
        <v/>
      </c>
    </row>
    <row r="287">
      <c r="A287" s="80" t="s">
        <v>2886</v>
      </c>
      <c r="B287" s="80" t="s">
        <v>2887</v>
      </c>
      <c r="C287" s="80" t="s">
        <v>512</v>
      </c>
      <c r="D287" s="18" t="str">
        <f t="shared" si="1"/>
        <v>Pa</v>
      </c>
      <c r="E287" s="60" t="str">
        <f>VLOOKUP($A287,nist_names_ids!A:B,2,false)</f>
        <v>stdatm</v>
      </c>
      <c r="F287" s="61">
        <f>countif(Constants!A:A,E287)</f>
        <v>1</v>
      </c>
      <c r="G287" s="60" t="str">
        <f>IFERROR(__xludf.DUMMYFUNCTION("REGEXREPLACE(substitute(substitute(B287,"" "",""""),""..."",""""),""\(.*\)"","""")"),"101325")</f>
        <v>101325</v>
      </c>
      <c r="H287" s="62">
        <f t="shared" si="2"/>
        <v>101325</v>
      </c>
      <c r="I287" s="60" t="str">
        <f>IFERROR(__xludf.DUMMYFUNCTION("if(regexmatch($B287,""\(""),CONCATENATE(regexreplace(REGEXREPLACE(substitute(left($B287,find(""("",$B287)-1),"" "",""""),""\d"",""0""),""[-0]*\."",""0.""), REGEXEXTRACT($B287,""\((.*)\)""),TRIM(REGEXEXTRACT($B287,""\)(.*)""))),"""")"),"")</f>
        <v/>
      </c>
      <c r="J287" s="62" t="str">
        <f t="shared" si="3"/>
        <v/>
      </c>
      <c r="K287" s="62" t="b">
        <f t="shared" si="4"/>
        <v>0</v>
      </c>
      <c r="L287" s="62" t="b">
        <f t="shared" si="5"/>
        <v>0</v>
      </c>
      <c r="M287" s="60" t="str">
        <f>IFERROR(__xludf.DUMMYFUNCTION("if(regexmatch(B287,""e(.*)$""),regexextract(B287,""e(.*)$""),"""")"),"")</f>
        <v/>
      </c>
    </row>
    <row r="288">
      <c r="A288" s="80" t="s">
        <v>2890</v>
      </c>
      <c r="B288" s="80" t="s">
        <v>5359</v>
      </c>
      <c r="C288" s="80" t="s">
        <v>5360</v>
      </c>
      <c r="D288" s="18" t="str">
        <f t="shared" si="1"/>
        <v>W m^-2 K^-4</v>
      </c>
      <c r="E288" s="60" t="str">
        <f>VLOOKUP($A288,nist_names_ids!A:B,2,false)</f>
        <v>sigma</v>
      </c>
      <c r="F288" s="61">
        <f>countif(Constants!A:A,E288)</f>
        <v>1</v>
      </c>
      <c r="G288" s="60" t="str">
        <f>IFERROR(__xludf.DUMMYFUNCTION("REGEXREPLACE(substitute(substitute(B288,"" "",""""),""..."",""""),""\(.*\)"","""")"),"5.670400e-8")</f>
        <v>5.670400e-8</v>
      </c>
      <c r="H288" s="62">
        <f t="shared" si="2"/>
        <v>0.000000056704</v>
      </c>
      <c r="I288" s="60" t="str">
        <f>IFERROR(__xludf.DUMMYFUNCTION("if(regexmatch($B288,""\(""),CONCATENATE(regexreplace(REGEXREPLACE(substitute(left($B288,find(""("",$B288)-1),"" "",""""),""\d"",""0""),""[-0]*\."",""0.""), REGEXEXTRACT($B288,""\((.*)\)""),TRIM(REGEXEXTRACT($B288,""\)(.*)""))),"""")"),"0.00000040e-8")</f>
        <v>0.00000040e-8</v>
      </c>
      <c r="J288" s="62">
        <f t="shared" si="3"/>
        <v>0</v>
      </c>
      <c r="K288" s="62" t="b">
        <f t="shared" si="4"/>
        <v>0</v>
      </c>
      <c r="L288" s="62" t="b">
        <f t="shared" si="5"/>
        <v>0</v>
      </c>
      <c r="M288" s="60" t="str">
        <f>IFERROR(__xludf.DUMMYFUNCTION("if(regexmatch(B288,""e(.*)$""),regexextract(B288,""e(.*)$""),"""")"),"-8")</f>
        <v>-8</v>
      </c>
    </row>
    <row r="289">
      <c r="A289" s="80" t="s">
        <v>2896</v>
      </c>
      <c r="B289" s="80" t="s">
        <v>5531</v>
      </c>
      <c r="C289" s="80" t="s">
        <v>381</v>
      </c>
      <c r="D289" s="18" t="str">
        <f t="shared" si="1"/>
        <v>m</v>
      </c>
      <c r="E289" s="60" t="str">
        <f>VLOOKUP($A289,nist_names_ids!A:B,2,false)</f>
        <v>tcomwl</v>
      </c>
      <c r="F289" s="61">
        <f>countif(Constants!A:A,E289)</f>
        <v>1</v>
      </c>
      <c r="G289" s="60" t="str">
        <f>IFERROR(__xludf.DUMMYFUNCTION("REGEXREPLACE(substitute(substitute(B289,"" "",""""),""..."",""""),""\(.*\)"","""")"),"0.69770e-15")</f>
        <v>0.69770e-15</v>
      </c>
      <c r="H289" s="62">
        <f t="shared" si="2"/>
        <v>0</v>
      </c>
      <c r="I289" s="60" t="str">
        <f>IFERROR(__xludf.DUMMYFUNCTION("if(regexmatch($B289,""\(""),CONCATENATE(regexreplace(REGEXREPLACE(substitute(left($B289,find(""("",$B289)-1),"" "",""""),""\d"",""0""),""[-0]*\."",""0.""), REGEXEXTRACT($B289,""\((.*)\)""),TRIM(REGEXEXTRACT($B289,""\)(.*)""))),"""")"),"0.0000011e-15")</f>
        <v>0.0000011e-15</v>
      </c>
      <c r="J289" s="62">
        <f t="shared" si="3"/>
        <v>0</v>
      </c>
      <c r="K289" s="62" t="b">
        <f t="shared" si="4"/>
        <v>0</v>
      </c>
      <c r="L289" s="62" t="b">
        <f t="shared" si="5"/>
        <v>0</v>
      </c>
      <c r="M289" s="60" t="str">
        <f>IFERROR(__xludf.DUMMYFUNCTION("if(regexmatch(B289,""e(.*)$""),regexextract(B289,""e(.*)$""),"""")"),"-15")</f>
        <v>-15</v>
      </c>
    </row>
    <row r="290">
      <c r="A290" s="80" t="s">
        <v>4186</v>
      </c>
      <c r="B290" s="80" t="s">
        <v>5532</v>
      </c>
      <c r="C290" s="80" t="s">
        <v>381</v>
      </c>
      <c r="D290" s="18" t="str">
        <f t="shared" si="1"/>
        <v>m</v>
      </c>
      <c r="E290" s="60" t="str">
        <f>VLOOKUP($A290,nist_names_ids!A:B,2,false)</f>
        <v>tcomwlbar</v>
      </c>
      <c r="F290" s="61">
        <f>countif(Constants!A:A,E290)</f>
        <v>1</v>
      </c>
      <c r="G290" s="60" t="str">
        <f>IFERROR(__xludf.DUMMYFUNCTION("REGEXREPLACE(substitute(substitute(B290,"" "",""""),""..."",""""),""\(.*\)"","""")"),"0.111042e-15")</f>
        <v>0.111042e-15</v>
      </c>
      <c r="H290" s="62">
        <f t="shared" si="2"/>
        <v>0</v>
      </c>
      <c r="I290" s="60" t="str">
        <f>IFERROR(__xludf.DUMMYFUNCTION("if(regexmatch($B290,""\(""),CONCATENATE(regexreplace(REGEXREPLACE(substitute(left($B290,find(""("",$B290)-1),"" "",""""),""\d"",""0""),""[-0]*\."",""0.""), REGEXEXTRACT($B290,""\((.*)\)""),TRIM(REGEXEXTRACT($B290,""\)(.*)""))),"""")"),"0.00000018e-15")</f>
        <v>0.00000018e-15</v>
      </c>
      <c r="J290" s="62">
        <f t="shared" si="3"/>
        <v>0</v>
      </c>
      <c r="K290" s="62" t="b">
        <f t="shared" si="4"/>
        <v>0</v>
      </c>
      <c r="L290" s="62" t="b">
        <f t="shared" si="5"/>
        <v>0</v>
      </c>
      <c r="M290" s="60" t="str">
        <f>IFERROR(__xludf.DUMMYFUNCTION("if(regexmatch(B290,""e(.*)$""),regexextract(B290,""e(.*)$""),"""")"),"-15")</f>
        <v>-15</v>
      </c>
    </row>
    <row r="291">
      <c r="A291" s="80" t="s">
        <v>2906</v>
      </c>
      <c r="B291" s="80" t="s">
        <v>5533</v>
      </c>
      <c r="C291" s="80" t="s">
        <v>224</v>
      </c>
      <c r="D291" s="18" t="str">
        <f t="shared" si="1"/>
        <v>MeV</v>
      </c>
      <c r="E291" s="60" t="str">
        <f>VLOOKUP($A291,nist_names_ids!A:B,2,false)</f>
        <v>mtauc2mev</v>
      </c>
      <c r="F291" s="61">
        <f>countif(Constants!A:A,E291)</f>
        <v>1</v>
      </c>
      <c r="G291" s="60" t="str">
        <f>IFERROR(__xludf.DUMMYFUNCTION("REGEXREPLACE(substitute(substitute(B291,"" "",""""),""..."",""""),""\(.*\)"","""")"),"1777.05")</f>
        <v>1777.05</v>
      </c>
      <c r="H291" s="62">
        <f t="shared" si="2"/>
        <v>1777.05</v>
      </c>
      <c r="I291" s="60" t="str">
        <f>IFERROR(__xludf.DUMMYFUNCTION("if(regexmatch($B291,""\(""),CONCATENATE(regexreplace(REGEXREPLACE(substitute(left($B291,find(""("",$B291)-1),"" "",""""),""\d"",""0""),""[-0]*\."",""0.""), REGEXEXTRACT($B291,""\((.*)\)""),TRIM(REGEXEXTRACT($B291,""\)(.*)""))),"""")"),"0.0029")</f>
        <v>0.0029</v>
      </c>
      <c r="J291" s="62">
        <f t="shared" si="3"/>
        <v>0.0029</v>
      </c>
      <c r="K291" s="62" t="b">
        <f t="shared" si="4"/>
        <v>0</v>
      </c>
      <c r="L291" s="62" t="b">
        <f t="shared" si="5"/>
        <v>0</v>
      </c>
      <c r="M291" s="60" t="str">
        <f>IFERROR(__xludf.DUMMYFUNCTION("if(regexmatch(B291,""e(.*)$""),regexextract(B291,""e(.*)$""),"""")"),"")</f>
        <v/>
      </c>
    </row>
    <row r="292">
      <c r="A292" s="80" t="s">
        <v>2910</v>
      </c>
      <c r="B292" s="80" t="s">
        <v>5534</v>
      </c>
      <c r="C292" s="80" t="s">
        <v>98</v>
      </c>
      <c r="D292" s="18" t="str">
        <f t="shared" si="1"/>
        <v>kg</v>
      </c>
      <c r="E292" s="60" t="str">
        <f>VLOOKUP($A292,nist_names_ids!A:B,2,false)</f>
        <v>mtau</v>
      </c>
      <c r="F292" s="61">
        <f>countif(Constants!A:A,E292)</f>
        <v>1</v>
      </c>
      <c r="G292" s="60" t="str">
        <f>IFERROR(__xludf.DUMMYFUNCTION("REGEXREPLACE(substitute(substitute(B292,"" "",""""),""..."",""""),""\(.*\)"","""")"),"3.16788e-27")</f>
        <v>3.16788e-27</v>
      </c>
      <c r="H292" s="62">
        <f t="shared" si="2"/>
        <v>0</v>
      </c>
      <c r="I292" s="60" t="str">
        <f>IFERROR(__xludf.DUMMYFUNCTION("if(regexmatch($B292,""\(""),CONCATENATE(regexreplace(REGEXREPLACE(substitute(left($B292,find(""("",$B292)-1),"" "",""""),""\d"",""0""),""[-0]*\."",""0.""), REGEXEXTRACT($B292,""\((.*)\)""),TRIM(REGEXEXTRACT($B292,""\)(.*)""))),"""")"),"0.0000052e-27")</f>
        <v>0.0000052e-27</v>
      </c>
      <c r="J292" s="62">
        <f t="shared" si="3"/>
        <v>0</v>
      </c>
      <c r="K292" s="62" t="b">
        <f t="shared" si="4"/>
        <v>0</v>
      </c>
      <c r="L292" s="62" t="b">
        <f t="shared" si="5"/>
        <v>0</v>
      </c>
      <c r="M292" s="60" t="str">
        <f>IFERROR(__xludf.DUMMYFUNCTION("if(regexmatch(B292,""e(.*)$""),regexextract(B292,""e(.*)$""),"""")"),"-27")</f>
        <v>-27</v>
      </c>
    </row>
    <row r="293">
      <c r="A293" s="80" t="s">
        <v>2915</v>
      </c>
      <c r="B293" s="80" t="s">
        <v>5535</v>
      </c>
      <c r="C293" s="80" t="s">
        <v>173</v>
      </c>
      <c r="D293" s="18" t="str">
        <f t="shared" si="1"/>
        <v>J</v>
      </c>
      <c r="E293" s="60" t="str">
        <f>VLOOKUP($A293,nist_names_ids!A:B,2,false)</f>
        <v>mtauc2</v>
      </c>
      <c r="F293" s="61">
        <f>countif(Constants!A:A,E293)</f>
        <v>1</v>
      </c>
      <c r="G293" s="60" t="str">
        <f>IFERROR(__xludf.DUMMYFUNCTION("REGEXREPLACE(substitute(substitute(B293,"" "",""""),""..."",""""),""\(.*\)"","""")"),"2.84715e-10")</f>
        <v>2.84715e-10</v>
      </c>
      <c r="H293" s="62">
        <f t="shared" si="2"/>
        <v>0.000000000284715</v>
      </c>
      <c r="I293" s="60" t="str">
        <f>IFERROR(__xludf.DUMMYFUNCTION("if(regexmatch($B293,""\(""),CONCATENATE(regexreplace(REGEXREPLACE(substitute(left($B293,find(""("",$B293)-1),"" "",""""),""\d"",""0""),""[-0]*\."",""0.""), REGEXEXTRACT($B293,""\((.*)\)""),TRIM(REGEXEXTRACT($B293,""\)(.*)""))),"""")"),"0.0000046e-10")</f>
        <v>0.0000046e-10</v>
      </c>
      <c r="J293" s="62">
        <f t="shared" si="3"/>
        <v>0</v>
      </c>
      <c r="K293" s="62" t="b">
        <f t="shared" si="4"/>
        <v>0</v>
      </c>
      <c r="L293" s="62" t="b">
        <f t="shared" si="5"/>
        <v>0</v>
      </c>
      <c r="M293" s="60" t="str">
        <f>IFERROR(__xludf.DUMMYFUNCTION("if(regexmatch(B293,""e(.*)$""),regexextract(B293,""e(.*)$""),"""")"),"-10")</f>
        <v>-10</v>
      </c>
    </row>
    <row r="294">
      <c r="A294" s="80" t="s">
        <v>2920</v>
      </c>
      <c r="B294" s="80" t="s">
        <v>5536</v>
      </c>
      <c r="C294" s="80" t="s">
        <v>249</v>
      </c>
      <c r="D294" s="18" t="str">
        <f t="shared" si="1"/>
        <v>u</v>
      </c>
      <c r="E294" s="60" t="str">
        <f>VLOOKUP($A294,nist_names_ids!A:B,2,false)</f>
        <v>mtauu</v>
      </c>
      <c r="F294" s="61">
        <f>countif(Constants!A:A,E294)</f>
        <v>1</v>
      </c>
      <c r="G294" s="60" t="str">
        <f>IFERROR(__xludf.DUMMYFUNCTION("REGEXREPLACE(substitute(substitute(B294,"" "",""""),""..."",""""),""\(.*\)"","""")"),"1.90774")</f>
        <v>1.90774</v>
      </c>
      <c r="H294" s="62">
        <f t="shared" si="2"/>
        <v>1.90774</v>
      </c>
      <c r="I294" s="60" t="str">
        <f>IFERROR(__xludf.DUMMYFUNCTION("if(regexmatch($B294,""\(""),CONCATENATE(regexreplace(REGEXREPLACE(substitute(left($B294,find(""("",$B294)-1),"" "",""""),""\d"",""0""),""[-0]*\."",""0.""), REGEXEXTRACT($B294,""\((.*)\)""),TRIM(REGEXEXTRACT($B294,""\)(.*)""))),"""")"),"0.0000031")</f>
        <v>0.0000031</v>
      </c>
      <c r="J294" s="62">
        <f t="shared" si="3"/>
        <v>0.0000031</v>
      </c>
      <c r="K294" s="62" t="b">
        <f t="shared" si="4"/>
        <v>0</v>
      </c>
      <c r="L294" s="62" t="b">
        <f t="shared" si="5"/>
        <v>0</v>
      </c>
      <c r="M294" s="60" t="str">
        <f>IFERROR(__xludf.DUMMYFUNCTION("if(regexmatch(B294,""e(.*)$""),regexextract(B294,""e(.*)$""),"""")"),"")</f>
        <v/>
      </c>
    </row>
    <row r="295">
      <c r="A295" s="80" t="s">
        <v>2928</v>
      </c>
      <c r="B295" s="80" t="s">
        <v>5537</v>
      </c>
      <c r="C295" s="80" t="s">
        <v>4309</v>
      </c>
      <c r="D295" s="18" t="str">
        <f t="shared" si="1"/>
        <v>kg mol^-1</v>
      </c>
      <c r="E295" s="60" t="str">
        <f>VLOOKUP($A295,nist_names_ids!A:B,2,false)</f>
        <v>mmtau</v>
      </c>
      <c r="F295" s="61">
        <f>countif(Constants!A:A,E295)</f>
        <v>1</v>
      </c>
      <c r="G295" s="60" t="str">
        <f>IFERROR(__xludf.DUMMYFUNCTION("REGEXREPLACE(substitute(substitute(B295,"" "",""""),""..."",""""),""\(.*\)"","""")"),"1.90774e-3")</f>
        <v>1.90774e-3</v>
      </c>
      <c r="H295" s="62">
        <f t="shared" si="2"/>
        <v>0.00190774</v>
      </c>
      <c r="I295" s="60" t="str">
        <f>IFERROR(__xludf.DUMMYFUNCTION("if(regexmatch($B295,""\(""),CONCATENATE(regexreplace(REGEXREPLACE(substitute(left($B295,find(""("",$B295)-1),"" "",""""),""\d"",""0""),""[-0]*\."",""0.""), REGEXEXTRACT($B295,""\((.*)\)""),TRIM(REGEXEXTRACT($B295,""\)(.*)""))),"""")"),"0.0000031e-3")</f>
        <v>0.0000031e-3</v>
      </c>
      <c r="J295" s="62">
        <f t="shared" si="3"/>
        <v>0.0000000031</v>
      </c>
      <c r="K295" s="62" t="b">
        <f t="shared" si="4"/>
        <v>0</v>
      </c>
      <c r="L295" s="62" t="b">
        <f t="shared" si="5"/>
        <v>0</v>
      </c>
      <c r="M295" s="60" t="str">
        <f>IFERROR(__xludf.DUMMYFUNCTION("if(regexmatch(B295,""e(.*)$""),regexextract(B295,""e(.*)$""),"""")"),"-3")</f>
        <v>-3</v>
      </c>
    </row>
    <row r="296">
      <c r="A296" s="80" t="s">
        <v>2901</v>
      </c>
      <c r="B296" s="80" t="s">
        <v>5538</v>
      </c>
      <c r="C296" s="80"/>
      <c r="D296" s="18" t="str">
        <f t="shared" si="1"/>
        <v/>
      </c>
      <c r="E296" s="60" t="str">
        <f>VLOOKUP($A296,nist_names_ids!A:B,2,false)</f>
        <v>mtausme</v>
      </c>
      <c r="F296" s="61">
        <f>countif(Constants!A:A,E296)</f>
        <v>1</v>
      </c>
      <c r="G296" s="60" t="str">
        <f>IFERROR(__xludf.DUMMYFUNCTION("REGEXREPLACE(substitute(substitute(B296,"" "",""""),""..."",""""),""\(.*\)"","""")"),"3477.60")</f>
        <v>3477.60</v>
      </c>
      <c r="H296" s="62">
        <f t="shared" si="2"/>
        <v>3477.6</v>
      </c>
      <c r="I296" s="60" t="str">
        <f>IFERROR(__xludf.DUMMYFUNCTION("if(regexmatch($B296,""\(""),CONCATENATE(regexreplace(REGEXREPLACE(substitute(left($B296,find(""("",$B296)-1),"" "",""""),""\d"",""0""),""[-0]*\."",""0.""), REGEXEXTRACT($B296,""\((.*)\)""),TRIM(REGEXEXTRACT($B296,""\)(.*)""))),"""")"),"0.0057")</f>
        <v>0.0057</v>
      </c>
      <c r="J296" s="62">
        <f t="shared" si="3"/>
        <v>0.0057</v>
      </c>
      <c r="K296" s="62" t="b">
        <f t="shared" si="4"/>
        <v>0</v>
      </c>
      <c r="L296" s="62" t="b">
        <f t="shared" si="5"/>
        <v>0</v>
      </c>
      <c r="M296" s="60" t="str">
        <f>IFERROR(__xludf.DUMMYFUNCTION("if(regexmatch(B296,""e(.*)$""),regexextract(B296,""e(.*)$""),"""")"),"")</f>
        <v/>
      </c>
    </row>
    <row r="297">
      <c r="A297" s="80" t="s">
        <v>2931</v>
      </c>
      <c r="B297" s="80" t="s">
        <v>5539</v>
      </c>
      <c r="C297" s="80"/>
      <c r="D297" s="18" t="str">
        <f t="shared" si="1"/>
        <v/>
      </c>
      <c r="E297" s="60" t="str">
        <f>VLOOKUP($A297,nist_names_ids!A:B,2,false)</f>
        <v>mtausmmu</v>
      </c>
      <c r="F297" s="61">
        <f>countif(Constants!A:A,E297)</f>
        <v>1</v>
      </c>
      <c r="G297" s="60" t="str">
        <f>IFERROR(__xludf.DUMMYFUNCTION("REGEXREPLACE(substitute(substitute(B297,"" "",""""),""..."",""""),""\(.*\)"","""")"),"16.8188")</f>
        <v>16.8188</v>
      </c>
      <c r="H297" s="62">
        <f t="shared" si="2"/>
        <v>16.8188</v>
      </c>
      <c r="I297" s="60" t="str">
        <f>IFERROR(__xludf.DUMMYFUNCTION("if(regexmatch($B297,""\(""),CONCATENATE(regexreplace(REGEXREPLACE(substitute(left($B297,find(""("",$B297)-1),"" "",""""),""\d"",""0""),""[-0]*\."",""0.""), REGEXEXTRACT($B297,""\((.*)\)""),TRIM(REGEXEXTRACT($B297,""\)(.*)""))),"""")"),"0.000027")</f>
        <v>0.000027</v>
      </c>
      <c r="J297" s="62">
        <f t="shared" si="3"/>
        <v>0.000027</v>
      </c>
      <c r="K297" s="62" t="b">
        <f t="shared" si="4"/>
        <v>0</v>
      </c>
      <c r="L297" s="62" t="b">
        <f t="shared" si="5"/>
        <v>0</v>
      </c>
      <c r="M297" s="60" t="str">
        <f>IFERROR(__xludf.DUMMYFUNCTION("if(regexmatch(B297,""e(.*)$""),regexextract(B297,""e(.*)$""),"""")"),"")</f>
        <v/>
      </c>
    </row>
    <row r="298">
      <c r="A298" s="80" t="s">
        <v>2935</v>
      </c>
      <c r="B298" s="80" t="s">
        <v>5540</v>
      </c>
      <c r="C298" s="80"/>
      <c r="D298" s="18" t="str">
        <f t="shared" si="1"/>
        <v/>
      </c>
      <c r="E298" s="60" t="str">
        <f>VLOOKUP($A298,nist_names_ids!A:B,2,false)</f>
        <v>mtausmn</v>
      </c>
      <c r="F298" s="61">
        <f>countif(Constants!A:A,E298)</f>
        <v>1</v>
      </c>
      <c r="G298" s="60" t="str">
        <f>IFERROR(__xludf.DUMMYFUNCTION("REGEXREPLACE(substitute(substitute(B298,"" "",""""),""..."",""""),""\(.*\)"","""")"),"1.89135")</f>
        <v>1.89135</v>
      </c>
      <c r="H298" s="62">
        <f t="shared" si="2"/>
        <v>1.89135</v>
      </c>
      <c r="I298" s="60" t="str">
        <f>IFERROR(__xludf.DUMMYFUNCTION("if(regexmatch($B298,""\(""),CONCATENATE(regexreplace(REGEXREPLACE(substitute(left($B298,find(""("",$B298)-1),"" "",""""),""\d"",""0""),""[-0]*\."",""0.""), REGEXEXTRACT($B298,""\((.*)\)""),TRIM(REGEXEXTRACT($B298,""\)(.*)""))),"""")"),"0.0000031")</f>
        <v>0.0000031</v>
      </c>
      <c r="J298" s="62">
        <f t="shared" si="3"/>
        <v>0.0000031</v>
      </c>
      <c r="K298" s="62" t="b">
        <f t="shared" si="4"/>
        <v>0</v>
      </c>
      <c r="L298" s="62" t="b">
        <f t="shared" si="5"/>
        <v>0</v>
      </c>
      <c r="M298" s="60" t="str">
        <f>IFERROR(__xludf.DUMMYFUNCTION("if(regexmatch(B298,""e(.*)$""),regexextract(B298,""e(.*)$""),"""")"),"")</f>
        <v/>
      </c>
    </row>
    <row r="299">
      <c r="A299" s="80" t="s">
        <v>2941</v>
      </c>
      <c r="B299" s="80" t="s">
        <v>5541</v>
      </c>
      <c r="C299" s="80"/>
      <c r="D299" s="18" t="str">
        <f t="shared" si="1"/>
        <v/>
      </c>
      <c r="E299" s="60" t="str">
        <f>VLOOKUP($A299,nist_names_ids!A:B,2,false)</f>
        <v>mtausmp</v>
      </c>
      <c r="F299" s="61">
        <f>countif(Constants!A:A,E299)</f>
        <v>1</v>
      </c>
      <c r="G299" s="60" t="str">
        <f>IFERROR(__xludf.DUMMYFUNCTION("REGEXREPLACE(substitute(substitute(B299,"" "",""""),""..."",""""),""\(.*\)"","""")"),"1.89396")</f>
        <v>1.89396</v>
      </c>
      <c r="H299" s="62">
        <f t="shared" si="2"/>
        <v>1.89396</v>
      </c>
      <c r="I299" s="60" t="str">
        <f>IFERROR(__xludf.DUMMYFUNCTION("if(regexmatch($B299,""\(""),CONCATENATE(regexreplace(REGEXREPLACE(substitute(left($B299,find(""("",$B299)-1),"" "",""""),""\d"",""0""),""[-0]*\."",""0.""), REGEXEXTRACT($B299,""\((.*)\)""),TRIM(REGEXEXTRACT($B299,""\)(.*)""))),"""")"),"0.0000031")</f>
        <v>0.0000031</v>
      </c>
      <c r="J299" s="62">
        <f t="shared" si="3"/>
        <v>0.0000031</v>
      </c>
      <c r="K299" s="62" t="b">
        <f t="shared" si="4"/>
        <v>0</v>
      </c>
      <c r="L299" s="62" t="b">
        <f t="shared" si="5"/>
        <v>0</v>
      </c>
      <c r="M299" s="60" t="str">
        <f>IFERROR(__xludf.DUMMYFUNCTION("if(regexmatch(B299,""e(.*)$""),regexextract(B299,""e(.*)$""),"""")"),"")</f>
        <v/>
      </c>
    </row>
    <row r="300">
      <c r="A300" s="80" t="s">
        <v>2943</v>
      </c>
      <c r="B300" s="80" t="s">
        <v>5542</v>
      </c>
      <c r="C300" s="80" t="s">
        <v>2946</v>
      </c>
      <c r="D300" s="18" t="str">
        <f t="shared" si="1"/>
        <v>m^2</v>
      </c>
      <c r="E300" s="60" t="str">
        <f>VLOOKUP($A300,nist_names_ids!A:B,2,false)</f>
        <v>sigmae</v>
      </c>
      <c r="F300" s="61">
        <f>countif(Constants!A:A,E300)</f>
        <v>1</v>
      </c>
      <c r="G300" s="60" t="str">
        <f>IFERROR(__xludf.DUMMYFUNCTION("REGEXREPLACE(substitute(substitute(B300,"" "",""""),""..."",""""),""\(.*\)"","""")"),"0.665245854e-28")</f>
        <v>0.665245854e-28</v>
      </c>
      <c r="H300" s="62">
        <f t="shared" si="2"/>
        <v>0</v>
      </c>
      <c r="I300" s="60" t="str">
        <f>IFERROR(__xludf.DUMMYFUNCTION("if(regexmatch($B300,""\(""),CONCATENATE(regexreplace(REGEXREPLACE(substitute(left($B300,find(""("",$B300)-1),"" "",""""),""\d"",""0""),""[-0]*\."",""0.""), REGEXEXTRACT($B300,""\((.*)\)""),TRIM(REGEXEXTRACT($B300,""\)(.*)""))),"""")"),"0.00000000015e-28")</f>
        <v>0.00000000015e-28</v>
      </c>
      <c r="J300" s="62">
        <f t="shared" si="3"/>
        <v>0</v>
      </c>
      <c r="K300" s="62" t="b">
        <f t="shared" si="4"/>
        <v>0</v>
      </c>
      <c r="L300" s="62" t="b">
        <f t="shared" si="5"/>
        <v>0</v>
      </c>
      <c r="M300" s="60" t="str">
        <f>IFERROR(__xludf.DUMMYFUNCTION("if(regexmatch(B300,""e(.*)$""),regexextract(B300,""e(.*)$""),"""")"),"-28")</f>
        <v>-28</v>
      </c>
    </row>
    <row r="301">
      <c r="A301" s="80" t="s">
        <v>3004</v>
      </c>
      <c r="B301" s="80" t="s">
        <v>4918</v>
      </c>
      <c r="C301" s="80" t="s">
        <v>98</v>
      </c>
      <c r="D301" s="18" t="str">
        <f t="shared" si="1"/>
        <v>kg</v>
      </c>
      <c r="E301" s="60" t="str">
        <f>VLOOKUP($A301,nist_names_ids!A:B,2,false)</f>
        <v>ukg</v>
      </c>
      <c r="F301" s="61">
        <f>countif(Constants!A:A,E301)</f>
        <v>1</v>
      </c>
      <c r="G301" s="60" t="str">
        <f>IFERROR(__xludf.DUMMYFUNCTION("REGEXREPLACE(substitute(substitute(B301,"" "",""""),""..."",""""),""\(.*\)"","""")"),"1.66053873e-27")</f>
        <v>1.66053873e-27</v>
      </c>
      <c r="H301" s="62">
        <f t="shared" si="2"/>
        <v>0</v>
      </c>
      <c r="I301" s="60" t="str">
        <f>IFERROR(__xludf.DUMMYFUNCTION("if(regexmatch($B301,""\(""),CONCATENATE(regexreplace(REGEXREPLACE(substitute(left($B301,find(""("",$B301)-1),"" "",""""),""\d"",""0""),""[-0]*\."",""0.""), REGEXEXTRACT($B301,""\((.*)\)""),TRIM(REGEXEXTRACT($B301,""\)(.*)""))),"""")"),"0.0000000013e-27")</f>
        <v>0.0000000013e-27</v>
      </c>
      <c r="J301" s="62">
        <f t="shared" si="3"/>
        <v>0</v>
      </c>
      <c r="K301" s="62" t="b">
        <f t="shared" si="4"/>
        <v>0</v>
      </c>
      <c r="L301" s="62" t="b">
        <f t="shared" si="5"/>
        <v>0</v>
      </c>
      <c r="M301" s="60" t="str">
        <f>IFERROR(__xludf.DUMMYFUNCTION("if(regexmatch(B301,""e(.*)$""),regexextract(B301,""e(.*)$""),"""")"),"-27")</f>
        <v>-27</v>
      </c>
    </row>
    <row r="302">
      <c r="A302" s="80" t="s">
        <v>3012</v>
      </c>
      <c r="B302" s="80" t="s">
        <v>5543</v>
      </c>
      <c r="C302" s="80" t="s">
        <v>506</v>
      </c>
      <c r="D302" s="18" t="str">
        <f t="shared" si="1"/>
        <v>Ohm</v>
      </c>
      <c r="E302" s="60" t="str">
        <f>VLOOKUP($A302,nist_names_ids!A:B,2,false)</f>
        <v>rk</v>
      </c>
      <c r="F302" s="61">
        <f>countif(Constants!A:A,E302)</f>
        <v>1</v>
      </c>
      <c r="G302" s="60" t="str">
        <f>IFERROR(__xludf.DUMMYFUNCTION("REGEXREPLACE(substitute(substitute(B302,"" "",""""),""..."",""""),""\(.*\)"","""")"),"25812.807572")</f>
        <v>25812.807572</v>
      </c>
      <c r="H302" s="62">
        <f t="shared" si="2"/>
        <v>25812.80757</v>
      </c>
      <c r="I302" s="60" t="str">
        <f>IFERROR(__xludf.DUMMYFUNCTION("if(regexmatch($B302,""\(""),CONCATENATE(regexreplace(REGEXREPLACE(substitute(left($B302,find(""("",$B302)-1),"" "",""""),""\d"",""0""),""[-0]*\."",""0.""), REGEXEXTRACT($B302,""\((.*)\)""),TRIM(REGEXEXTRACT($B302,""\)(.*)""))),"""")"),"0.00000095")</f>
        <v>0.00000095</v>
      </c>
      <c r="J302" s="62">
        <f t="shared" si="3"/>
        <v>0.00000095</v>
      </c>
      <c r="K302" s="62" t="b">
        <f t="shared" si="4"/>
        <v>0</v>
      </c>
      <c r="L302" s="62" t="b">
        <f t="shared" si="5"/>
        <v>0</v>
      </c>
      <c r="M302" s="60" t="str">
        <f>IFERROR(__xludf.DUMMYFUNCTION("if(regexmatch(B302,""e(.*)$""),regexextract(B302,""e(.*)$""),"""")"),"")</f>
        <v/>
      </c>
    </row>
    <row r="303">
      <c r="A303" s="80" t="s">
        <v>3014</v>
      </c>
      <c r="B303" s="80" t="s">
        <v>5544</v>
      </c>
      <c r="C303" s="80"/>
      <c r="D303" s="18" t="str">
        <f t="shared" si="1"/>
        <v/>
      </c>
      <c r="E303" s="60" t="str">
        <f>VLOOKUP($A303,nist_names_ids!A:B,2,false)</f>
        <v>sin2th</v>
      </c>
      <c r="F303" s="61">
        <f>countif(Constants!A:A,E303)</f>
        <v>1</v>
      </c>
      <c r="G303" s="60" t="str">
        <f>IFERROR(__xludf.DUMMYFUNCTION("REGEXREPLACE(substitute(substitute(B303,"" "",""""),""..."",""""),""\(.*\)"","""")"),"0.2224")</f>
        <v>0.2224</v>
      </c>
      <c r="H303" s="62">
        <f t="shared" si="2"/>
        <v>0.2224</v>
      </c>
      <c r="I303" s="60" t="str">
        <f>IFERROR(__xludf.DUMMYFUNCTION("if(regexmatch($B303,""\(""),CONCATENATE(regexreplace(REGEXREPLACE(substitute(left($B303,find(""("",$B303)-1),"" "",""""),""\d"",""0""),""[-0]*\."",""0.""), REGEXEXTRACT($B303,""\((.*)\)""),TRIM(REGEXEXTRACT($B303,""\)(.*)""))),"""")"),"0.000019")</f>
        <v>0.000019</v>
      </c>
      <c r="J303" s="62">
        <f t="shared" si="3"/>
        <v>0.000019</v>
      </c>
      <c r="K303" s="62" t="b">
        <f t="shared" si="4"/>
        <v>0</v>
      </c>
      <c r="L303" s="62" t="b">
        <f t="shared" si="5"/>
        <v>0</v>
      </c>
      <c r="M303" s="60" t="str">
        <f>IFERROR(__xludf.DUMMYFUNCTION("if(regexmatch(B303,""e(.*)$""),regexextract(B303,""e(.*)$""),"""")"),"")</f>
        <v/>
      </c>
    </row>
    <row r="304">
      <c r="A304" s="80" t="s">
        <v>4872</v>
      </c>
      <c r="B304" s="80" t="s">
        <v>5525</v>
      </c>
      <c r="C304" s="80" t="s">
        <v>2800</v>
      </c>
      <c r="D304" s="18" t="str">
        <f t="shared" si="1"/>
        <v>m K</v>
      </c>
      <c r="E304" s="60" t="str">
        <f>VLOOKUP($A304,nist_names_ids!A:B,2,false)</f>
        <v>bwien</v>
      </c>
      <c r="F304" s="61">
        <f>countif(Constants!A:A,E304)</f>
        <v>1</v>
      </c>
      <c r="G304" s="60" t="str">
        <f>IFERROR(__xludf.DUMMYFUNCTION("REGEXREPLACE(substitute(substitute(B304,"" "",""""),""..."",""""),""\(.*\)"","""")"),"2.8977686e-3")</f>
        <v>2.8977686e-3</v>
      </c>
      <c r="H304" s="62">
        <f t="shared" si="2"/>
        <v>0.0028977686</v>
      </c>
      <c r="I304" s="60" t="str">
        <f>IFERROR(__xludf.DUMMYFUNCTION("if(regexmatch($B304,""\(""),CONCATENATE(regexreplace(REGEXREPLACE(substitute(left($B304,find(""("",$B304)-1),"" "",""""),""\d"",""0""),""[-0]*\."",""0.""), REGEXEXTRACT($B304,""\((.*)\)""),TRIM(REGEXEXTRACT($B304,""\)(.*)""))),"""")"),"0.000000051e-3")</f>
        <v>0.000000051e-3</v>
      </c>
      <c r="J304" s="62">
        <f t="shared" si="3"/>
        <v>0</v>
      </c>
      <c r="K304" s="62" t="b">
        <f t="shared" si="4"/>
        <v>0</v>
      </c>
      <c r="L304" s="62" t="b">
        <f t="shared" si="5"/>
        <v>0</v>
      </c>
      <c r="M304" s="60" t="str">
        <f>IFERROR(__xludf.DUMMYFUNCTION("if(regexmatch(B304,""e(.*)$""),regexextract(B304,""e(.*)$""),"""")"),"-3")</f>
        <v>-3</v>
      </c>
    </row>
  </sheetData>
  <conditionalFormatting sqref="F1:F304">
    <cfRule type="cellIs" dxfId="3" priority="1" operator="equal">
      <formula>0</formula>
    </cfRule>
  </conditionalFormatting>
  <conditionalFormatting sqref="E1:E304">
    <cfRule type="expression" dxfId="0" priority="2">
      <formula>iserror(E1)</formula>
    </cfRule>
  </conditionalFormatting>
  <conditionalFormatting sqref="E1:E304">
    <cfRule type="expression" dxfId="0" priority="3">
      <formula>countif(E:E,E1)&gt;1</formula>
    </cfRule>
  </conditionalFormatting>
  <drawing r:id="rId1"/>
</worksheet>
</file>